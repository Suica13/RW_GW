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19815" windowHeight="7860" activeTab="0" tabRatio="434"/>
  </bookViews>
  <sheets>
    <sheet name="单位代码" sheetId="1" r:id="rId1"/>
    <sheet name="地图代码" sheetId="2" r:id="rId2"/>
    <sheet name="参考值" sheetId="3" r:id="rId3"/>
    <sheet name="其他" sheetId="4" r:id="rId4"/>
    <sheet name="备注" sheetId="5" r:id="rId5"/>
  </sheets>
  <definedNames>
    <definedName name="AI">单位代码!$B$539</definedName>
    <definedName name="动画">单位代码!$B$733</definedName>
    <definedName name="放置规则">单位代码!$B$1200</definedName>
    <definedName name="附属">单位代码!$B$613</definedName>
    <definedName name="攻击">单位代码!$B$287</definedName>
    <definedName name="行动隐藏行动">单位代码!$B$761</definedName>
    <definedName name="核心">单位代码!$B$3</definedName>
    <definedName name="价格资源">单位代码!$B$1218</definedName>
    <definedName name="局部资源">单位代码!$B$1261</definedName>
    <definedName name="可建造">单位代码!$B$194</definedName>
    <definedName name="逻辑">单位代码!$B$1035</definedName>
    <definedName name="模板">单位代码!$B$1345</definedName>
    <definedName name="抛射体">单位代码!$B$399</definedName>
    <definedName name="炮塔">单位代码!$B$317</definedName>
    <definedName name="全局资源">单位代码!$B$1231</definedName>
    <definedName name="生成单位">单位代码!$B$988</definedName>
    <definedName name="生成抛射体">单位代码!$B$1016</definedName>
    <definedName name="贴图贴花">单位代码!$B$1288</definedName>
    <definedName name="图像">单位代码!$B$214</definedName>
    <definedName name="腿脚胳膊">单位代码!$B$566</definedName>
    <definedName name="效果">单位代码!$B$653</definedName>
    <definedName name="运动">单位代码!$B$514</definedName>
    <definedName name="注释">单位代码!$B$1359</definedName>
    <definedName name="未知处理汇总">地图代码!$B$175:$E$176</definedName>
    <definedName name="控制镜头">地图代码!$B$145</definedName>
    <definedName name="地图文本">地图代码!$B$135</definedName>
    <definedName name="添加或删除单位">地图代码!$B$130</definedName>
    <definedName name="单位限定">地图代码!$B$108</definedName>
    <definedName name="单位检测">地图代码!$B$106</definedName>
    <definedName name="运动控制">地图代码!$B$101</definedName>
    <definedName name="标签检测">地图代码!$B$97</definedName>
    <definedName name="触发控制">地图代码!$B$65</definedName>
    <definedName name="玩家控制">地图代码!$B$56</definedName>
    <definedName name="地图信息">地图代码!$B$46</definedName>
    <definedName name="地块类型">地图代码!$B$20</definedName>
    <definedName name="图层信息">地图代码!$B$3</definedName>
    <definedName name="修改资金">地图代码!$B$125</definedName>
    <definedName name="队伍标签">地图代码!$B$92</definedName>
    <definedName name="MOD">单位代码!$B$1377</definedName>
    <definedName name="单位转向">地图代码!$B$150</definedName>
    <definedName name="_xlnm._FilterDatabase" localSheetId="0" hidden="1">单位代码!$B$2:$F$191</definedName>
    <definedName name="_xlnm._FilterDatabase" localSheetId="3" hidden="1">其他!$A$1:$AE$148</definedName>
  </definedNames>
  <calcPr calcId="191029"/>
</workbook>
</file>

<file path=xl/cellimages.xml><?xml version="1.0" encoding="utf-8"?>
<etc:cellImages xmlns:xdr="http://schemas.openxmlformats.org/drawingml/2006/spreadsheetDrawing" xmlns:a="http://schemas.openxmlformats.org/drawingml/2006/main" xmlns:r="http://schemas.openxmlformats.org/officeDocument/2006/relationships" xmlns:etc="http://www.wps.cn/officeDocument/2017/etCustomData">
  <etc:cellImage>
    <xdr:pic>
      <xdr:nvPicPr>
        <xdr:cNvPr id="2" name="ID_CC1D16A5EB3C4D278C8F148AF515B005" descr=" "/>
        <xdr:cNvPicPr/>
      </xdr:nvPicPr>
      <xdr:blipFill>
        <a:blip xmlns:r="http://schemas.openxmlformats.org/officeDocument/2006/relationships" r:embed="rId1"/>
        <a:srcRect/>
        <a:stretch>
          <a:fillRect/>
        </a:stretch>
      </xdr:blipFill>
      <xdr:spPr>
        <a:xfrm>
          <a:off x="0" y="0"/>
          <a:ext cx="5740343" cy="439207"/>
        </a:xfrm>
        <a:noFill/>
        <a:ln w="9525" cap="flat" cmpd="sng">
          <a:noFill/>
          <a:prstDash val="solid"/>
          <a:miter/>
        </a:ln>
        <a:effectLst/>
      </xdr:spPr>
    </xdr:pic>
  </etc:cellImage>
  <etc:cellImage>
    <xdr:pic>
      <xdr:nvPicPr>
        <xdr:cNvPr id="3" name="ID_EA987B284EEC403698CD3E99930B39EA" descr=" "/>
        <xdr:cNvPicPr/>
      </xdr:nvPicPr>
      <xdr:blipFill>
        <a:blip xmlns:r="http://schemas.openxmlformats.org/officeDocument/2006/relationships" r:embed="rId2"/>
        <a:srcRect/>
        <a:stretch>
          <a:fillRect/>
        </a:stretch>
      </xdr:blipFill>
      <xdr:spPr>
        <a:xfrm>
          <a:off x="0" y="0"/>
          <a:ext cx="204282" cy="204282"/>
        </a:xfrm>
        <a:noFill/>
        <a:ln w="9525" cap="flat" cmpd="sng">
          <a:noFill/>
          <a:prstDash val="solid"/>
          <a:miter/>
        </a:ln>
        <a:effectLst/>
      </xdr:spPr>
    </xdr:pic>
  </etc:cellImage>
  <etc:cellImage>
    <xdr:pic>
      <xdr:nvPicPr>
        <xdr:cNvPr id="4" name="ID_179AB8F41C5B453F82CF79871A91425A" descr=" "/>
        <xdr:cNvPicPr/>
      </xdr:nvPicPr>
      <xdr:blipFill>
        <a:blip xmlns:r="http://schemas.openxmlformats.org/officeDocument/2006/relationships" r:embed="rId3"/>
        <a:srcRect/>
        <a:stretch>
          <a:fillRect/>
        </a:stretch>
      </xdr:blipFill>
      <xdr:spPr>
        <a:xfrm>
          <a:off x="0" y="0"/>
          <a:ext cx="132783" cy="204282"/>
        </a:xfrm>
        <a:noFill/>
        <a:ln w="9525" cap="flat" cmpd="sng">
          <a:noFill/>
          <a:prstDash val="solid"/>
          <a:miter/>
        </a:ln>
        <a:effectLst/>
      </xdr:spPr>
    </xdr:pic>
  </etc:cellImage>
  <etc:cellImage>
    <xdr:pic>
      <xdr:nvPicPr>
        <xdr:cNvPr id="5" name="ID_DF380CA2DB704461AFFA9BD4F80DD4AF" descr=" "/>
        <xdr:cNvPicPr/>
      </xdr:nvPicPr>
      <xdr:blipFill>
        <a:blip xmlns:r="http://schemas.openxmlformats.org/officeDocument/2006/relationships" r:embed="rId4"/>
        <a:srcRect/>
        <a:stretch>
          <a:fillRect/>
        </a:stretch>
      </xdr:blipFill>
      <xdr:spPr>
        <a:xfrm>
          <a:off x="0" y="0"/>
          <a:ext cx="214496" cy="510706"/>
        </a:xfrm>
        <a:noFill/>
        <a:ln w="9525" cap="flat" cmpd="sng">
          <a:noFill/>
          <a:prstDash val="solid"/>
          <a:miter/>
        </a:ln>
        <a:effectLst/>
      </xdr:spPr>
    </xdr:pic>
  </etc:cellImage>
  <etc:cellImage>
    <xdr:pic>
      <xdr:nvPicPr>
        <xdr:cNvPr id="6" name="ID_1604A8E1A0FD4C1987A1A46EAC8CC024" descr=" "/>
        <xdr:cNvPicPr/>
      </xdr:nvPicPr>
      <xdr:blipFill>
        <a:blip xmlns:r="http://schemas.openxmlformats.org/officeDocument/2006/relationships" r:embed="rId5"/>
        <a:srcRect/>
        <a:stretch>
          <a:fillRect/>
        </a:stretch>
      </xdr:blipFill>
      <xdr:spPr>
        <a:xfrm>
          <a:off x="0" y="0"/>
          <a:ext cx="234925" cy="296209"/>
        </a:xfrm>
        <a:noFill/>
        <a:ln w="9525" cap="flat" cmpd="sng">
          <a:noFill/>
          <a:prstDash val="solid"/>
          <a:miter/>
        </a:ln>
        <a:effectLst/>
      </xdr:spPr>
    </xdr:pic>
  </etc:cellImage>
  <etc:cellImage>
    <xdr:pic>
      <xdr:nvPicPr>
        <xdr:cNvPr id="7" name="ID_5446B2BA367045058AFBA9B7E4A50892" descr=" "/>
        <xdr:cNvPicPr/>
      </xdr:nvPicPr>
      <xdr:blipFill>
        <a:blip xmlns:r="http://schemas.openxmlformats.org/officeDocument/2006/relationships" r:embed="rId6"/>
        <a:srcRect/>
        <a:stretch>
          <a:fillRect/>
        </a:stretch>
      </xdr:blipFill>
      <xdr:spPr>
        <a:xfrm>
          <a:off x="0" y="0"/>
          <a:ext cx="2451392" cy="204282"/>
        </a:xfrm>
        <a:noFill/>
        <a:ln w="9525" cap="flat" cmpd="sng">
          <a:noFill/>
          <a:prstDash val="solid"/>
          <a:miter/>
        </a:ln>
        <a:effectLst/>
      </xdr:spPr>
    </xdr:pic>
  </etc:cellImage>
  <etc:cellImage>
    <xdr:pic>
      <xdr:nvPicPr>
        <xdr:cNvPr id="8" name="ID_9BFAEBFC95D14749A27D9EC51802CEC1" descr=" "/>
        <xdr:cNvPicPr/>
      </xdr:nvPicPr>
      <xdr:blipFill>
        <a:blip xmlns:r="http://schemas.openxmlformats.org/officeDocument/2006/relationships" r:embed="rId7"/>
        <a:srcRect/>
        <a:stretch>
          <a:fillRect/>
        </a:stretch>
      </xdr:blipFill>
      <xdr:spPr>
        <a:xfrm>
          <a:off x="0" y="0"/>
          <a:ext cx="1021413" cy="1021413"/>
        </a:xfrm>
        <a:noFill/>
        <a:ln w="9525" cap="flat" cmpd="sng">
          <a:noFill/>
          <a:prstDash val="solid"/>
          <a:miter/>
        </a:ln>
        <a:effectLst/>
      </xdr:spPr>
    </xdr:pic>
  </etc:cellImage>
  <etc:cellImage>
    <xdr:pic>
      <xdr:nvPicPr>
        <xdr:cNvPr id="9" name="ID_327E748F62B74FF89076BECB4FE6C22D" descr=" "/>
        <xdr:cNvPicPr/>
      </xdr:nvPicPr>
      <xdr:blipFill>
        <a:blip xmlns:r="http://schemas.openxmlformats.org/officeDocument/2006/relationships" r:embed="rId8"/>
        <a:srcRect/>
        <a:stretch>
          <a:fillRect/>
        </a:stretch>
      </xdr:blipFill>
      <xdr:spPr>
        <a:xfrm>
          <a:off x="0" y="0"/>
          <a:ext cx="326852" cy="326852"/>
        </a:xfrm>
        <a:noFill/>
        <a:ln w="9525" cap="flat" cmpd="sng">
          <a:noFill/>
          <a:prstDash val="solid"/>
          <a:miter/>
        </a:ln>
        <a:effectLst/>
      </xdr:spPr>
    </xdr:pic>
  </etc:cellImage>
  <etc:cellImage>
    <xdr:pic>
      <xdr:nvPicPr>
        <xdr:cNvPr id="10" name="ID_67160C1EEAF145D99BAEF5DD1C193757" descr=" "/>
        <xdr:cNvPicPr/>
      </xdr:nvPicPr>
      <xdr:blipFill>
        <a:blip xmlns:r="http://schemas.openxmlformats.org/officeDocument/2006/relationships" r:embed="rId9"/>
        <a:srcRect/>
        <a:stretch>
          <a:fillRect/>
        </a:stretch>
      </xdr:blipFill>
      <xdr:spPr>
        <a:xfrm>
          <a:off x="0" y="0"/>
          <a:ext cx="10214" cy="10214"/>
        </a:xfrm>
        <a:noFill/>
        <a:ln w="9525" cap="flat" cmpd="sng">
          <a:noFill/>
          <a:prstDash val="solid"/>
          <a:miter/>
        </a:ln>
        <a:effectLst/>
      </xdr:spPr>
    </xdr:pic>
  </etc:cellImage>
  <etc:cellImage>
    <xdr:pic>
      <xdr:nvPicPr>
        <xdr:cNvPr id="11" name="ID_D916E29C5A3B4416A6FC6F98736B4B89" descr=" "/>
        <xdr:cNvPicPr/>
      </xdr:nvPicPr>
      <xdr:blipFill>
        <a:blip xmlns:r="http://schemas.openxmlformats.org/officeDocument/2006/relationships" r:embed="rId10"/>
        <a:srcRect/>
        <a:stretch>
          <a:fillRect/>
        </a:stretch>
      </xdr:blipFill>
      <xdr:spPr>
        <a:xfrm>
          <a:off x="0" y="0"/>
          <a:ext cx="1307409" cy="1307409"/>
        </a:xfrm>
        <a:noFill/>
        <a:ln w="9525" cap="flat" cmpd="sng">
          <a:noFill/>
          <a:prstDash val="solid"/>
          <a:miter/>
        </a:ln>
        <a:effectLst/>
      </xdr:spPr>
    </xdr:pic>
  </etc:cellImage>
  <etc:cellImage>
    <xdr:pic>
      <xdr:nvPicPr>
        <xdr:cNvPr id="12" name="ID_AA4D8F1731FC4619BCD1F97727116966" descr=" "/>
        <xdr:cNvPicPr/>
      </xdr:nvPicPr>
      <xdr:blipFill>
        <a:blip xmlns:r="http://schemas.openxmlformats.org/officeDocument/2006/relationships" r:embed="rId11"/>
        <a:srcRect/>
        <a:stretch>
          <a:fillRect/>
        </a:stretch>
      </xdr:blipFill>
      <xdr:spPr>
        <a:xfrm>
          <a:off x="0" y="0"/>
          <a:ext cx="265567" cy="265567"/>
        </a:xfrm>
        <a:noFill/>
        <a:ln w="9525" cap="flat" cmpd="sng">
          <a:noFill/>
          <a:prstDash val="solid"/>
          <a:miter/>
        </a:ln>
        <a:effectLst/>
      </xdr:spPr>
    </xdr:pic>
  </etc:cellImage>
  <etc:cellImage>
    <xdr:pic>
      <xdr:nvPicPr>
        <xdr:cNvPr id="13" name="ID_4D8862E6B42A4AA9B4C8709F7CF5CFCC" descr=" "/>
        <xdr:cNvPicPr/>
      </xdr:nvPicPr>
      <xdr:blipFill>
        <a:blip xmlns:r="http://schemas.openxmlformats.org/officeDocument/2006/relationships" r:embed="rId12"/>
        <a:srcRect/>
        <a:stretch>
          <a:fillRect/>
        </a:stretch>
      </xdr:blipFill>
      <xdr:spPr>
        <a:xfrm>
          <a:off x="0" y="0"/>
          <a:ext cx="1307409" cy="1307409"/>
        </a:xfrm>
        <a:noFill/>
        <a:ln w="9525" cap="flat" cmpd="sng">
          <a:noFill/>
          <a:prstDash val="solid"/>
          <a:miter/>
        </a:ln>
        <a:effectLst/>
      </xdr:spPr>
    </xdr:pic>
  </etc:cellImage>
  <etc:cellImage>
    <xdr:pic>
      <xdr:nvPicPr>
        <xdr:cNvPr id="14" name="ID_B6EB8B69517B47FA8D7901BE11E0E12B" descr=" "/>
        <xdr:cNvPicPr/>
      </xdr:nvPicPr>
      <xdr:blipFill>
        <a:blip xmlns:r="http://schemas.openxmlformats.org/officeDocument/2006/relationships" r:embed="rId13"/>
        <a:srcRect/>
        <a:stretch>
          <a:fillRect/>
        </a:stretch>
      </xdr:blipFill>
      <xdr:spPr>
        <a:xfrm>
          <a:off x="0" y="0"/>
          <a:ext cx="153212" cy="153212"/>
        </a:xfrm>
        <a:noFill/>
        <a:ln w="9525" cap="flat" cmpd="sng">
          <a:noFill/>
          <a:prstDash val="solid"/>
          <a:miter/>
        </a:ln>
        <a:effectLst/>
      </xdr:spPr>
    </xdr:pic>
  </etc:cellImage>
  <etc:cellImage>
    <xdr:pic>
      <xdr:nvPicPr>
        <xdr:cNvPr id="15" name="ID_29E1EF63D8C5405D9C46F1DF04C21A32" descr=" "/>
        <xdr:cNvPicPr/>
      </xdr:nvPicPr>
      <xdr:blipFill>
        <a:blip xmlns:r="http://schemas.openxmlformats.org/officeDocument/2006/relationships" r:embed="rId14"/>
        <a:srcRect/>
        <a:stretch>
          <a:fillRect/>
        </a:stretch>
      </xdr:blipFill>
      <xdr:spPr>
        <a:xfrm>
          <a:off x="0" y="0"/>
          <a:ext cx="163426" cy="551563"/>
        </a:xfrm>
        <a:noFill/>
        <a:ln w="9525" cap="flat" cmpd="sng">
          <a:noFill/>
          <a:prstDash val="solid"/>
          <a:miter/>
        </a:ln>
        <a:effectLst/>
      </xdr:spPr>
    </xdr:pic>
  </etc:cellImage>
  <etc:cellImage>
    <xdr:pic>
      <xdr:nvPicPr>
        <xdr:cNvPr id="16" name="ID_274A69CCF6B14D6B872CB975D09B7D43" descr=" "/>
        <xdr:cNvPicPr/>
      </xdr:nvPicPr>
      <xdr:blipFill>
        <a:blip xmlns:r="http://schemas.openxmlformats.org/officeDocument/2006/relationships" r:embed="rId15"/>
        <a:srcRect/>
        <a:stretch>
          <a:fillRect/>
        </a:stretch>
      </xdr:blipFill>
      <xdr:spPr>
        <a:xfrm>
          <a:off x="0" y="0"/>
          <a:ext cx="1021413" cy="1021413"/>
        </a:xfrm>
        <a:noFill/>
        <a:ln w="9525" cap="flat" cmpd="sng">
          <a:noFill/>
          <a:prstDash val="solid"/>
          <a:miter/>
        </a:ln>
        <a:effectLst/>
      </xdr:spPr>
    </xdr:pic>
  </etc:cellImage>
  <etc:cellImage>
    <xdr:pic>
      <xdr:nvPicPr>
        <xdr:cNvPr id="17" name="ID_A2FC3BF26CFA4372A0B27F1C17439743" descr=" "/>
        <xdr:cNvPicPr/>
      </xdr:nvPicPr>
      <xdr:blipFill>
        <a:blip xmlns:r="http://schemas.openxmlformats.org/officeDocument/2006/relationships" r:embed="rId16"/>
        <a:srcRect/>
        <a:stretch>
          <a:fillRect/>
        </a:stretch>
      </xdr:blipFill>
      <xdr:spPr>
        <a:xfrm>
          <a:off x="0" y="0"/>
          <a:ext cx="2451392" cy="204282"/>
        </a:xfrm>
        <a:noFill/>
        <a:ln w="9525" cap="flat" cmpd="sng">
          <a:noFill/>
          <a:prstDash val="solid"/>
          <a:miter/>
        </a:ln>
        <a:effectLst/>
      </xdr:spPr>
    </xdr:pic>
  </etc:cellImage>
  <etc:cellImage>
    <xdr:pic>
      <xdr:nvPicPr>
        <xdr:cNvPr id="18" name="ID_55883BFB6E364E2292A4E45C1673E172" descr=" "/>
        <xdr:cNvPicPr/>
      </xdr:nvPicPr>
      <xdr:blipFill>
        <a:blip xmlns:r="http://schemas.openxmlformats.org/officeDocument/2006/relationships" r:embed="rId17"/>
        <a:srcRect/>
        <a:stretch>
          <a:fillRect/>
        </a:stretch>
      </xdr:blipFill>
      <xdr:spPr>
        <a:xfrm>
          <a:off x="0" y="0"/>
          <a:ext cx="265567" cy="265567"/>
        </a:xfrm>
        <a:noFill/>
        <a:ln w="9525" cap="flat" cmpd="sng">
          <a:noFill/>
          <a:prstDash val="solid"/>
          <a:miter/>
        </a:ln>
        <a:effectLst/>
      </xdr:spPr>
    </xdr:pic>
  </etc:cellImage>
  <etc:cellImage>
    <xdr:pic>
      <xdr:nvPicPr>
        <xdr:cNvPr id="19" name="ID_8FEAE7C2FAAE44A6AC5B42CCEF3562B9" descr=" "/>
        <xdr:cNvPicPr/>
      </xdr:nvPicPr>
      <xdr:blipFill>
        <a:blip xmlns:r="http://schemas.openxmlformats.org/officeDocument/2006/relationships" r:embed="rId18"/>
        <a:srcRect/>
        <a:stretch>
          <a:fillRect/>
        </a:stretch>
      </xdr:blipFill>
      <xdr:spPr>
        <a:xfrm>
          <a:off x="0" y="0"/>
          <a:ext cx="153212" cy="183854"/>
        </a:xfrm>
        <a:noFill/>
        <a:ln w="9525" cap="flat" cmpd="sng">
          <a:noFill/>
          <a:prstDash val="solid"/>
          <a:miter/>
        </a:ln>
        <a:effectLst/>
      </xdr:spPr>
    </xdr:pic>
  </etc:cellImage>
  <etc:cellImage>
    <xdr:pic>
      <xdr:nvPicPr>
        <xdr:cNvPr id="20" name="ID_D1A3A8CA1CD8468C8A5B842D859C3A6A" descr=" "/>
        <xdr:cNvPicPr/>
      </xdr:nvPicPr>
      <xdr:blipFill>
        <a:blip xmlns:r="http://schemas.openxmlformats.org/officeDocument/2006/relationships" r:embed="rId19"/>
        <a:srcRect/>
        <a:stretch>
          <a:fillRect/>
        </a:stretch>
      </xdr:blipFill>
      <xdr:spPr>
        <a:xfrm>
          <a:off x="0" y="0"/>
          <a:ext cx="2451392" cy="612848"/>
        </a:xfrm>
        <a:noFill/>
        <a:ln w="9525" cap="flat" cmpd="sng">
          <a:noFill/>
          <a:prstDash val="solid"/>
          <a:miter/>
        </a:ln>
        <a:effectLst/>
      </xdr:spPr>
    </xdr:pic>
  </etc:cellImage>
  <etc:cellImage>
    <xdr:pic>
      <xdr:nvPicPr>
        <xdr:cNvPr id="21" name="ID_CC6B9CFD98E147E69960ABA618805D08" descr=" "/>
        <xdr:cNvPicPr/>
      </xdr:nvPicPr>
      <xdr:blipFill>
        <a:blip xmlns:r="http://schemas.openxmlformats.org/officeDocument/2006/relationships" r:embed="rId20"/>
        <a:srcRect/>
        <a:stretch>
          <a:fillRect/>
        </a:stretch>
      </xdr:blipFill>
      <xdr:spPr>
        <a:xfrm>
          <a:off x="0" y="0"/>
          <a:ext cx="81713" cy="347280"/>
        </a:xfrm>
        <a:noFill/>
        <a:ln w="9525" cap="flat" cmpd="sng">
          <a:noFill/>
          <a:prstDash val="solid"/>
          <a:miter/>
        </a:ln>
        <a:effectLst/>
      </xdr:spPr>
    </xdr:pic>
  </etc:cellImage>
  <etc:cellImage>
    <xdr:pic>
      <xdr:nvPicPr>
        <xdr:cNvPr id="22" name="ID_6055DFCFB84F44E2B93C88277D735930" descr=" "/>
        <xdr:cNvPicPr/>
      </xdr:nvPicPr>
      <xdr:blipFill>
        <a:blip xmlns:r="http://schemas.openxmlformats.org/officeDocument/2006/relationships" r:embed="rId21"/>
        <a:srcRect/>
        <a:stretch>
          <a:fillRect/>
        </a:stretch>
      </xdr:blipFill>
      <xdr:spPr>
        <a:xfrm>
          <a:off x="0" y="0"/>
          <a:ext cx="1583190" cy="357494"/>
        </a:xfrm>
        <a:noFill/>
        <a:ln w="9525" cap="flat" cmpd="sng">
          <a:noFill/>
          <a:prstDash val="solid"/>
          <a:miter/>
        </a:ln>
        <a:effectLst/>
      </xdr:spPr>
    </xdr:pic>
  </etc:cellImage>
  <etc:cellImage>
    <xdr:pic>
      <xdr:nvPicPr>
        <xdr:cNvPr id="23" name="ID_33BB71BB64754993910B342669EA1D01" descr=" "/>
        <xdr:cNvPicPr/>
      </xdr:nvPicPr>
      <xdr:blipFill>
        <a:blip xmlns:r="http://schemas.openxmlformats.org/officeDocument/2006/relationships" r:embed="rId20"/>
        <a:srcRect/>
        <a:stretch>
          <a:fillRect/>
        </a:stretch>
      </xdr:blipFill>
      <xdr:spPr>
        <a:xfrm>
          <a:off x="0" y="0"/>
          <a:ext cx="81713" cy="347280"/>
        </a:xfrm>
        <a:noFill/>
        <a:ln w="9525" cap="flat" cmpd="sng">
          <a:noFill/>
          <a:prstDash val="solid"/>
          <a:miter/>
        </a:ln>
        <a:effectLst/>
      </xdr:spPr>
    </xdr:pic>
  </etc:cellImage>
  <etc:cellImage>
    <xdr:pic>
      <xdr:nvPicPr>
        <xdr:cNvPr id="24" name="ID_F0B16CDD163F469EA17FFD0F9B1DFA75" descr=" "/>
        <xdr:cNvPicPr/>
      </xdr:nvPicPr>
      <xdr:blipFill>
        <a:blip xmlns:r="http://schemas.openxmlformats.org/officeDocument/2006/relationships" r:embed="rId22"/>
        <a:srcRect/>
        <a:stretch>
          <a:fillRect/>
        </a:stretch>
      </xdr:blipFill>
      <xdr:spPr>
        <a:xfrm>
          <a:off x="0" y="0"/>
          <a:ext cx="510706" cy="510706"/>
        </a:xfrm>
        <a:noFill/>
        <a:ln w="9525" cap="flat" cmpd="sng">
          <a:noFill/>
          <a:prstDash val="solid"/>
          <a:miter/>
        </a:ln>
        <a:effectLst/>
      </xdr:spPr>
    </xdr:pic>
  </etc:cellImage>
  <etc:cellImage>
    <xdr:pic>
      <xdr:nvPicPr>
        <xdr:cNvPr id="25" name="ID_CF843F98DF1949EE99C5AE2CD22E0837" descr=" "/>
        <xdr:cNvPicPr/>
      </xdr:nvPicPr>
      <xdr:blipFill>
        <a:blip xmlns:r="http://schemas.openxmlformats.org/officeDocument/2006/relationships" r:embed="rId23"/>
        <a:srcRect/>
        <a:stretch>
          <a:fillRect/>
        </a:stretch>
      </xdr:blipFill>
      <xdr:spPr>
        <a:xfrm>
          <a:off x="0" y="0"/>
          <a:ext cx="153212" cy="663918"/>
        </a:xfrm>
        <a:noFill/>
        <a:ln w="9525" cap="flat" cmpd="sng">
          <a:noFill/>
          <a:prstDash val="solid"/>
          <a:miter/>
        </a:ln>
        <a:effectLst/>
      </xdr:spPr>
    </xdr:pic>
  </etc:cellImage>
  <etc:cellImage>
    <xdr:pic>
      <xdr:nvPicPr>
        <xdr:cNvPr id="26" name="ID_0A03C7C2E6344370A50358F1169DE98D" descr=" "/>
        <xdr:cNvPicPr/>
      </xdr:nvPicPr>
      <xdr:blipFill>
        <a:blip xmlns:r="http://schemas.openxmlformats.org/officeDocument/2006/relationships" r:embed="rId24"/>
        <a:srcRect/>
        <a:stretch>
          <a:fillRect/>
        </a:stretch>
      </xdr:blipFill>
      <xdr:spPr>
        <a:xfrm>
          <a:off x="0" y="0"/>
          <a:ext cx="142997" cy="245139"/>
        </a:xfrm>
        <a:noFill/>
        <a:ln w="9525" cap="flat" cmpd="sng">
          <a:noFill/>
          <a:prstDash val="solid"/>
          <a:miter/>
        </a:ln>
        <a:effectLst/>
      </xdr:spPr>
    </xdr:pic>
  </etc:cellImage>
  <etc:cellImage>
    <xdr:pic>
      <xdr:nvPicPr>
        <xdr:cNvPr id="27" name="ID_2C176A755EC2498FA8C10C31EE41AED9" descr=" "/>
        <xdr:cNvPicPr/>
      </xdr:nvPicPr>
      <xdr:blipFill>
        <a:blip xmlns:r="http://schemas.openxmlformats.org/officeDocument/2006/relationships" r:embed="rId25"/>
        <a:srcRect/>
        <a:stretch>
          <a:fillRect/>
        </a:stretch>
      </xdr:blipFill>
      <xdr:spPr>
        <a:xfrm>
          <a:off x="0" y="0"/>
          <a:ext cx="204282" cy="204282"/>
        </a:xfrm>
        <a:noFill/>
        <a:ln w="9525" cap="flat" cmpd="sng">
          <a:noFill/>
          <a:prstDash val="solid"/>
          <a:miter/>
        </a:ln>
        <a:effectLst/>
      </xdr:spPr>
    </xdr:pic>
  </etc:cellImage>
  <etc:cellImage>
    <xdr:pic>
      <xdr:nvPicPr>
        <xdr:cNvPr id="28" name="ID_05E4BA6E781F4FDF8A23F75C9DC9525F" descr=" "/>
        <xdr:cNvPicPr/>
      </xdr:nvPicPr>
      <xdr:blipFill>
        <a:blip xmlns:r="http://schemas.openxmlformats.org/officeDocument/2006/relationships" r:embed="rId26"/>
        <a:srcRect/>
        <a:stretch>
          <a:fillRect/>
        </a:stretch>
      </xdr:blipFill>
      <xdr:spPr>
        <a:xfrm>
          <a:off x="0" y="0"/>
          <a:ext cx="10214" cy="10214"/>
        </a:xfrm>
        <a:noFill/>
        <a:ln w="9525" cap="flat" cmpd="sng">
          <a:noFill/>
          <a:prstDash val="solid"/>
          <a:miter/>
        </a:ln>
        <a:effectLst/>
      </xdr:spPr>
    </xdr:pic>
  </etc:cellImage>
  <etc:cellImage>
    <xdr:pic>
      <xdr:nvPicPr>
        <xdr:cNvPr id="29" name="ID_82156751FBE94FF992198E0688D07110" descr=" "/>
        <xdr:cNvPicPr/>
      </xdr:nvPicPr>
      <xdr:blipFill>
        <a:blip xmlns:r="http://schemas.openxmlformats.org/officeDocument/2006/relationships" r:embed="rId27"/>
        <a:srcRect/>
        <a:stretch>
          <a:fillRect/>
        </a:stretch>
      </xdr:blipFill>
      <xdr:spPr>
        <a:xfrm>
          <a:off x="0" y="0"/>
          <a:ext cx="653704" cy="653704"/>
        </a:xfrm>
        <a:noFill/>
        <a:ln w="9525" cap="flat" cmpd="sng">
          <a:noFill/>
          <a:prstDash val="solid"/>
          <a:miter/>
        </a:ln>
        <a:effectLst/>
      </xdr:spPr>
    </xdr:pic>
  </etc:cellImage>
  <etc:cellImage>
    <xdr:pic>
      <xdr:nvPicPr>
        <xdr:cNvPr id="30" name="ID_78F21BF5072241C3B41D7C75B29D374C" descr=" "/>
        <xdr:cNvPicPr/>
      </xdr:nvPicPr>
      <xdr:blipFill>
        <a:blip xmlns:r="http://schemas.openxmlformats.org/officeDocument/2006/relationships" r:embed="rId28"/>
        <a:srcRect/>
        <a:stretch>
          <a:fillRect/>
        </a:stretch>
      </xdr:blipFill>
      <xdr:spPr>
        <a:xfrm>
          <a:off x="0" y="0"/>
          <a:ext cx="5393063" cy="326852"/>
        </a:xfrm>
        <a:noFill/>
        <a:ln w="9525" cap="flat" cmpd="sng">
          <a:noFill/>
          <a:prstDash val="solid"/>
          <a:miter/>
        </a:ln>
        <a:effectLst/>
      </xdr:spPr>
    </xdr:pic>
  </etc:cellImage>
  <etc:cellImage>
    <xdr:pic>
      <xdr:nvPicPr>
        <xdr:cNvPr id="31" name="ID_DC97B0C0A6D94099BEF648E534FD8C3D" descr=" "/>
        <xdr:cNvPicPr/>
      </xdr:nvPicPr>
      <xdr:blipFill>
        <a:blip xmlns:r="http://schemas.openxmlformats.org/officeDocument/2006/relationships" r:embed="rId29"/>
        <a:srcRect/>
        <a:stretch>
          <a:fillRect/>
        </a:stretch>
      </xdr:blipFill>
      <xdr:spPr>
        <a:xfrm>
          <a:off x="0" y="0"/>
          <a:ext cx="132783" cy="204282"/>
        </a:xfrm>
        <a:noFill/>
        <a:ln w="9525" cap="flat" cmpd="sng">
          <a:noFill/>
          <a:prstDash val="solid"/>
          <a:miter/>
        </a:ln>
        <a:effectLst/>
      </xdr:spPr>
    </xdr:pic>
  </etc:cellImage>
  <etc:cellImage>
    <xdr:pic>
      <xdr:nvPicPr>
        <xdr:cNvPr id="32" name="ID_CBE0C1461FA14CCE83D764E16FD3962D" descr=" "/>
        <xdr:cNvPicPr/>
      </xdr:nvPicPr>
      <xdr:blipFill>
        <a:blip xmlns:r="http://schemas.openxmlformats.org/officeDocument/2006/relationships" r:embed="rId30"/>
        <a:srcRect/>
        <a:stretch>
          <a:fillRect/>
        </a:stretch>
      </xdr:blipFill>
      <xdr:spPr>
        <a:xfrm>
          <a:off x="0" y="0"/>
          <a:ext cx="326852" cy="326852"/>
        </a:xfrm>
        <a:noFill/>
        <a:ln w="9525" cap="flat" cmpd="sng">
          <a:noFill/>
          <a:prstDash val="solid"/>
          <a:miter/>
        </a:ln>
        <a:effectLst/>
      </xdr:spPr>
    </xdr:pic>
  </etc:cellImage>
  <etc:cellImage>
    <xdr:pic>
      <xdr:nvPicPr>
        <xdr:cNvPr id="33" name="ID_00C53C6DBF014724BD57603570ED6B96" descr=" "/>
        <xdr:cNvPicPr/>
      </xdr:nvPicPr>
      <xdr:blipFill>
        <a:blip xmlns:r="http://schemas.openxmlformats.org/officeDocument/2006/relationships" r:embed="rId31"/>
        <a:srcRect/>
        <a:stretch>
          <a:fillRect/>
        </a:stretch>
      </xdr:blipFill>
      <xdr:spPr>
        <a:xfrm>
          <a:off x="0" y="0"/>
          <a:ext cx="132783" cy="428993"/>
        </a:xfrm>
        <a:noFill/>
        <a:ln w="9525" cap="flat" cmpd="sng">
          <a:noFill/>
          <a:prstDash val="solid"/>
          <a:miter/>
        </a:ln>
        <a:effectLst/>
      </xdr:spPr>
    </xdr:pic>
  </etc:cellImage>
  <etc:cellImage>
    <xdr:pic>
      <xdr:nvPicPr>
        <xdr:cNvPr id="34" name="ID_E9860260CBC9414A8C10CD78D58DAE72" descr=" "/>
        <xdr:cNvPicPr/>
      </xdr:nvPicPr>
      <xdr:blipFill>
        <a:blip xmlns:r="http://schemas.openxmlformats.org/officeDocument/2006/relationships" r:embed="rId32"/>
        <a:srcRect/>
        <a:stretch>
          <a:fillRect/>
        </a:stretch>
      </xdr:blipFill>
      <xdr:spPr>
        <a:xfrm>
          <a:off x="0" y="0"/>
          <a:ext cx="142997" cy="275781"/>
        </a:xfrm>
        <a:noFill/>
        <a:ln w="9525" cap="flat" cmpd="sng">
          <a:noFill/>
          <a:prstDash val="solid"/>
          <a:miter/>
        </a:ln>
        <a:effectLst/>
      </xdr:spPr>
    </xdr:pic>
  </etc:cellImage>
  <etc:cellImage>
    <xdr:pic>
      <xdr:nvPicPr>
        <xdr:cNvPr id="35" name="ID_C325264803C747149E567C11A150A936" descr=" "/>
        <xdr:cNvPicPr/>
      </xdr:nvPicPr>
      <xdr:blipFill>
        <a:blip xmlns:r="http://schemas.openxmlformats.org/officeDocument/2006/relationships" r:embed="rId33"/>
        <a:srcRect/>
        <a:stretch>
          <a:fillRect/>
        </a:stretch>
      </xdr:blipFill>
      <xdr:spPr>
        <a:xfrm>
          <a:off x="0" y="0"/>
          <a:ext cx="122569" cy="449421"/>
        </a:xfrm>
        <a:noFill/>
        <a:ln w="9525" cap="flat" cmpd="sng">
          <a:noFill/>
          <a:prstDash val="solid"/>
          <a:miter/>
        </a:ln>
        <a:effectLst/>
      </xdr:spPr>
    </xdr:pic>
  </etc:cellImage>
  <etc:cellImage>
    <xdr:pic>
      <xdr:nvPicPr>
        <xdr:cNvPr id="36" name="ID_6DFC656A84F7428089232418156886E0" descr=" "/>
        <xdr:cNvPicPr/>
      </xdr:nvPicPr>
      <xdr:blipFill>
        <a:blip xmlns:r="http://schemas.openxmlformats.org/officeDocument/2006/relationships" r:embed="rId34"/>
        <a:srcRect/>
        <a:stretch>
          <a:fillRect/>
        </a:stretch>
      </xdr:blipFill>
      <xdr:spPr>
        <a:xfrm>
          <a:off x="0" y="0"/>
          <a:ext cx="204282" cy="204282"/>
        </a:xfrm>
        <a:noFill/>
        <a:ln w="9525" cap="flat" cmpd="sng">
          <a:noFill/>
          <a:prstDash val="solid"/>
          <a:miter/>
        </a:ln>
        <a:effectLst/>
      </xdr:spPr>
    </xdr:pic>
  </etc:cellImage>
  <etc:cellImage>
    <xdr:pic>
      <xdr:nvPicPr>
        <xdr:cNvPr id="37" name="ID_17BBB7940C4548A49B24E44941FAC727" descr=" "/>
        <xdr:cNvPicPr/>
      </xdr:nvPicPr>
      <xdr:blipFill>
        <a:blip xmlns:r="http://schemas.openxmlformats.org/officeDocument/2006/relationships" r:embed="rId35"/>
        <a:srcRect/>
        <a:stretch>
          <a:fillRect/>
        </a:stretch>
      </xdr:blipFill>
      <xdr:spPr>
        <a:xfrm>
          <a:off x="0" y="0"/>
          <a:ext cx="112355" cy="194068"/>
        </a:xfrm>
        <a:noFill/>
        <a:ln w="9525" cap="flat" cmpd="sng">
          <a:noFill/>
          <a:prstDash val="solid"/>
          <a:miter/>
        </a:ln>
        <a:effectLst/>
      </xdr:spPr>
    </xdr:pic>
  </etc:cellImage>
  <etc:cellImage>
    <xdr:pic>
      <xdr:nvPicPr>
        <xdr:cNvPr id="38" name="ID_80F9E7161D644A39A2032D8AFE610858" descr=" "/>
        <xdr:cNvPicPr/>
      </xdr:nvPicPr>
      <xdr:blipFill>
        <a:blip xmlns:r="http://schemas.openxmlformats.org/officeDocument/2006/relationships" r:embed="rId36"/>
        <a:srcRect/>
        <a:stretch>
          <a:fillRect/>
        </a:stretch>
      </xdr:blipFill>
      <xdr:spPr>
        <a:xfrm>
          <a:off x="0" y="0"/>
          <a:ext cx="255353" cy="255353"/>
        </a:xfrm>
        <a:noFill/>
        <a:ln w="9525" cap="flat" cmpd="sng">
          <a:noFill/>
          <a:prstDash val="solid"/>
          <a:miter/>
        </a:ln>
        <a:effectLst/>
      </xdr:spPr>
    </xdr:pic>
  </etc:cellImage>
  <etc:cellImage>
    <xdr:pic>
      <xdr:nvPicPr>
        <xdr:cNvPr id="39" name="ID_90EF2186021D4A0794BB232104127623" descr=" "/>
        <xdr:cNvPicPr/>
      </xdr:nvPicPr>
      <xdr:blipFill>
        <a:blip xmlns:r="http://schemas.openxmlformats.org/officeDocument/2006/relationships" r:embed="rId37"/>
        <a:srcRect/>
        <a:stretch>
          <a:fillRect/>
        </a:stretch>
      </xdr:blipFill>
      <xdr:spPr>
        <a:xfrm>
          <a:off x="0" y="0"/>
          <a:ext cx="224710" cy="224710"/>
        </a:xfrm>
        <a:noFill/>
        <a:ln w="9525" cap="flat" cmpd="sng">
          <a:noFill/>
          <a:prstDash val="solid"/>
          <a:miter/>
        </a:ln>
        <a:effectLst/>
      </xdr:spPr>
    </xdr:pic>
  </etc:cellImage>
  <etc:cellImage>
    <xdr:pic>
      <xdr:nvPicPr>
        <xdr:cNvPr id="40" name="ID_DC22066B560045F794808FFEAC5CA3C1" descr=" "/>
        <xdr:cNvPicPr/>
      </xdr:nvPicPr>
      <xdr:blipFill>
        <a:blip xmlns:r="http://schemas.openxmlformats.org/officeDocument/2006/relationships" r:embed="rId38"/>
        <a:srcRect/>
        <a:stretch>
          <a:fillRect/>
        </a:stretch>
      </xdr:blipFill>
      <xdr:spPr>
        <a:xfrm>
          <a:off x="0" y="0"/>
          <a:ext cx="30642" cy="30642"/>
        </a:xfrm>
        <a:noFill/>
        <a:ln w="9525" cap="flat" cmpd="sng">
          <a:noFill/>
          <a:prstDash val="solid"/>
          <a:miter/>
        </a:ln>
        <a:effectLst/>
      </xdr:spPr>
    </xdr:pic>
  </etc:cellImage>
  <etc:cellImage>
    <xdr:pic>
      <xdr:nvPicPr>
        <xdr:cNvPr id="41" name="ID_8ACFEBC89810442C88EEA972A242BDC7" descr=" "/>
        <xdr:cNvPicPr/>
      </xdr:nvPicPr>
      <xdr:blipFill>
        <a:blip xmlns:r="http://schemas.openxmlformats.org/officeDocument/2006/relationships" r:embed="rId39"/>
        <a:srcRect/>
        <a:stretch>
          <a:fillRect/>
        </a:stretch>
      </xdr:blipFill>
      <xdr:spPr>
        <a:xfrm>
          <a:off x="0" y="0"/>
          <a:ext cx="1307409" cy="1307409"/>
        </a:xfrm>
        <a:noFill/>
        <a:ln w="9525" cap="flat" cmpd="sng">
          <a:noFill/>
          <a:prstDash val="solid"/>
          <a:miter/>
        </a:ln>
        <a:effectLst/>
      </xdr:spPr>
    </xdr:pic>
  </etc:cellImage>
  <etc:cellImage>
    <xdr:pic>
      <xdr:nvPicPr>
        <xdr:cNvPr id="42" name="ID_026F1B45F7954BABAAEF04602AED2FBD" descr=" "/>
        <xdr:cNvPicPr/>
      </xdr:nvPicPr>
      <xdr:blipFill>
        <a:blip xmlns:r="http://schemas.openxmlformats.org/officeDocument/2006/relationships" r:embed="rId40"/>
        <a:srcRect/>
        <a:stretch>
          <a:fillRect/>
        </a:stretch>
      </xdr:blipFill>
      <xdr:spPr>
        <a:xfrm>
          <a:off x="0" y="0"/>
          <a:ext cx="153212" cy="81713"/>
        </a:xfrm>
        <a:noFill/>
        <a:ln w="9525" cap="flat" cmpd="sng">
          <a:noFill/>
          <a:prstDash val="solid"/>
          <a:miter/>
        </a:ln>
        <a:effectLst/>
      </xdr:spPr>
    </xdr:pic>
  </etc:cellImage>
  <etc:cellImage>
    <xdr:pic>
      <xdr:nvPicPr>
        <xdr:cNvPr id="43" name="ID_23143003968242578C48134A0EEDF6F2" descr=" "/>
        <xdr:cNvPicPr/>
      </xdr:nvPicPr>
      <xdr:blipFill>
        <a:blip xmlns:r="http://schemas.openxmlformats.org/officeDocument/2006/relationships" r:embed="rId41"/>
        <a:srcRect/>
        <a:stretch>
          <a:fillRect/>
        </a:stretch>
      </xdr:blipFill>
      <xdr:spPr>
        <a:xfrm>
          <a:off x="0" y="0"/>
          <a:ext cx="4167367" cy="551563"/>
        </a:xfrm>
        <a:noFill/>
        <a:ln w="9525" cap="flat" cmpd="sng">
          <a:noFill/>
          <a:prstDash val="solid"/>
          <a:miter/>
        </a:ln>
        <a:effectLst/>
      </xdr:spPr>
    </xdr:pic>
  </etc:cellImage>
  <etc:cellImage>
    <xdr:pic>
      <xdr:nvPicPr>
        <xdr:cNvPr id="44" name="ID_9F243EC9E7834C8CA6036C7D62E92C5A" descr=" "/>
        <xdr:cNvPicPr/>
      </xdr:nvPicPr>
      <xdr:blipFill>
        <a:blip xmlns:r="http://schemas.openxmlformats.org/officeDocument/2006/relationships" r:embed="rId42"/>
        <a:srcRect/>
        <a:stretch>
          <a:fillRect/>
        </a:stretch>
      </xdr:blipFill>
      <xdr:spPr>
        <a:xfrm>
          <a:off x="0" y="0"/>
          <a:ext cx="255353" cy="418779"/>
        </a:xfrm>
        <a:noFill/>
        <a:ln w="9525" cap="flat" cmpd="sng">
          <a:noFill/>
          <a:prstDash val="solid"/>
          <a:miter/>
        </a:ln>
        <a:effectLst/>
      </xdr:spPr>
    </xdr:pic>
  </etc:cellImage>
  <etc:cellImage>
    <xdr:pic>
      <xdr:nvPicPr>
        <xdr:cNvPr id="45" name="ID_0991FE40B95347AC9389FA0EFB7CE15F" descr=" "/>
        <xdr:cNvPicPr/>
      </xdr:nvPicPr>
      <xdr:blipFill>
        <a:blip xmlns:r="http://schemas.openxmlformats.org/officeDocument/2006/relationships" r:embed="rId43"/>
        <a:srcRect/>
        <a:stretch>
          <a:fillRect/>
        </a:stretch>
      </xdr:blipFill>
      <xdr:spPr>
        <a:xfrm>
          <a:off x="0" y="0"/>
          <a:ext cx="224710" cy="265567"/>
        </a:xfrm>
        <a:noFill/>
        <a:ln w="9525" cap="flat" cmpd="sng">
          <a:noFill/>
          <a:prstDash val="solid"/>
          <a:miter/>
        </a:ln>
        <a:effectLst/>
      </xdr:spPr>
    </xdr:pic>
  </etc:cellImage>
  <etc:cellImage>
    <xdr:pic>
      <xdr:nvPicPr>
        <xdr:cNvPr id="46" name="ID_431D0D0157F446E5976AEB10F0709F5A" descr=" "/>
        <xdr:cNvPicPr/>
      </xdr:nvPicPr>
      <xdr:blipFill>
        <a:blip xmlns:r="http://schemas.openxmlformats.org/officeDocument/2006/relationships" r:embed="rId44"/>
        <a:srcRect/>
        <a:stretch>
          <a:fillRect/>
        </a:stretch>
      </xdr:blipFill>
      <xdr:spPr>
        <a:xfrm>
          <a:off x="0" y="0"/>
          <a:ext cx="153212" cy="663918"/>
        </a:xfrm>
        <a:noFill/>
        <a:ln w="9525" cap="flat" cmpd="sng">
          <a:noFill/>
          <a:prstDash val="solid"/>
          <a:miter/>
        </a:ln>
        <a:effectLst/>
      </xdr:spPr>
    </xdr:pic>
  </etc:cellImage>
  <etc:cellImage>
    <xdr:pic>
      <xdr:nvPicPr>
        <xdr:cNvPr id="47" name="ID_F44486B7FFC2409797B2E46B3981B475" descr=" "/>
        <xdr:cNvPicPr/>
      </xdr:nvPicPr>
      <xdr:blipFill>
        <a:blip xmlns:r="http://schemas.openxmlformats.org/officeDocument/2006/relationships" r:embed="rId45"/>
        <a:srcRect/>
        <a:stretch>
          <a:fillRect/>
        </a:stretch>
      </xdr:blipFill>
      <xdr:spPr>
        <a:xfrm>
          <a:off x="0" y="0"/>
          <a:ext cx="132783" cy="204282"/>
        </a:xfrm>
        <a:noFill/>
        <a:ln w="9525" cap="flat" cmpd="sng">
          <a:noFill/>
          <a:prstDash val="solid"/>
          <a:miter/>
        </a:ln>
        <a:effectLst/>
      </xdr:spPr>
    </xdr:pic>
  </etc:cellImage>
  <etc:cellImage>
    <xdr:pic>
      <xdr:nvPicPr>
        <xdr:cNvPr id="48" name="ID_1DA6C0772BD14A4F943F241843ED7007" descr=" "/>
        <xdr:cNvPicPr/>
      </xdr:nvPicPr>
      <xdr:blipFill>
        <a:blip xmlns:r="http://schemas.openxmlformats.org/officeDocument/2006/relationships" r:embed="rId6"/>
        <a:srcRect/>
        <a:stretch>
          <a:fillRect/>
        </a:stretch>
      </xdr:blipFill>
      <xdr:spPr>
        <a:xfrm>
          <a:off x="0" y="0"/>
          <a:ext cx="2451392" cy="204282"/>
        </a:xfrm>
        <a:noFill/>
        <a:ln w="9525" cap="flat" cmpd="sng">
          <a:noFill/>
          <a:prstDash val="solid"/>
          <a:miter/>
        </a:ln>
        <a:effectLst/>
      </xdr:spPr>
    </xdr:pic>
  </etc:cellImage>
  <etc:cellImage>
    <xdr:pic>
      <xdr:nvPicPr>
        <xdr:cNvPr id="49" name="ID_4D561E75DAA64FC5ACB69682C2D83526" descr=" "/>
        <xdr:cNvPicPr/>
      </xdr:nvPicPr>
      <xdr:blipFill>
        <a:blip xmlns:r="http://schemas.openxmlformats.org/officeDocument/2006/relationships" r:embed="rId46"/>
        <a:srcRect/>
        <a:stretch>
          <a:fillRect/>
        </a:stretch>
      </xdr:blipFill>
      <xdr:spPr>
        <a:xfrm>
          <a:off x="0" y="0"/>
          <a:ext cx="122569" cy="347280"/>
        </a:xfrm>
        <a:noFill/>
        <a:ln w="9525" cap="flat" cmpd="sng">
          <a:noFill/>
          <a:prstDash val="solid"/>
          <a:miter/>
        </a:ln>
        <a:effectLst/>
      </xdr:spPr>
    </xdr:pic>
  </etc:cellImage>
  <etc:cellImage>
    <xdr:pic>
      <xdr:nvPicPr>
        <xdr:cNvPr id="50" name="ID_CDE52053B8774D57BD50A9D012C658B5" descr=" "/>
        <xdr:cNvPicPr/>
      </xdr:nvPicPr>
      <xdr:blipFill>
        <a:blip xmlns:r="http://schemas.openxmlformats.org/officeDocument/2006/relationships" r:embed="rId47"/>
        <a:srcRect/>
        <a:stretch>
          <a:fillRect/>
        </a:stretch>
      </xdr:blipFill>
      <xdr:spPr>
        <a:xfrm>
          <a:off x="0" y="0"/>
          <a:ext cx="102141" cy="265567"/>
        </a:xfrm>
        <a:noFill/>
        <a:ln w="9525" cap="flat" cmpd="sng">
          <a:noFill/>
          <a:prstDash val="solid"/>
          <a:miter/>
        </a:ln>
        <a:effectLst/>
      </xdr:spPr>
    </xdr:pic>
  </etc:cellImage>
  <etc:cellImage>
    <xdr:pic>
      <xdr:nvPicPr>
        <xdr:cNvPr id="51" name="ID_4EF61D67C1A3494C902E514200E95F32" descr=" "/>
        <xdr:cNvPicPr/>
      </xdr:nvPicPr>
      <xdr:blipFill>
        <a:blip xmlns:r="http://schemas.openxmlformats.org/officeDocument/2006/relationships" r:embed="rId48"/>
        <a:srcRect/>
        <a:stretch>
          <a:fillRect/>
        </a:stretch>
      </xdr:blipFill>
      <xdr:spPr>
        <a:xfrm>
          <a:off x="0" y="0"/>
          <a:ext cx="326852" cy="337066"/>
        </a:xfrm>
        <a:noFill/>
        <a:ln w="9525" cap="flat" cmpd="sng">
          <a:noFill/>
          <a:prstDash val="solid"/>
          <a:miter/>
        </a:ln>
        <a:effectLst/>
      </xdr:spPr>
    </xdr:pic>
  </etc:cellImage>
  <etc:cellImage>
    <xdr:pic>
      <xdr:nvPicPr>
        <xdr:cNvPr id="52" name="ID_E233851543A446809A196B97D253457B" descr=" "/>
        <xdr:cNvPicPr/>
      </xdr:nvPicPr>
      <xdr:blipFill>
        <a:blip xmlns:r="http://schemas.openxmlformats.org/officeDocument/2006/relationships" r:embed="rId49"/>
        <a:srcRect/>
        <a:stretch>
          <a:fillRect/>
        </a:stretch>
      </xdr:blipFill>
      <xdr:spPr>
        <a:xfrm>
          <a:off x="0" y="0"/>
          <a:ext cx="510706" cy="510706"/>
        </a:xfrm>
        <a:noFill/>
        <a:ln w="9525" cap="flat" cmpd="sng">
          <a:noFill/>
          <a:prstDash val="solid"/>
          <a:miter/>
        </a:ln>
        <a:effectLst/>
      </xdr:spPr>
    </xdr:pic>
  </etc:cellImage>
  <etc:cellImage>
    <xdr:pic>
      <xdr:nvPicPr>
        <xdr:cNvPr id="53" name="ID_29D99376728B4E0DA5F27A9F964AEE38" descr=" "/>
        <xdr:cNvPicPr/>
      </xdr:nvPicPr>
      <xdr:blipFill>
        <a:blip xmlns:r="http://schemas.openxmlformats.org/officeDocument/2006/relationships" r:embed="rId16"/>
        <a:srcRect/>
        <a:stretch>
          <a:fillRect/>
        </a:stretch>
      </xdr:blipFill>
      <xdr:spPr>
        <a:xfrm>
          <a:off x="0" y="0"/>
          <a:ext cx="2451392" cy="204282"/>
        </a:xfrm>
        <a:noFill/>
        <a:ln w="9525" cap="flat" cmpd="sng">
          <a:noFill/>
          <a:prstDash val="solid"/>
          <a:miter/>
        </a:ln>
        <a:effectLst/>
      </xdr:spPr>
    </xdr:pic>
  </etc:cellImage>
  <etc:cellImage>
    <xdr:pic>
      <xdr:nvPicPr>
        <xdr:cNvPr id="54" name="ID_6BF763F3F48C4FBB9420AEC655B9A577" descr=" "/>
        <xdr:cNvPicPr/>
      </xdr:nvPicPr>
      <xdr:blipFill>
        <a:blip xmlns:r="http://schemas.openxmlformats.org/officeDocument/2006/relationships" r:embed="rId50"/>
        <a:srcRect/>
        <a:stretch>
          <a:fillRect/>
        </a:stretch>
      </xdr:blipFill>
      <xdr:spPr>
        <a:xfrm>
          <a:off x="0" y="0"/>
          <a:ext cx="1021413" cy="1021413"/>
        </a:xfrm>
        <a:noFill/>
        <a:ln w="9525" cap="flat" cmpd="sng">
          <a:noFill/>
          <a:prstDash val="solid"/>
          <a:miter/>
        </a:ln>
        <a:effectLst/>
      </xdr:spPr>
    </xdr:pic>
  </etc:cellImage>
  <etc:cellImage>
    <xdr:pic>
      <xdr:nvPicPr>
        <xdr:cNvPr id="55" name="ID_106D6818690F4B4D9A9B599A195A149A" descr=" "/>
        <xdr:cNvPicPr/>
      </xdr:nvPicPr>
      <xdr:blipFill>
        <a:blip xmlns:r="http://schemas.openxmlformats.org/officeDocument/2006/relationships" r:embed="rId51"/>
        <a:srcRect/>
        <a:stretch>
          <a:fillRect/>
        </a:stretch>
      </xdr:blipFill>
      <xdr:spPr>
        <a:xfrm>
          <a:off x="0" y="0"/>
          <a:ext cx="510706" cy="510706"/>
        </a:xfrm>
        <a:noFill/>
        <a:ln w="9525" cap="flat" cmpd="sng">
          <a:noFill/>
          <a:prstDash val="solid"/>
          <a:miter/>
        </a:ln>
        <a:effectLst/>
      </xdr:spPr>
    </xdr:pic>
  </etc:cellImage>
  <etc:cellImage>
    <xdr:pic>
      <xdr:nvPicPr>
        <xdr:cNvPr id="56" name="ID_78FB5A9ACEEF47E0810E9EAB853F7E73" descr=" "/>
        <xdr:cNvPicPr/>
      </xdr:nvPicPr>
      <xdr:blipFill>
        <a:blip xmlns:r="http://schemas.openxmlformats.org/officeDocument/2006/relationships" r:embed="rId52"/>
        <a:srcRect/>
        <a:stretch>
          <a:fillRect/>
        </a:stretch>
      </xdr:blipFill>
      <xdr:spPr>
        <a:xfrm>
          <a:off x="0" y="0"/>
          <a:ext cx="153212" cy="694561"/>
        </a:xfrm>
        <a:noFill/>
        <a:ln w="9525" cap="flat" cmpd="sng">
          <a:noFill/>
          <a:prstDash val="solid"/>
          <a:miter/>
        </a:ln>
        <a:effectLst/>
      </xdr:spPr>
    </xdr:pic>
  </etc:cellImage>
  <etc:cellImage>
    <xdr:pic>
      <xdr:nvPicPr>
        <xdr:cNvPr id="57" name="ID_4CD131B354C6419093A31829DBAE436B" descr=" "/>
        <xdr:cNvPicPr/>
      </xdr:nvPicPr>
      <xdr:blipFill>
        <a:blip xmlns:r="http://schemas.openxmlformats.org/officeDocument/2006/relationships" r:embed="rId53"/>
        <a:srcRect/>
        <a:stretch>
          <a:fillRect/>
        </a:stretch>
      </xdr:blipFill>
      <xdr:spPr>
        <a:xfrm>
          <a:off x="0" y="0"/>
          <a:ext cx="1021413" cy="1021413"/>
        </a:xfrm>
        <a:noFill/>
        <a:ln w="9525" cap="flat" cmpd="sng">
          <a:noFill/>
          <a:prstDash val="solid"/>
          <a:miter/>
        </a:ln>
        <a:effectLst/>
      </xdr:spPr>
    </xdr:pic>
  </etc:cellImage>
</etc:cellImages>
</file>

<file path=xl/sharedStrings.xml><?xml version="1.0" encoding="utf-8"?>
<sst xmlns="http://schemas.openxmlformats.org/spreadsheetml/2006/main" uniqueCount="10227" count="10227">
  <si>
    <t>key代码</t>
  </si>
  <si>
    <t>key翻译</t>
  </si>
  <si>
    <t>key描述解释</t>
  </si>
  <si>
    <t>key举例说明</t>
  </si>
  <si>
    <t>key值类型</t>
  </si>
  <si>
    <r>
      <rPr>
        <b/>
        <charset val="134"/>
        <sz val="20"/>
        <color rgb="FFFFFFFF"/>
        <rFont val="微软雅黑"/>
      </rPr>
      <t>核心</t>
    </r>
  </si>
  <si>
    <r>
      <rPr>
        <b/>
        <charset val="134"/>
        <sz val="20"/>
        <color rgb="FFFFFFFF"/>
        <rFont val="微软雅黑"/>
      </rPr>
      <t>Section</t>
    </r>
  </si>
  <si>
    <r>
      <rPr>
        <b/>
        <charset val="134"/>
        <sz val="20"/>
        <color rgb="FFFFFFFF"/>
        <rFont val="微软雅黑"/>
      </rPr>
      <t>[core]</t>
    </r>
  </si>
  <si>
    <r>
      <rPr>
        <b/>
        <charset val="134"/>
        <sz val="20"/>
        <color rgb="FFFFFFFF"/>
        <rFont val="微软雅黑"/>
      </rPr>
      <t>代码</t>
    </r>
  </si>
  <si>
    <r>
      <rPr>
        <b/>
        <charset val="134"/>
        <sz val="20"/>
        <color rgb="FFFFFFFF"/>
        <rFont val="微软雅黑"/>
      </rPr>
      <t>代码翻译</t>
    </r>
  </si>
  <si>
    <r>
      <rPr>
        <b/>
        <charset val="134"/>
        <sz val="20"/>
        <color rgb="FFFFFFFF"/>
        <rFont val="微软雅黑"/>
      </rPr>
      <t>描述</t>
    </r>
  </si>
  <si>
    <r>
      <rPr>
        <b/>
        <charset val="134"/>
        <sz val="20"/>
        <color rgb="FFFFFFFF"/>
        <rFont val="微软雅黑"/>
      </rPr>
      <t>例子</t>
    </r>
  </si>
  <si>
    <r>
      <rPr>
        <b/>
        <charset val="134"/>
        <sz val="20"/>
        <color rgb="FFFFFFFF"/>
        <rFont val="微软雅黑"/>
      </rPr>
      <t>值类型</t>
    </r>
  </si>
  <si>
    <r>
      <rPr>
        <b/>
        <charset val="134"/>
        <sz val="10"/>
        <color rgb="FFFFFFFF"/>
        <rFont val="微软雅黑"/>
      </rPr>
      <t>++++++++++</t>
    </r>
  </si>
  <si>
    <r>
      <rPr>
        <b/>
        <charset val="134"/>
        <sz val="10"/>
        <color rgb="FFFFFFFF"/>
        <rFont val="微软雅黑"/>
      </rPr>
      <t>通用代码,多是必要的代码，如果不包括这些，可能导致错误</t>
    </r>
  </si>
  <si>
    <r>
      <rPr>
        <b/>
        <charset val="134"/>
        <sz val="10"/>
        <color rgb="FFFFFFFF"/>
        <rFont val="微软雅黑"/>
      </rPr>
      <t>name</t>
    </r>
  </si>
  <si>
    <r>
      <rPr>
        <b/>
        <charset val="134"/>
        <sz val="10"/>
        <color rgb="FFFFFFFF"/>
        <rFont val="微软雅黑"/>
      </rPr>
      <t>名字</t>
    </r>
  </si>
  <si>
    <r>
      <rPr>
        <b/>
        <charset val="134"/>
        <sz val="10"/>
        <color rgb="FFFFFFFF"/>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</si>
  <si>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FFFFFF"/>
        <rFont val="微软雅黑"/>
      </rPr>
      <t>name:customTank1
name:自定义坦克
name:shibainu</t>
    </r>
  </si>
  <si>
    <r>
      <rPr>
        <b/>
        <charset val="134"/>
        <sz val="10"/>
        <color rgb="FFFFFFFF"/>
        <rFont val="微软雅黑"/>
      </rPr>
      <t>string</t>
    </r>
  </si>
  <si>
    <r>
      <rPr>
        <b/>
        <charset val="134"/>
        <sz val="10"/>
        <color rgb="FFFFFFFF"/>
        <rFont val="微软雅黑"/>
      </rPr>
      <t>altNames</t>
    </r>
  </si>
  <si>
    <r>
      <rPr>
        <b/>
        <charset val="134"/>
        <sz val="10"/>
        <color rgb="FFFFFFFF"/>
        <rFont val="微软雅黑"/>
      </rPr>
      <t>别名</t>
    </r>
  </si>
  <si>
    <r>
      <rPr>
        <b/>
        <charset val="134"/>
        <sz val="10"/>
        <color rgb="FFFFFFFF"/>
        <rFont val="微软雅黑"/>
      </rPr>
      <t>以逗号分隔的名称列表。像名称一样，但优先级较低，对于启用多个自定义nod有用。</t>
    </r>
  </si>
  <si>
    <r>
      <rPr>
        <b/>
        <charset val="134"/>
        <sz val="10"/>
        <color rgb="FFFFFFFF"/>
        <rFont val="微软雅黑"/>
      </rPr>
      <t>altNames:custTank1,customTank1,cTank1</t>
    </r>
  </si>
  <si>
    <r>
      <rPr>
        <b/>
        <charset val="134"/>
        <sz val="10"/>
        <color rgb="FFFFFFFF"/>
        <rFont val="微软雅黑"/>
      </rPr>
      <t>string(s)</t>
    </r>
  </si>
  <si>
    <r>
      <rPr>
        <b/>
        <charset val="134"/>
        <sz val="10"/>
        <color rgb="FFFFFFFF"/>
        <rFont val="微软雅黑"/>
      </rPr>
      <t>class</t>
    </r>
  </si>
  <si>
    <r>
      <rPr>
        <b/>
        <charset val="134"/>
        <sz val="10"/>
        <color rgb="FFFFFFFF"/>
        <rFont val="微软雅黑"/>
      </rPr>
      <t>类</t>
    </r>
  </si>
  <si>
    <r>
      <rPr>
        <b/>
        <charset val="134"/>
        <sz val="10"/>
        <color rgb="FFFFFFFF"/>
        <rFont val="微软雅黑"/>
      </rPr>
      <t>无实际用处，可以删除。Luke说：保留供将来使用，默认情况下最好为CustomUnitMetadata。</t>
    </r>
  </si>
  <si>
    <r>
      <rPr>
        <b/>
        <charset val="134"/>
        <sz val="10"/>
        <color rgb="FFFFFFFF"/>
        <rFont val="微软雅黑"/>
      </rPr>
      <t>class: CustomUnitMetadata</t>
    </r>
  </si>
  <si>
    <r>
      <rPr>
        <b/>
        <charset val="134"/>
        <sz val="10"/>
        <color rgb="FFFFFFFF"/>
        <rFont val="微软雅黑"/>
      </rPr>
      <t>strictLevel</t>
    </r>
  </si>
  <si>
    <r>
      <rPr>
        <b/>
        <charset val="134"/>
        <sz val="10"/>
        <color rgb="FFFFFFFF"/>
        <rFont val="微软雅黑"/>
      </rPr>
      <t>严格级别</t>
    </r>
  </si>
  <si>
    <r>
      <rPr>
        <b/>
        <charset val="134"/>
        <sz val="10"/>
        <color rgb="FFFFFFFF"/>
        <rFont val="微软雅黑"/>
      </rPr>
      <t>默认值为0，忽略代码重复。设为1时如果当前单位内有重复代码，则报错。建议添加到"all-units.template"以应用于所有单位,进行统一查错。</t>
    </r>
  </si>
  <si>
    <r>
      <rPr>
        <b/>
        <charset val="134"/>
        <sz val="10"/>
        <color rgb="FFFFFFFF"/>
        <rFont val="微软雅黑"/>
      </rPr>
      <t>strictLevel:1</t>
    </r>
  </si>
  <si>
    <r>
      <rPr>
        <b/>
        <charset val="134"/>
        <sz val="10"/>
        <color rgb="FFFFFFFF"/>
        <rFont val="微软雅黑"/>
      </rPr>
      <t>float</t>
    </r>
  </si>
  <si>
    <r>
      <rPr>
        <b/>
        <charset val="134"/>
        <sz val="10"/>
        <color rgb="FFFFFFFF"/>
        <rFont val="微软雅黑"/>
      </rPr>
      <t>price</t>
    </r>
  </si>
  <si>
    <r>
      <rPr>
        <b/>
        <charset val="134"/>
        <sz val="10"/>
        <color rgb="FFFFFFFF"/>
        <rFont val="微软雅黑"/>
      </rPr>
      <t>价格</t>
    </r>
  </si>
  <si>
    <r>
      <rPr>
        <b/>
        <charset val="134"/>
        <sz val="10"/>
        <color rgb="FFFFFFFF"/>
        <rFont val="微软雅黑"/>
      </rPr>
      <t>设定单位造价，可以是负数，负数时提直接供资金。</t>
    </r>
  </si>
  <si>
    <r>
      <rPr>
        <b/>
        <charset val="134"/>
        <sz val="10"/>
        <color rgb="FFFFFFFF"/>
        <rFont val="微软雅黑"/>
      </rPr>
      <t>price: 500</t>
    </r>
  </si>
  <si>
    <t>integer(price)</t>
  </si>
  <si>
    <r>
      <rPr>
        <b/>
        <charset val="134"/>
        <sz val="10"/>
        <color rgb="FFFFFFFF"/>
        <rFont val="微软雅黑"/>
      </rPr>
      <t>mass</t>
    </r>
  </si>
  <si>
    <r>
      <rPr>
        <b/>
        <charset val="134"/>
        <sz val="10"/>
        <color rgb="FFFFFFFF"/>
        <rFont val="微软雅黑"/>
      </rPr>
      <t>质量</t>
    </r>
  </si>
  <si>
    <r>
      <rPr>
        <b/>
        <charset val="134"/>
        <sz val="10"/>
        <color rgb="FFFFFFFF"/>
        <rFont val="微软雅黑"/>
      </rPr>
      <t>单位的“重量”定义了它与其他单位的碰撞方式，值越大，推动就越困难。</t>
    </r>
  </si>
  <si>
    <r>
      <rPr>
        <b/>
        <charset val="134"/>
        <sz val="10"/>
        <color rgb="FFFFFFFF"/>
        <rFont val="微软雅黑"/>
      </rPr>
      <t>mass: 3000</t>
    </r>
  </si>
  <si>
    <t>integer</t>
  </si>
  <si>
    <r>
      <rPr>
        <b/>
        <charset val="134"/>
        <sz val="10"/>
        <color rgb="FFFFFFFF"/>
        <rFont val="微软雅黑"/>
      </rPr>
      <t>techLevel</t>
    </r>
  </si>
  <si>
    <r>
      <rPr>
        <b/>
        <charset val="134"/>
        <sz val="10"/>
        <color rgb="FFFFFFFF"/>
        <rFont val="微软雅黑"/>
      </rPr>
      <t>科技等级</t>
    </r>
  </si>
  <si>
    <r>
      <rPr>
        <b/>
        <charset val="134"/>
        <sz val="10"/>
        <color rgb="FFFFFFFF"/>
        <rFont val="微软雅黑"/>
      </rPr>
      <t>设置单位的科技等级，共有3个级别，1级GUI显示为绿色，2、3级显示为黄色。</t>
    </r>
  </si>
  <si>
    <r>
      <rPr>
        <b/>
        <charset val="134"/>
        <sz val="10"/>
        <color rgb="FFFFFFFF"/>
        <rFont val="微软雅黑"/>
      </rPr>
      <t>techLevel: 1</t>
    </r>
  </si>
  <si>
    <r>
      <rPr>
        <b/>
        <charset val="134"/>
        <sz val="10"/>
        <color rgb="FFFFFFFF"/>
        <rFont val="微软雅黑"/>
      </rPr>
      <t>buildSpeed</t>
    </r>
  </si>
  <si>
    <r>
      <rPr>
        <b/>
        <charset val="134"/>
        <sz val="10"/>
        <color rgb="FFFFFFFF"/>
        <rFont val="微软雅黑"/>
      </rPr>
      <t>建造速度</t>
    </r>
  </si>
  <si>
    <r>
      <rPr>
        <b/>
        <charset val="134"/>
        <sz val="10"/>
        <color rgb="FFFFFFFF"/>
        <rFont val="微软雅黑"/>
      </rPr>
      <t>建造此单位需要的时间，填秒。以前的计算方式为：此处所填时间=1÷(60x您需要的秒)如果定义了工厂速率则需要乘以建造乘数。</t>
    </r>
  </si>
  <si>
    <r>
      <rPr>
        <b/>
        <charset val="134"/>
        <sz val="10"/>
        <color rgb="FFFFFFFF"/>
        <rFont val="微软雅黑"/>
      </rPr>
      <t>buildSpeed: 3s</t>
    </r>
  </si>
  <si>
    <t>time</t>
  </si>
  <si>
    <r>
      <rPr>
        <b/>
        <charset val="134"/>
        <sz val="10"/>
        <color rgb="FFFFFFFF"/>
        <rFont val="微软雅黑"/>
      </rPr>
      <t>radius</t>
    </r>
  </si>
  <si>
    <r>
      <rPr>
        <b/>
        <charset val="134"/>
        <sz val="10"/>
        <color rgb="FFFFFFFF"/>
        <rFont val="微软雅黑"/>
      </rPr>
      <t>半径</t>
    </r>
  </si>
  <si>
    <r>
      <rPr>
        <b/>
        <charset val="134"/>
        <sz val="10"/>
        <color rgb="FFFFFFFF"/>
        <rFont val="微软雅黑"/>
      </rPr>
      <t>单位的实际碰擦体积，也是实际的可选择范围。其光圈在displayRadius覆盖时真实体积不变。</t>
    </r>
  </si>
  <si>
    <r>
      <rPr>
        <b/>
        <charset val="134"/>
        <sz val="10"/>
        <color rgb="FFFFFFFF"/>
        <rFont val="微软雅黑"/>
      </rPr>
      <t>radius: 20</t>
    </r>
  </si>
  <si>
    <r>
      <rPr>
        <b/>
        <charset val="134"/>
        <sz val="10"/>
        <color rgb="FFFFFFFF"/>
        <rFont val="微软雅黑"/>
      </rPr>
      <t>isBio</t>
    </r>
  </si>
  <si>
    <r>
      <rPr>
        <b/>
        <charset val="134"/>
        <sz val="10"/>
        <color rgb="FFFFFFFF"/>
        <rFont val="微软雅黑"/>
      </rPr>
      <t>是生物</t>
    </r>
  </si>
  <si>
    <r>
      <rPr>
        <b/>
        <charset val="134"/>
        <sz val="10"/>
        <color rgb="FFFFFFFF"/>
        <rFont val="微软雅黑"/>
      </rPr>
      <t>此单位是否为生物，为生物则影响死亡声音和血迹（图像在drawable/blood_mark.png，hideScorchMark：true时可以隐藏）非生物则为黑色爆炸效果。</t>
    </r>
  </si>
  <si>
    <r>
      <rPr>
        <b/>
        <charset val="134"/>
        <sz val="10"/>
        <color rgb="FFFFFFFF"/>
        <rFont val="微软雅黑"/>
      </rPr>
      <t>isBio: true</t>
    </r>
  </si>
  <si>
    <r>
      <rPr>
        <b/>
        <charset val="134"/>
        <sz val="10"/>
        <color rgb="FFFFFFFF"/>
        <rFont val="微软雅黑"/>
      </rPr>
      <t>bool</t>
    </r>
  </si>
  <si>
    <r>
      <rPr>
        <b/>
        <charset val="134"/>
        <sz val="10"/>
        <color rgb="FFFFFFFF"/>
        <rFont val="微软雅黑"/>
      </rPr>
      <t>isBug</t>
    </r>
  </si>
  <si>
    <r>
      <rPr>
        <b/>
        <charset val="134"/>
        <sz val="10"/>
        <color rgb="FFFFFFFF"/>
        <rFont val="微软雅黑"/>
      </rPr>
      <t>是虫子</t>
    </r>
  </si>
  <si>
    <r>
      <rPr>
        <b/>
        <charset val="134"/>
        <sz val="10"/>
        <color rgb="FFFFFFFF"/>
        <rFont val="微软雅黑"/>
      </rPr>
      <t>是否为虫子，用于沙盒中的单独分类。</t>
    </r>
  </si>
  <si>
    <r>
      <rPr>
        <b/>
        <charset val="134"/>
        <sz val="10"/>
        <color rgb="FFFFFFFF"/>
        <rFont val="微软雅黑"/>
      </rPr>
      <t>isBug: false</t>
    </r>
  </si>
  <si>
    <r>
      <rPr>
        <b/>
        <charset val="134"/>
        <sz val="10"/>
        <color rgb="FFFFFFFF"/>
        <rFont val="微软雅黑"/>
      </rPr>
      <t>isBuilder</t>
    </r>
  </si>
  <si>
    <r>
      <rPr>
        <b/>
        <charset val="134"/>
        <sz val="10"/>
        <color rgb="FFFFFFFF"/>
        <rFont val="微软雅黑"/>
      </rPr>
      <t>是建造者</t>
    </r>
  </si>
  <si>
    <r>
      <rPr>
        <b/>
        <charset val="134"/>
        <sz val="10"/>
        <color rgb="FFFFFFFF"/>
        <rFont val="微软雅黑"/>
      </rPr>
      <t>若需要此单位建造建筑物，则通常需要此代码。并且默认设为[ai] useAsBuilder。</t>
    </r>
  </si>
  <si>
    <r>
      <rPr>
        <b/>
        <charset val="134"/>
        <sz val="10"/>
        <color rgb="FFFFFFFF"/>
        <rFont val="微软雅黑"/>
      </rPr>
      <t>isBuilder: true</t>
    </r>
  </si>
  <si>
    <r>
      <rPr>
        <b/>
        <charset val="134"/>
        <sz val="10"/>
        <color rgb="FFFFFFFF"/>
        <rFont val="微软雅黑"/>
      </rPr>
      <t>streamingCost</t>
    </r>
  </si>
  <si>
    <r>
      <rPr>
        <b/>
        <charset val="134"/>
        <sz val="10"/>
        <color rgb="FFFFFFFF"/>
        <rFont val="微软雅黑"/>
      </rPr>
      <t>流式造价</t>
    </r>
  </si>
  <si>
    <r>
      <rPr>
        <b/>
        <charset val="134"/>
        <sz val="10"/>
        <color rgb="FFFFFFFF"/>
        <rFont val="微软雅黑"/>
      </rPr>
      <t>就像价格，但在建造时逐渐消耗资金，如果在构建过程中资源耗尽，建造或生产队列将暂停。就像是红警中那样。铁锈默认是预先扣除资金。</t>
    </r>
  </si>
  <si>
    <r>
      <rPr>
        <b/>
        <charset val="134"/>
        <sz val="10"/>
        <color rgb="FFFFFFFF"/>
        <rFont val="微软雅黑"/>
      </rPr>
      <t>streamingCos:100</t>
    </r>
  </si>
  <si>
    <r>
      <rPr>
        <b/>
        <charset val="134"/>
        <sz val="10"/>
        <color rgb="FFFFFFFF"/>
        <rFont val="微软雅黑"/>
      </rPr>
      <t>switchPriceWithStreamingCost</t>
    </r>
  </si>
  <si>
    <r>
      <rPr>
        <b/>
        <charset val="134"/>
        <sz val="10"/>
        <color rgb="FFFFFFFF"/>
        <rFont val="微软雅黑"/>
      </rPr>
      <t>切换价格为流式造价</t>
    </r>
  </si>
  <si>
    <r>
      <rPr>
        <b/>
        <charset val="134"/>
        <sz val="10"/>
        <color rgb="FFFFFFFF"/>
        <rFont val="微软雅黑"/>
      </rPr>
      <t>快捷设置为默认资金消耗方式或为流式建造方式。建议使用模板快速将一个模组为所有单位切换流资源。</t>
    </r>
  </si>
  <si>
    <r>
      <rPr>
        <b/>
        <charset val="134"/>
        <sz val="10"/>
        <color rgb="FFFFFFFF"/>
        <rFont val="微软雅黑"/>
      </rPr>
      <t>switchPriceWithStreamingCost:true</t>
    </r>
  </si>
  <si>
    <r>
      <rPr>
        <b/>
        <charset val="134"/>
        <sz val="10"/>
        <color rgb="FFFFFFFF"/>
        <rFont val="微软雅黑"/>
      </rPr>
      <t>单位统计代码</t>
    </r>
  </si>
  <si>
    <r>
      <rPr>
        <b/>
        <charset val="134"/>
        <sz val="10"/>
        <color rgb="FFFFFFFF"/>
        <rFont val="微软雅黑"/>
      </rPr>
      <t>maxHp</t>
    </r>
  </si>
  <si>
    <r>
      <rPr>
        <b/>
        <charset val="134"/>
        <sz val="10"/>
        <color rgb="FFFFFFFF"/>
        <rFont val="微软雅黑"/>
      </rPr>
      <t>生命值</t>
    </r>
  </si>
  <si>
    <r>
      <rPr>
        <b/>
        <charset val="134"/>
        <sz val="10"/>
        <color rgb="FFFFFFFF"/>
        <rFont val="微软雅黑"/>
      </rPr>
      <t>单位最大生命值，默认生成时即为此值。</t>
    </r>
  </si>
  <si>
    <r>
      <rPr>
        <b/>
        <charset val="134"/>
        <sz val="10"/>
        <color rgb="FFFFFFFF"/>
        <rFont val="微软雅黑"/>
      </rPr>
      <t>maxHp: 200</t>
    </r>
  </si>
  <si>
    <r>
      <rPr>
        <b/>
        <charset val="134"/>
        <sz val="10"/>
        <color rgb="FFFFFFFF"/>
        <rFont val="微软雅黑"/>
      </rPr>
      <t>selfRegenRate</t>
    </r>
  </si>
  <si>
    <r>
      <rPr>
        <b/>
        <charset val="134"/>
        <sz val="10"/>
        <color rgb="FFFFFFFF"/>
        <rFont val="微软雅黑"/>
      </rPr>
      <t>生命恢复速度</t>
    </r>
  </si>
  <si>
    <r>
      <rPr>
        <b/>
        <charset val="134"/>
        <sz val="10"/>
        <color rgb="FFFFFFFF"/>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</si>
  <si>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微软雅黑"/>
      </rPr>
      <t>selfRegenRate: 0.01</t>
    </r>
  </si>
  <si>
    <r>
      <rPr>
        <b/>
        <charset val="134"/>
        <sz val="10"/>
        <color rgb="FFFFFFFF"/>
        <rFont val="微软雅黑"/>
      </rPr>
      <t>maxShield</t>
    </r>
  </si>
  <si>
    <r>
      <rPr>
        <b/>
        <charset val="134"/>
        <sz val="10"/>
        <color rgb="FFFFFFFF"/>
        <rFont val="微软雅黑"/>
      </rPr>
      <t>护盾值</t>
    </r>
  </si>
  <si>
    <r>
      <rPr>
        <b/>
        <charset val="134"/>
        <sz val="10"/>
        <color rgb="FFFFFFFF"/>
        <rFont val="微软雅黑"/>
      </rPr>
      <t>单位最大护盾值，默认生成时即为此值。如果设置了startShieldAtZero:true，则初始为0.</t>
    </r>
  </si>
  <si>
    <r>
      <rPr>
        <b/>
        <charset val="134"/>
        <sz val="10"/>
        <color rgb="FFFFFFFF"/>
        <rFont val="微软雅黑"/>
      </rPr>
      <t>maxShield: 500</t>
    </r>
  </si>
  <si>
    <r>
      <rPr>
        <b/>
        <charset val="134"/>
        <sz val="10"/>
        <color rgb="FFFFFFFF"/>
        <rFont val="微软雅黑"/>
      </rPr>
      <t>startShieldAtZero</t>
    </r>
  </si>
  <si>
    <r>
      <rPr>
        <b/>
        <charset val="134"/>
        <sz val="10"/>
        <color rgb="FFFFFFFF"/>
        <rFont val="微软雅黑"/>
      </rPr>
      <t>护盾初始为0</t>
    </r>
  </si>
  <si>
    <r>
      <rPr>
        <b/>
        <charset val="134"/>
        <sz val="10"/>
        <color rgb="FFFFFFFF"/>
        <rFont val="微软雅黑"/>
      </rPr>
      <t>如果为true，则单位护盾值从0开始增加。</t>
    </r>
  </si>
  <si>
    <r>
      <rPr>
        <b/>
        <charset val="134"/>
        <sz val="10"/>
        <color rgb="FFFFFFFF"/>
        <rFont val="微软雅黑"/>
      </rPr>
      <t>startShieldAtZero: true</t>
    </r>
  </si>
  <si>
    <r>
      <rPr>
        <b/>
        <charset val="134"/>
        <sz val="10"/>
        <color rgb="FFFFFFFF"/>
        <rFont val="微软雅黑"/>
      </rPr>
      <t>shieldRegen</t>
    </r>
  </si>
  <si>
    <r>
      <rPr>
        <b/>
        <charset val="134"/>
        <sz val="10"/>
        <color rgb="FFFFFFFF"/>
        <rFont val="微软雅黑"/>
      </rPr>
      <t>护盾恢复速度</t>
    </r>
  </si>
  <si>
    <r>
      <rPr>
        <b/>
        <charset val="134"/>
        <sz val="10"/>
        <color rgb="FFFFFFFF"/>
        <rFont val="微软雅黑"/>
      </rPr>
      <t>此数值决定每帧增加护盾值，游戏内一秒为60帧，所以不要写太大。可以写负值。</t>
    </r>
  </si>
  <si>
    <r>
      <rPr>
        <b/>
        <charset val="134"/>
        <sz val="10"/>
        <color rgb="FFFFFFFF"/>
        <rFont val="微软雅黑"/>
      </rPr>
      <t>shieldRegen: 0.15</t>
    </r>
  </si>
  <si>
    <r>
      <rPr>
        <b/>
        <charset val="134"/>
        <sz val="10"/>
        <color rgb="FFFFFFFF"/>
        <rFont val="微软雅黑"/>
      </rPr>
      <t>energyMax</t>
    </r>
  </si>
  <si>
    <r>
      <rPr>
        <b/>
        <charset val="134"/>
        <sz val="10"/>
        <color rgb="FFFFFFFF"/>
        <rFont val="微软雅黑"/>
      </rPr>
      <t>能量值</t>
    </r>
  </si>
  <si>
    <r>
      <rPr>
        <b/>
        <charset val="134"/>
        <sz val="10"/>
        <color rgb="FFFFFFFF"/>
        <rFont val="微软雅黑"/>
      </rPr>
      <t>默认值为0。可以用作炮塔，激光防御和行动的弹药的能量。</t>
    </r>
  </si>
  <si>
    <r>
      <rPr>
        <b/>
        <charset val="134"/>
        <sz val="10"/>
        <color rgb="FFFFFFFF"/>
        <rFont val="微软雅黑"/>
      </rPr>
      <t>energyMax: 1</t>
    </r>
  </si>
  <si>
    <r>
      <rPr>
        <b/>
        <charset val="134"/>
        <sz val="10"/>
        <color rgb="FFFFFFFF"/>
        <rFont val="微软雅黑"/>
      </rPr>
      <t>startEnergyAtZero</t>
    </r>
  </si>
  <si>
    <r>
      <rPr>
        <b/>
        <charset val="134"/>
        <sz val="10"/>
        <color rgb="FFFFFFFF"/>
        <rFont val="微软雅黑"/>
      </rPr>
      <t>能量初始为0</t>
    </r>
  </si>
  <si>
    <r>
      <rPr>
        <b/>
        <charset val="134"/>
        <sz val="10"/>
        <color rgb="FFFFFFFF"/>
        <rFont val="微软雅黑"/>
      </rPr>
      <t>如果为true，则单位能量值从0开始增加。</t>
    </r>
  </si>
  <si>
    <r>
      <rPr>
        <b/>
        <charset val="134"/>
        <sz val="10"/>
        <color rgb="FFFFFFFF"/>
        <rFont val="微软雅黑"/>
      </rPr>
      <t>startEnergyAtZero: true</t>
    </r>
  </si>
  <si>
    <r>
      <rPr>
        <b/>
        <charset val="134"/>
        <sz val="10"/>
        <color rgb="FFFFFFFF"/>
        <rFont val="微软雅黑"/>
      </rPr>
      <t>energyRegen</t>
    </r>
  </si>
  <si>
    <r>
      <rPr>
        <b/>
        <charset val="134"/>
        <sz val="10"/>
        <color rgb="FFFFFFFF"/>
        <rFont val="微软雅黑"/>
      </rPr>
      <t>能量恢复速度</t>
    </r>
  </si>
  <si>
    <r>
      <rPr>
        <b/>
        <charset val="134"/>
        <sz val="10"/>
        <color rgb="FFFFFFFF"/>
        <rFont val="微软雅黑"/>
      </rPr>
      <t>能量每帧恢复速度，游戏内一秒为60帧，所以不要写太大。可以写负值。</t>
    </r>
  </si>
  <si>
    <r>
      <rPr>
        <b/>
        <charset val="134"/>
        <sz val="10"/>
        <color rgb="FFFFFFFF"/>
        <rFont val="微软雅黑"/>
      </rPr>
      <t>energyRegen: 0.01</t>
    </r>
  </si>
  <si>
    <r>
      <rPr>
        <b/>
        <charset val="134"/>
        <sz val="10"/>
        <color rgb="FFFFFFFF"/>
        <rFont val="微软雅黑"/>
      </rPr>
      <t>energyRegenWhenRecharging</t>
    </r>
  </si>
  <si>
    <r>
      <rPr>
        <b/>
        <charset val="134"/>
        <sz val="10"/>
        <color rgb="FFFFFFFF"/>
        <rFont val="微软雅黑"/>
      </rPr>
      <t>充能时能量恢复速度</t>
    </r>
  </si>
  <si>
    <r>
      <rPr>
        <b/>
        <charset val="134"/>
        <sz val="10"/>
        <color rgb="FFFFFFFF"/>
        <rFont val="微软雅黑"/>
      </rPr>
      <t>能量恢复是持续的，如果您设置了energyNeedsToRechargeToFull，那么攻击时按energyRegen恢复，耗尽时的灰条按此处设定值恢复。</t>
    </r>
  </si>
  <si>
    <r>
      <rPr>
        <b/>
        <charset val="134"/>
        <sz val="10"/>
        <color rgb="FFFFFFFF"/>
        <rFont val="微软雅黑"/>
      </rPr>
      <t>energyRegenWhenRecharging:0.1</t>
    </r>
  </si>
  <si>
    <r>
      <rPr>
        <b/>
        <charset val="134"/>
        <sz val="10"/>
        <color rgb="FFFFFFFF"/>
        <rFont val="微软雅黑"/>
      </rPr>
      <t>energyStartingPercentage</t>
    </r>
  </si>
  <si>
    <r>
      <rPr>
        <b/>
        <charset val="134"/>
        <sz val="10"/>
        <color rgb="FFFFFFFF"/>
        <rFont val="微软雅黑"/>
      </rPr>
      <t>能量初始百分比</t>
    </r>
  </si>
  <si>
    <r>
      <rPr>
        <b/>
        <charset val="134"/>
        <sz val="10"/>
        <color rgb="FFFFFFFF"/>
        <rFont val="微软雅黑"/>
      </rPr>
      <t>单位生成时所携带的能量百分比。</t>
    </r>
  </si>
  <si>
    <r>
      <rPr>
        <b/>
        <charset val="134"/>
        <sz val="10"/>
        <color rgb="FFFFFFFF"/>
        <rFont val="微软雅黑"/>
      </rPr>
      <t>energyStartingPercentage: 0.5</t>
    </r>
  </si>
  <si>
    <r>
      <rPr>
        <b/>
        <charset val="134"/>
        <sz val="10"/>
        <color rgb="FFFFFFFF"/>
        <rFont val="微软雅黑"/>
      </rPr>
      <t>energyNeedsToRechargeToFull</t>
    </r>
  </si>
  <si>
    <r>
      <rPr>
        <b/>
        <charset val="134"/>
        <sz val="10"/>
        <color rgb="FFFFFFFF"/>
        <rFont val="微软雅黑"/>
      </rPr>
      <t>能量需要充满</t>
    </r>
  </si>
  <si>
    <r>
      <rPr>
        <b/>
        <charset val="134"/>
        <sz val="10"/>
        <color rgb="FFFFFFFF"/>
        <rFont val="微软雅黑"/>
      </rPr>
      <t>若果能量耗尽，则需要完全充能才能进行攻击。</t>
    </r>
  </si>
  <si>
    <r>
      <rPr>
        <b/>
        <charset val="134"/>
        <sz val="10"/>
        <color rgb="FFFFFFFF"/>
        <rFont val="微软雅黑"/>
      </rPr>
      <t>energyNeedsToRechargeToFull: true</t>
    </r>
  </si>
  <si>
    <t>bool</t>
  </si>
  <si>
    <r>
      <rPr>
        <b/>
        <charset val="134"/>
        <sz val="10"/>
        <color rgb="FFFFFFFF"/>
        <rFont val="微软雅黑"/>
      </rPr>
      <t>energyDisplayName</t>
    </r>
  </si>
  <si>
    <r>
      <rPr>
        <b/>
        <charset val="134"/>
        <sz val="10"/>
        <color rgb="FFFFFFFF"/>
        <rFont val="微软雅黑"/>
      </rPr>
      <t>能量显示名称</t>
    </r>
  </si>
  <si>
    <r>
      <rPr>
        <b/>
        <charset val="134"/>
        <sz val="10"/>
        <color rgb="FFFFFFFF"/>
        <rFont val="微软雅黑"/>
      </rPr>
      <t>能量显示名称,目前似乎无效.1.15</t>
    </r>
  </si>
  <si>
    <r>
      <rPr>
        <b/>
        <charset val="134"/>
        <sz val="10"/>
        <color rgb="FFFFFFFF"/>
        <rFont val="微软雅黑"/>
      </rPr>
      <t>energyDisplayName:chemms</t>
    </r>
  </si>
  <si>
    <r>
      <rPr>
        <b/>
        <charset val="134"/>
        <sz val="10"/>
        <color rgb="FFFFFFFF"/>
        <rFont val="微软雅黑"/>
      </rPr>
      <t>armour</t>
    </r>
  </si>
  <si>
    <r>
      <rPr>
        <b/>
        <charset val="134"/>
        <sz val="10"/>
        <color rgb="FFFFFFFF"/>
        <rFont val="微软雅黑"/>
      </rPr>
      <t>装甲</t>
    </r>
  </si>
  <si>
    <r>
      <rPr>
        <b/>
        <charset val="134"/>
        <sz val="10"/>
        <color rgb="FFFFFFFF"/>
        <rFont val="微软雅黑"/>
      </rPr>
      <t>抵消敌方攻击所造成的伤害。</t>
    </r>
  </si>
  <si>
    <r>
      <rPr>
        <b/>
        <charset val="134"/>
        <sz val="10"/>
        <color rgb="FFFFFFFF"/>
        <rFont val="微软雅黑"/>
      </rPr>
      <t>armour: 6</t>
    </r>
  </si>
  <si>
    <r>
      <rPr>
        <b/>
        <charset val="134"/>
        <sz val="10"/>
        <color rgb="FFFFFFFF"/>
        <rFont val="微软雅黑"/>
      </rPr>
      <t>armourMinDamageToKeep</t>
    </r>
  </si>
  <si>
    <r>
      <rPr>
        <b/>
        <charset val="134"/>
        <sz val="10"/>
        <color rgb="FFFFFFFF"/>
        <rFont val="微软雅黑"/>
      </rPr>
      <t>装甲最低伤害</t>
    </r>
  </si>
  <si>
    <r>
      <rPr>
        <b/>
        <charset val="134"/>
        <sz val="10"/>
        <color rgb="FFFFFFFF"/>
        <rFont val="微软雅黑"/>
      </rPr>
      <t>至少造成多少点伤害，默认为1.防止护甲太高完全打不动。</t>
    </r>
  </si>
  <si>
    <r>
      <rPr>
        <b/>
        <charset val="134"/>
        <sz val="10"/>
        <color rgb="FFFFFFFF"/>
        <rFont val="微软雅黑"/>
      </rPr>
      <t>armourMinDamageToKeep: 2</t>
    </r>
  </si>
  <si>
    <r>
      <rPr>
        <b/>
        <charset val="134"/>
        <sz val="10"/>
        <color rgb="FFFFFFFF"/>
        <rFont val="微软雅黑"/>
      </rPr>
      <t>borrowResourcesWhileAlive</t>
    </r>
  </si>
  <si>
    <r>
      <rPr>
        <b/>
        <charset val="134"/>
        <sz val="10"/>
        <color rgb="FFFFFFFF"/>
        <rFont val="微软雅黑"/>
      </rPr>
      <t>资源活着时借用</t>
    </r>
  </si>
  <si>
    <r>
      <rPr>
        <b/>
        <charset val="134"/>
        <sz val="10"/>
        <color rgb="FFFFFFFF"/>
        <rFont val="微软雅黑"/>
      </rPr>
      <t>创建时获取这些资源，删除或销毁时将其返回。例如用于电力逻辑，负数供电和正数耗电。</t>
    </r>
  </si>
  <si>
    <r>
      <rPr>
        <b/>
        <charset val="134"/>
        <sz val="10"/>
        <color rgb="FFFFFFFF"/>
        <rFont val="微软雅黑"/>
      </rPr>
      <t>borrowResourcesWhileAlive: gold=10</t>
    </r>
  </si>
  <si>
    <r>
      <rPr>
        <b/>
        <charset val="134"/>
        <sz val="10"/>
        <color rgb="FFFFFFFF"/>
        <rFont val="微软雅黑"/>
      </rPr>
      <t>borrowResourcesWhileBuilt</t>
    </r>
  </si>
  <si>
    <r>
      <rPr>
        <b/>
        <charset val="134"/>
        <sz val="10"/>
        <color rgb="FFFFFFFF"/>
        <rFont val="微软雅黑"/>
      </rPr>
      <t>资源在单位建成后借用</t>
    </r>
  </si>
  <si>
    <r>
      <rPr>
        <b/>
        <charset val="134"/>
        <sz val="10"/>
        <color rgb="FFFFFFFF"/>
        <rFont val="微软雅黑"/>
      </rPr>
      <t>类似于[core]borrowResourcesWhileAlive但在单位建成后才会生效。主要对房屋之类的建筑有用，这些建筑有负的资源，可以加到单位上限等</t>
    </r>
  </si>
  <si>
    <r>
      <rPr>
        <b/>
        <charset val="134"/>
        <sz val="10"/>
        <color rgb="FFFFFFFF"/>
        <rFont val="微软雅黑"/>
      </rPr>
      <t>borrowResourcesWhileBuilt:gold=100</t>
    </r>
  </si>
  <si>
    <r>
      <rPr>
        <b/>
        <charset val="134"/>
        <sz val="10"/>
        <color rgb="FFFFFFFF"/>
        <rFont val="微软雅黑"/>
      </rPr>
      <t>generation_resources</t>
    </r>
  </si>
  <si>
    <r>
      <rPr>
        <b/>
        <charset val="134"/>
        <sz val="10"/>
        <color rgb="FFFFFFFF"/>
        <rFont val="微软雅黑"/>
      </rPr>
      <t>资源获取</t>
    </r>
  </si>
  <si>
    <r>
      <rPr>
        <b/>
        <charset val="134"/>
        <sz val="10"/>
        <color rgb="FFFFFFFF"/>
        <rFont val="微软雅黑"/>
      </rPr>
      <t>单位定时获得的资源，可自定义资源。</t>
    </r>
  </si>
  <si>
    <r>
      <rPr>
        <b/>
        <charset val="134"/>
        <sz val="10"/>
        <color rgb="FFFFFFFF"/>
        <rFont val="微软雅黑"/>
      </rPr>
      <t>generation_resources: credits=5, gold=20</t>
    </r>
  </si>
  <si>
    <r>
      <rPr>
        <b/>
        <charset val="134"/>
        <sz val="10"/>
        <color rgb="FFFFFFFF"/>
        <rFont val="微软雅黑"/>
      </rPr>
      <t>generation_active</t>
    </r>
  </si>
  <si>
    <r>
      <rPr>
        <b/>
        <charset val="134"/>
        <sz val="10"/>
        <color rgb="FFFFFFFF"/>
        <rFont val="微软雅黑"/>
      </rPr>
      <t>资源取得条件</t>
    </r>
  </si>
  <si>
    <r>
      <rPr>
        <b/>
        <charset val="134"/>
        <sz val="10"/>
        <color rgb="FFFFFFFF"/>
        <rFont val="微软雅黑"/>
      </rPr>
      <t>获取资源条件。可用于受损时无法产出。</t>
    </r>
  </si>
  <si>
    <r>
      <rPr>
        <b/>
        <charset val="134"/>
        <sz val="10"/>
        <color rgb="FFFFFFFF"/>
        <rFont val="微软雅黑"/>
      </rPr>
      <t>generation_active: if not self.hp(lessThan=100)</t>
    </r>
  </si>
  <si>
    <r>
      <rPr>
        <b/>
        <charset val="134"/>
        <sz val="10"/>
        <color rgb="FFFFFFFF"/>
        <rFont val="微软雅黑"/>
      </rPr>
      <t>logicBoolean</t>
    </r>
  </si>
  <si>
    <r>
      <rPr>
        <b/>
        <charset val="134"/>
        <sz val="10"/>
        <color rgb="FFFFFFFF"/>
        <rFont val="微软雅黑"/>
      </rPr>
      <t>generation_credits</t>
    </r>
  </si>
  <si>
    <r>
      <rPr>
        <b/>
        <charset val="134"/>
        <sz val="10"/>
        <color rgb="FFFFFFFF"/>
        <rFont val="微软雅黑"/>
      </rPr>
      <t>资金获取</t>
    </r>
  </si>
  <si>
    <r>
      <rPr>
        <b/>
        <charset val="134"/>
        <sz val="10"/>
        <color rgb="FFFFFFFF"/>
        <rFont val="微软雅黑"/>
      </rPr>
      <t>生成资源，仅用于默认的资金，也就是铁锈默认的金钱。</t>
    </r>
  </si>
  <si>
    <r>
      <rPr>
        <b/>
        <charset val="134"/>
        <sz val="10"/>
        <color rgb="FFFFFFFF"/>
        <rFont val="微软雅黑"/>
      </rPr>
      <t>generation_credits: 2</t>
    </r>
  </si>
  <si>
    <r>
      <rPr>
        <b/>
        <charset val="134"/>
        <sz val="10"/>
        <color rgb="FFFFFFFF"/>
        <rFont val="微软雅黑"/>
      </rPr>
      <t>generation_delay</t>
    </r>
  </si>
  <si>
    <r>
      <rPr>
        <b/>
        <charset val="134"/>
        <sz val="10"/>
        <color rgb="FFFFFFFF"/>
        <rFont val="微软雅黑"/>
      </rPr>
      <t>资金获取时间</t>
    </r>
  </si>
  <si>
    <r>
      <rPr>
        <b/>
        <charset val="134"/>
        <sz val="10"/>
        <color rgb="FFFFFFFF"/>
        <rFont val="微软雅黑"/>
      </rPr>
      <t>多久帧添加添加一次资源(generation_creditsvi指定数值)。默认值为40，一秒为60帧。Luke不建议使用。</t>
    </r>
  </si>
  <si>
    <r>
      <rPr>
        <b/>
        <charset val="134"/>
        <sz val="10"/>
        <color rgb="FFFFFFFF"/>
        <rFont val="微软雅黑"/>
      </rPr>
      <t>generation_delay: 40</t>
    </r>
  </si>
  <si>
    <r>
      <rPr>
        <b/>
        <charset val="134"/>
        <sz val="10"/>
        <color rgb="FFFFFFFF"/>
        <rFont val="微软雅黑"/>
      </rPr>
      <t>UI和图形代码</t>
    </r>
  </si>
  <si>
    <r>
      <rPr>
        <b/>
        <charset val="134"/>
        <sz val="10"/>
        <color rgb="FFFFFFFF"/>
        <rFont val="微软雅黑"/>
      </rPr>
      <t>showInEditor</t>
    </r>
  </si>
  <si>
    <r>
      <rPr>
        <b/>
        <charset val="134"/>
        <sz val="10"/>
        <color rgb="FFFFFFFF"/>
        <rFont val="微软雅黑"/>
      </rPr>
      <t>显示在沙盒中</t>
    </r>
  </si>
  <si>
    <r>
      <rPr>
        <b/>
        <charset val="134"/>
        <sz val="10"/>
        <color rgb="FFFFFFFF"/>
        <rFont val="微软雅黑"/>
      </rPr>
      <t>设置为false可在沙箱编辑器中隐藏此单位。 （默认为true）</t>
    </r>
  </si>
  <si>
    <r>
      <rPr>
        <b/>
        <charset val="134"/>
        <sz val="10"/>
        <color rgb="FFFFFFFF"/>
        <rFont val="微软雅黑"/>
      </rPr>
      <t>showInEditor: false</t>
    </r>
  </si>
  <si>
    <r>
      <rPr>
        <b/>
        <charset val="134"/>
        <sz val="10"/>
        <color rgb="FFFFFFFF"/>
        <rFont val="微软雅黑"/>
      </rPr>
      <t>displayText</t>
    </r>
  </si>
  <si>
    <r>
      <rPr>
        <b/>
        <charset val="134"/>
        <sz val="10"/>
        <color rgb="FFFFFFFF"/>
        <rFont val="微软雅黑"/>
      </rPr>
      <t>界面显示名称</t>
    </r>
  </si>
  <si>
    <r>
      <rPr>
        <b/>
        <charset val="134"/>
        <sz val="10"/>
        <color rgb="FFFFFFFF"/>
        <rFont val="微软雅黑"/>
      </rPr>
      <t>默认单位显示给玩家的单位名称。不填则显示core下的单位name。此条目依据语言设定不同会被下一条覆盖。</t>
    </r>
  </si>
  <si>
    <r>
      <rPr>
        <b/>
        <charset val="134"/>
        <sz val="10"/>
        <color rgb="FFFFFFFF"/>
        <rFont val="微软雅黑"/>
      </rPr>
      <t>displayText: Custom Tank</t>
    </r>
  </si>
  <si>
    <r>
      <rPr>
        <b/>
        <charset val="134"/>
        <sz val="10"/>
        <color rgb="FFFFFFFF"/>
        <rFont val="微软雅黑"/>
      </rPr>
      <t>LocaleString</t>
    </r>
  </si>
  <si>
    <r>
      <rPr>
        <b/>
        <charset val="134"/>
        <sz val="10"/>
        <color rgb="FFFFFFFF"/>
        <rFont val="微软雅黑"/>
      </rPr>
      <t>displayText_[Language]</t>
    </r>
  </si>
  <si>
    <r>
      <rPr>
        <b/>
        <charset val="134"/>
        <sz val="10"/>
        <color rgb="FFFFFFFF"/>
        <rFont val="微软雅黑"/>
      </rPr>
      <t>界面显示文本多语言</t>
    </r>
  </si>
  <si>
    <r>
      <rPr>
        <b/>
        <charset val="134"/>
        <sz val="10"/>
        <color rgb="FFFFFFFF"/>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</si>
  <si>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FFFFFF"/>
        <rFont val="微软雅黑"/>
      </rPr>
      <t>displayText_es: Tanque Personalizado
displayText_zh:中文名</t>
    </r>
  </si>
  <si>
    <r>
      <rPr>
        <b/>
        <charset val="134"/>
        <sz val="10"/>
        <color rgb="FFFFFFFF"/>
        <rFont val="微软雅黑"/>
      </rPr>
      <t>displayDescription</t>
    </r>
  </si>
  <si>
    <r>
      <rPr>
        <b/>
        <charset val="134"/>
        <sz val="10"/>
        <color rgb="FFFFFFFF"/>
        <rFont val="微软雅黑"/>
      </rPr>
      <t>界面显示描述</t>
    </r>
  </si>
  <si>
    <r>
      <rPr>
        <b/>
        <charset val="134"/>
        <sz val="10"/>
        <color rgb="FFFFFFFF"/>
        <rFont val="微软雅黑"/>
      </rPr>
      <t>单位显示给玩家的单位描述。</t>
    </r>
  </si>
  <si>
    <r>
      <rPr>
        <b/>
        <charset val="134"/>
        <sz val="10"/>
        <color rgb="FFFFFFFF"/>
        <rFont val="微软雅黑"/>
      </rPr>
      <t>displayDescription:-Fast movement\n炮灰</t>
    </r>
  </si>
  <si>
    <r>
      <rPr>
        <b/>
        <charset val="134"/>
        <sz val="10"/>
        <color rgb="FFFFFFFF"/>
        <rFont val="微软雅黑"/>
      </rPr>
      <t>displayDescription_[Language]</t>
    </r>
  </si>
  <si>
    <r>
      <rPr>
        <b/>
        <charset val="134"/>
        <sz val="10"/>
        <color rgb="FFFFFFFF"/>
        <rFont val="微软雅黑"/>
      </rPr>
      <t>界面显示描述_其它语言</t>
    </r>
  </si>
  <si>
    <r>
      <rPr>
        <b/>
        <charset val="134"/>
        <sz val="10"/>
        <color rgb="FFFFFFFF"/>
        <rFont val="微软雅黑"/>
      </rPr>
      <t>为单位描述添加多语言支持。此方法并不方便，不如设置游戏内部语言文件，建议催luke改。地区码见上。</t>
    </r>
  </si>
  <si>
    <r>
      <rPr>
        <b/>
        <charset val="134"/>
        <sz val="10"/>
        <color rgb="FFFFFFFF"/>
        <rFont val="微软雅黑"/>
      </rPr>
      <t>displayDescription_es: -Movimiento rápido\n-Daño ligero</t>
    </r>
  </si>
  <si>
    <r>
      <rPr>
        <b/>
        <charset val="134"/>
        <sz val="10"/>
        <color rgb="FFFFFFFF"/>
        <rFont val="微软雅黑"/>
      </rPr>
      <t>displayLocaleKey</t>
    </r>
  </si>
  <si>
    <r>
      <rPr>
        <b/>
        <charset val="134"/>
        <sz val="10"/>
        <color rgb="FFFFFFFF"/>
        <rFont val="微软雅黑"/>
      </rPr>
      <t>界面显示内部调用</t>
    </r>
  </si>
  <si>
    <r>
      <rPr>
        <b/>
        <charset val="134"/>
        <sz val="10"/>
        <color rgb="FFFFFFFF"/>
        <rFont val="微软雅黑"/>
      </rPr>
      <t>调用内部语言文件的单位名称和说明的翻译文件。</t>
    </r>
  </si>
  <si>
    <r>
      <rPr>
        <b/>
        <charset val="134"/>
        <sz val="10"/>
        <color rgb="FFFFFFFF"/>
        <rFont val="微软雅黑"/>
      </rPr>
      <t>displayLocaleKey: units.mechArtillery</t>
    </r>
  </si>
  <si>
    <r>
      <rPr>
        <b/>
        <charset val="134"/>
        <sz val="10"/>
        <color rgb="FFFFFFFF"/>
        <rFont val="微软雅黑"/>
      </rPr>
      <t>displayRadius</t>
    </r>
  </si>
  <si>
    <r>
      <rPr>
        <b/>
        <charset val="134"/>
        <sz val="10"/>
        <color rgb="FFFFFFFF"/>
        <rFont val="微软雅黑"/>
      </rPr>
      <t>单位选择时显示圆圈</t>
    </r>
  </si>
  <si>
    <r>
      <rPr>
        <b/>
        <charset val="134"/>
        <sz val="10"/>
        <color rgb="FFFFFFFF"/>
        <rFont val="微软雅黑"/>
      </rPr>
      <t>修改选择单位时显示的绿色圆圈，不更改实际碰撞(radius)和可选择范围。</t>
    </r>
  </si>
  <si>
    <r>
      <rPr>
        <b/>
        <charset val="134"/>
        <sz val="10"/>
        <color rgb="FFFFFFFF"/>
        <rFont val="微软雅黑"/>
      </rPr>
      <t>displayRadius: 20</t>
    </r>
  </si>
  <si>
    <r>
      <rPr>
        <b/>
        <charset val="134"/>
        <sz val="10"/>
        <color rgb="FFFFFFFF"/>
        <rFont val="微软雅黑"/>
      </rPr>
      <t>uiTargetRadius</t>
    </r>
  </si>
  <si>
    <r>
      <rPr>
        <b/>
        <charset val="134"/>
        <sz val="10"/>
        <color rgb="FFFFFFFF"/>
        <rFont val="微软雅黑"/>
      </rPr>
      <t>为目标时半径</t>
    </r>
  </si>
  <si>
    <r>
      <rPr>
        <b/>
        <charset val="134"/>
        <sz val="10"/>
        <color rgb="FFFFFFFF"/>
        <rFont val="微软雅黑"/>
      </rPr>
      <t>默认值为displayRadius。当攻击/回收/等等这个单位使用半径</t>
    </r>
  </si>
  <si>
    <r>
      <rPr>
        <b/>
        <charset val="134"/>
        <sz val="10"/>
        <color rgb="FFFFFFFF"/>
        <rFont val="微软雅黑"/>
      </rPr>
      <t>uiTargetRadius:20</t>
    </r>
  </si>
  <si>
    <r>
      <rPr>
        <b/>
        <charset val="134"/>
        <sz val="10"/>
        <color rgb="FFFFFFFF"/>
        <rFont val="微软雅黑"/>
      </rPr>
      <t>shieldRenderRadius</t>
    </r>
  </si>
  <si>
    <r>
      <rPr>
        <b/>
        <charset val="134"/>
        <sz val="10"/>
        <color rgb="FFFFFFFF"/>
        <rFont val="微软雅黑"/>
      </rPr>
      <t>单位护盾显示半径</t>
    </r>
  </si>
  <si>
    <r>
      <rPr>
        <b/>
        <charset val="134"/>
        <sz val="10"/>
        <color rgb="FFFFFFFF"/>
        <rFont val="微软雅黑"/>
      </rPr>
      <t>护盾绘制半径，默认值比半径大一点。可以设置在单位上显示更大或更小的护盾圈。</t>
    </r>
  </si>
  <si>
    <r>
      <rPr>
        <b/>
        <charset val="134"/>
        <sz val="10"/>
        <color rgb="FFFFFFFF"/>
        <rFont val="微软雅黑"/>
      </rPr>
      <t>shieldRenderRadius: 12</t>
    </r>
  </si>
  <si>
    <r>
      <rPr>
        <b/>
        <charset val="134"/>
        <sz val="10"/>
        <color rgb="FFFFFFFF"/>
        <rFont val="微软雅黑"/>
      </rPr>
      <t>shieldDisplayOnlyDeflection</t>
    </r>
  </si>
  <si>
    <r>
      <rPr>
        <b/>
        <charset val="134"/>
        <sz val="10"/>
        <color rgb="FFFFFFFF"/>
        <rFont val="微软雅黑"/>
      </rPr>
      <t>护盾只在受攻击时显示</t>
    </r>
  </si>
  <si>
    <r>
      <rPr>
        <b/>
        <charset val="134"/>
        <sz val="10"/>
        <color rgb="FFFFFFFF"/>
        <rFont val="微软雅黑"/>
      </rPr>
      <t>隐藏护盾，只在受到攻击时显示。</t>
    </r>
  </si>
  <si>
    <r>
      <rPr>
        <b/>
        <charset val="134"/>
        <sz val="10"/>
        <color rgb="FFFFFFFF"/>
        <rFont val="微软雅黑"/>
      </rPr>
      <t>shieldDisplayOnlyDeflection: true</t>
    </r>
  </si>
  <si>
    <r>
      <rPr>
        <b/>
        <charset val="134"/>
        <sz val="10"/>
        <color rgb="FFFFFFFF"/>
        <rFont val="微软雅黑"/>
      </rPr>
      <t>shieldDeflectionDisplayRate</t>
    </r>
  </si>
  <si>
    <r>
      <rPr>
        <b/>
        <charset val="134"/>
        <sz val="10"/>
        <color rgb="FFFFFFFF"/>
        <rFont val="微软雅黑"/>
      </rPr>
      <t>护盾消失速度</t>
    </r>
  </si>
  <si>
    <r>
      <rPr>
        <b/>
        <charset val="134"/>
        <sz val="10"/>
        <color rgb="FFFFFFFF"/>
        <rFont val="微软雅黑"/>
      </rPr>
      <t>默认值为4。数值越大消失越快。</t>
    </r>
  </si>
  <si>
    <r>
      <rPr>
        <b/>
        <charset val="134"/>
        <sz val="10"/>
        <color rgb="FFFFFFFF"/>
        <rFont val="微软雅黑"/>
      </rPr>
      <t>shieldDeflectionDisplayRate: 3</t>
    </r>
  </si>
  <si>
    <r>
      <rPr>
        <b/>
        <charset val="134"/>
        <sz val="10"/>
        <color rgb="FFFFFFFF"/>
        <rFont val="微软雅黑"/>
      </rPr>
      <t>showOnMinimap</t>
    </r>
  </si>
  <si>
    <r>
      <rPr>
        <b/>
        <charset val="134"/>
        <sz val="10"/>
        <color rgb="FFFFFFFF"/>
        <rFont val="微软雅黑"/>
      </rPr>
      <t>显示在小地图上</t>
    </r>
  </si>
  <si>
    <r>
      <rPr>
        <b/>
        <charset val="134"/>
        <sz val="10"/>
        <color rgb="FFFFFFFF"/>
        <rFont val="微软雅黑"/>
      </rPr>
      <t>默认为true。如果为false，则在小地图上不显示此单位。</t>
    </r>
  </si>
  <si>
    <r>
      <rPr>
        <b/>
        <charset val="134"/>
        <sz val="10"/>
        <color rgb="FFFFFFFF"/>
        <rFont val="微软雅黑"/>
      </rPr>
      <t>showOnMinimap: false</t>
    </r>
  </si>
  <si>
    <r>
      <rPr>
        <b/>
        <charset val="134"/>
        <sz val="10"/>
        <color rgb="FFFFFFFF"/>
        <rFont val="微软雅黑"/>
      </rPr>
      <t>showOnMinimapToEnemies</t>
    </r>
  </si>
  <si>
    <r>
      <rPr>
        <b/>
        <charset val="134"/>
        <sz val="10"/>
        <color rgb="FFFFFFFF"/>
        <rFont val="微软雅黑"/>
      </rPr>
      <t>显示于敌人小地图</t>
    </r>
  </si>
  <si>
    <r>
      <rPr>
        <b/>
        <charset val="134"/>
        <sz val="10"/>
        <color rgb="FFFFFFFF"/>
        <rFont val="微软雅黑"/>
      </rPr>
      <t>是否在敌人小地图上显示。目前不支持逻辑。</t>
    </r>
  </si>
  <si>
    <r>
      <rPr>
        <b/>
        <charset val="134"/>
        <sz val="10"/>
        <color rgb="FFFFFFFF"/>
        <rFont val="微软雅黑"/>
      </rPr>
      <t>showOnMinimapToEnemies:false</t>
    </r>
  </si>
  <si>
    <r>
      <rPr>
        <b/>
        <charset val="134"/>
        <sz val="10"/>
        <color rgb="FFFFFFFF"/>
        <rFont val="微软雅黑"/>
      </rPr>
      <t>showActionsWithMixedSelectionIfOtherUnitsHaveTag</t>
    </r>
  </si>
  <si>
    <r>
      <rPr>
        <b/>
        <charset val="134"/>
        <sz val="10"/>
        <color rgb="FFFFFFFF"/>
        <rFont val="微软雅黑"/>
      </rPr>
      <t>混合所选单位所显示的行为(标签)</t>
    </r>
  </si>
  <si>
    <r>
      <rPr>
        <b/>
        <charset val="134"/>
        <sz val="10"/>
        <color rgb="FFFFFFFF"/>
        <rFont val="微软雅黑"/>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</si>
  <si>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FFFFFF"/>
        <rFont val="微软雅黑"/>
      </rPr>
      <t>showActionsWithMixedSelectionIfOtherUnitsHaveTag:tag_联系</t>
    </r>
  </si>
  <si>
    <r>
      <rPr>
        <b/>
        <charset val="134"/>
        <sz val="10"/>
        <color rgb="FFFFFFFF"/>
        <rFont val="微软雅黑"/>
      </rPr>
      <t>tags</t>
    </r>
  </si>
  <si>
    <r>
      <rPr>
        <b/>
        <charset val="134"/>
        <sz val="10"/>
        <color rgb="FFFFFFFF"/>
        <rFont val="微软雅黑"/>
      </rPr>
      <t>仅构建代码</t>
    </r>
  </si>
  <si>
    <r>
      <rPr>
        <b/>
        <charset val="134"/>
        <sz val="10"/>
        <color rgb="FFFFFFFF"/>
        <rFont val="微软雅黑"/>
      </rPr>
      <t>isBuilding</t>
    </r>
  </si>
  <si>
    <r>
      <rPr>
        <b/>
        <charset val="134"/>
        <sz val="10"/>
        <color rgb="FFFFFFFF"/>
        <rFont val="微软雅黑"/>
      </rPr>
      <t>是建筑</t>
    </r>
  </si>
  <si>
    <r>
      <rPr>
        <b/>
        <charset val="134"/>
        <sz val="10"/>
        <color rgb="FFFFFFFF"/>
        <rFont val="微软雅黑"/>
      </rPr>
      <t>定义单位是否为建筑物。</t>
    </r>
  </si>
  <si>
    <r>
      <rPr>
        <b/>
        <charset val="134"/>
        <sz val="10"/>
        <color rgb="FFFFFFFF"/>
        <rFont val="微软雅黑"/>
      </rPr>
      <t>isBuilding: true</t>
    </r>
  </si>
  <si>
    <r>
      <rPr>
        <b/>
        <charset val="134"/>
        <sz val="10"/>
        <color rgb="FFFFFFFF"/>
        <rFont val="微软雅黑"/>
      </rPr>
      <t>footprint</t>
    </r>
  </si>
  <si>
    <r>
      <rPr>
        <b/>
        <charset val="134"/>
        <sz val="10"/>
        <color rgb="FFFFFFFF"/>
        <rFont val="微软雅黑"/>
      </rPr>
      <t>建筑碰撞范围</t>
    </r>
  </si>
  <si>
    <r>
      <rPr>
        <b/>
        <charset val="134"/>
        <sz val="10"/>
        <color rgb="FFFFFFFF"/>
        <rFont val="微软雅黑"/>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</si>
  <si>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rgb="FFFFFFFF"/>
        <rFont val="微软雅黑"/>
      </rPr>
      <t>（1x1）footprint: 0,0,0,0
（2X2）footprint: 0,0,1,1
（3X3）footprint: -1,-1,1,1</t>
    </r>
  </si>
  <si>
    <t>integers</t>
  </si>
  <si>
    <r>
      <rPr>
        <b/>
        <charset val="134"/>
        <sz val="10"/>
        <color rgb="FFFFFFFF"/>
        <rFont val="微软雅黑"/>
      </rPr>
      <t>constructionFootprint</t>
    </r>
  </si>
  <si>
    <r>
      <rPr>
        <b/>
        <charset val="134"/>
        <sz val="10"/>
        <color rgb="FFFFFFFF"/>
        <rFont val="微软雅黑"/>
      </rPr>
      <t>建筑覆盖范围</t>
    </r>
  </si>
  <si>
    <r>
      <rPr>
        <b/>
        <charset val="134"/>
        <sz val="10"/>
        <color rgb="FFFFFFFF"/>
        <rFont val="微软雅黑"/>
      </rPr>
      <t>基础规则同上，这个区域内不能建造建筑，但是单位可以通过。一般需要设定比上一个面积大。好处是即使建造的密密麻麻，单位也有路可走</t>
    </r>
  </si>
  <si>
    <r>
      <rPr>
        <b/>
        <charset val="134"/>
        <sz val="10"/>
        <color rgb="FFFFFFFF"/>
        <rFont val="微软雅黑"/>
      </rPr>
      <t>constructionFootprint: -1,-1,1,3</t>
    </r>
  </si>
  <si>
    <r>
      <rPr>
        <b/>
        <charset val="134"/>
        <sz val="10"/>
        <color rgb="FFFFFFFF"/>
        <rFont val="微软雅黑"/>
      </rPr>
      <t>displayFootprint</t>
    </r>
  </si>
  <si>
    <r>
      <rPr>
        <b/>
        <charset val="134"/>
        <sz val="10"/>
        <color rgb="FFFFFFFF"/>
        <rFont val="微软雅黑"/>
      </rPr>
      <t>建筑选择UI</t>
    </r>
  </si>
  <si>
    <r>
      <rPr>
        <b/>
        <charset val="134"/>
        <sz val="10"/>
        <color rgb="FFFFFFFF"/>
        <rFont val="微软雅黑"/>
      </rPr>
      <t>基础规则同上，用于选择单位时UI显示。不设定则默认为建筑覆盖区域。</t>
    </r>
  </si>
  <si>
    <r>
      <rPr>
        <b/>
        <charset val="134"/>
        <sz val="10"/>
        <color rgb="FFFFFFFF"/>
        <rFont val="微软雅黑"/>
      </rPr>
      <t>displayFootprint: 0,0,1,1</t>
    </r>
  </si>
  <si>
    <r>
      <rPr>
        <b/>
        <charset val="134"/>
        <sz val="10"/>
        <color rgb="FFFFFFFF"/>
        <rFont val="微软雅黑"/>
      </rPr>
      <t>buildingSelectionOffset</t>
    </r>
  </si>
  <si>
    <r>
      <rPr>
        <b/>
        <charset val="134"/>
        <sz val="10"/>
        <color rgb="FFFFFFFF"/>
        <rFont val="微软雅黑"/>
      </rPr>
      <t>建筑UI调整</t>
    </r>
  </si>
  <si>
    <r>
      <rPr>
        <b/>
        <charset val="134"/>
        <sz val="10"/>
        <color rgb="FFFFFFFF"/>
        <rFont val="微软雅黑"/>
      </rPr>
      <t>默认值为0。以像素为单位对选框额外设定。</t>
    </r>
  </si>
  <si>
    <r>
      <rPr>
        <b/>
        <charset val="134"/>
        <sz val="10"/>
        <color rgb="FFFFFFFF"/>
        <rFont val="微软雅黑"/>
      </rPr>
      <t>buildingSelectionOffset: 4</t>
    </r>
  </si>
  <si>
    <r>
      <rPr>
        <b/>
        <charset val="134"/>
        <sz val="10"/>
        <color rgb="FFFFFFFF"/>
        <rFont val="微软雅黑"/>
      </rPr>
      <t>buildingToFootprintOffsetX</t>
    </r>
  </si>
  <si>
    <r>
      <rPr>
        <b/>
        <charset val="134"/>
        <sz val="10"/>
        <color rgb="FFFFFFFF"/>
        <rFont val="微软雅黑"/>
      </rPr>
      <t>建筑X轴偏移</t>
    </r>
  </si>
  <si>
    <r>
      <rPr>
        <b/>
        <charset val="134"/>
        <sz val="10"/>
        <color rgb="FFFFFFFF"/>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</si>
  <si>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FFFFFF"/>
        <rFont val="微软雅黑"/>
      </rPr>
      <t>buildingToFootprintOffsetX: 4</t>
    </r>
  </si>
  <si>
    <r>
      <rPr>
        <b/>
        <charset val="134"/>
        <sz val="10"/>
        <color rgb="FFFFFFFF"/>
        <rFont val="微软雅黑"/>
      </rPr>
      <t>buildingToFootprintOffsetY</t>
    </r>
  </si>
  <si>
    <r>
      <rPr>
        <b/>
        <charset val="134"/>
        <sz val="10"/>
        <color rgb="FFFFFFFF"/>
        <rFont val="微软雅黑"/>
      </rPr>
      <t>建筑Y轴偏移</t>
    </r>
  </si>
  <si>
    <r>
      <rPr>
        <b/>
        <charset val="134"/>
        <sz val="10"/>
        <color rgb="FFFFFFFF"/>
        <rFont val="微软雅黑"/>
      </rPr>
      <t>设置Y轴位置偏移，默认10.其它参上条</t>
    </r>
  </si>
  <si>
    <r>
      <rPr>
        <b/>
        <charset val="134"/>
        <sz val="10"/>
        <color rgb="FFFFFFFF"/>
        <rFont val="微软雅黑"/>
      </rPr>
      <t>buildingToFootprintOffsetY: 6</t>
    </r>
  </si>
  <si>
    <r>
      <rPr>
        <b/>
        <charset val="134"/>
        <sz val="10"/>
        <color rgb="FFFFFFFF"/>
        <rFont val="微软雅黑"/>
      </rPr>
      <t>placeOnlyOnResPool</t>
    </r>
  </si>
  <si>
    <r>
      <rPr>
        <b/>
        <charset val="134"/>
        <sz val="10"/>
        <color rgb="FFFFFFFF"/>
        <rFont val="微软雅黑"/>
      </rPr>
      <t>建筑只能建造在资源池上</t>
    </r>
  </si>
  <si>
    <r>
      <rPr>
        <b/>
        <charset val="134"/>
        <sz val="10"/>
        <color rgb="FFFFFFFF"/>
        <rFont val="微软雅黑"/>
      </rPr>
      <t>通常用于提取器，会强制在资源池中进行建筑物构造。可以用于在自定义战役中限制某单位只能在某地建造。</t>
    </r>
  </si>
  <si>
    <r>
      <rPr>
        <b/>
        <charset val="134"/>
        <sz val="10"/>
        <color rgb="FFFFFFFF"/>
        <rFont val="微软雅黑"/>
      </rPr>
      <t>placeOnlyOnResPool: true</t>
    </r>
  </si>
  <si>
    <r>
      <rPr>
        <b/>
        <charset val="134"/>
        <sz val="10"/>
        <color rgb="FFFFFFFF"/>
        <rFont val="微软雅黑"/>
      </rPr>
      <t>selfBuildRate</t>
    </r>
  </si>
  <si>
    <r>
      <rPr>
        <b/>
        <charset val="134"/>
        <sz val="10"/>
        <color rgb="FFFFFFFF"/>
        <rFont val="微软雅黑"/>
      </rPr>
      <t>自动建造速度</t>
    </r>
  </si>
  <si>
    <r>
      <rPr>
        <b/>
        <charset val="134"/>
        <sz val="10"/>
        <color rgb="FFFFFFFF"/>
        <rFont val="微软雅黑"/>
      </rPr>
      <t>此单位自动构造所需要的时间，目前用于虫族。计算方式为：此处所填时间=1÷(60x您需要的秒)。</t>
    </r>
  </si>
  <si>
    <r>
      <rPr>
        <b/>
        <charset val="134"/>
        <sz val="10"/>
        <color rgb="FFFFFFFF"/>
        <rFont val="微软雅黑"/>
      </rPr>
      <t>selfBuildRate: 0.0008</t>
    </r>
  </si>
  <si>
    <r>
      <rPr>
        <b/>
        <charset val="134"/>
        <sz val="10"/>
        <color rgb="FFFFFFFF"/>
        <rFont val="微软雅黑"/>
      </rPr>
      <t>ignoreInUnitCapCalculation</t>
    </r>
  </si>
  <si>
    <r>
      <rPr>
        <b/>
        <charset val="134"/>
        <sz val="10"/>
        <color rgb="FFFFFFFF"/>
        <rFont val="微软雅黑"/>
      </rPr>
      <t>不计入单位数量统计</t>
    </r>
  </si>
  <si>
    <r>
      <rPr>
        <b/>
        <charset val="134"/>
        <sz val="10"/>
        <color rgb="FFFFFFFF"/>
        <rFont val="微软雅黑"/>
      </rPr>
      <t>铁锈中有单位数量上限设定，填true时不计入统计，多用于辅助单位，建筑物的默认值为true。</t>
    </r>
  </si>
  <si>
    <r>
      <rPr>
        <b/>
        <charset val="134"/>
        <sz val="10"/>
        <color rgb="FFFFFFFF"/>
        <rFont val="微软雅黑"/>
      </rPr>
      <t>ignoreInUnitCapCalculation:true</t>
    </r>
  </si>
  <si>
    <r>
      <rPr>
        <b/>
        <charset val="134"/>
        <sz val="10"/>
        <color rgb="FFFFFFFF"/>
        <rFont val="微软雅黑"/>
      </rPr>
      <t>杂项代码</t>
    </r>
  </si>
  <si>
    <r>
      <rPr>
        <b/>
        <charset val="134"/>
        <sz val="10"/>
        <color rgb="FFFFFFFF"/>
        <rFont val="微软雅黑"/>
      </rPr>
      <t>copyFrom</t>
    </r>
  </si>
  <si>
    <r>
      <rPr>
        <b/>
        <charset val="134"/>
        <sz val="10"/>
        <color rgb="FFFFFFFF"/>
        <rFont val="微软雅黑"/>
      </rPr>
      <t>复制数据自</t>
    </r>
  </si>
  <si>
    <r>
      <rPr>
        <b/>
        <charset val="134"/>
        <sz val="10"/>
        <color rgb="FFFFFFFF"/>
        <rFont val="微软雅黑"/>
      </rPr>
      <t>加载其它文件的单位数据作为该单位的默认值，支持多个文件。无后缀名限制，可不写dont_load，用于模块化。</t>
    </r>
  </si>
  <si>
    <r>
      <rPr>
        <b/>
        <charset val="134"/>
        <sz val="10"/>
        <color rgb="FFFFFFFF"/>
        <rFont val="微软雅黑"/>
      </rPr>
      <t>copyFrom: ROOT:defaultTanks.template, tankT1.ini</t>
    </r>
  </si>
  <si>
    <r>
      <rPr>
        <b/>
        <charset val="134"/>
        <sz val="10"/>
        <color rgb="FFFFFFFF"/>
        <rFont val="微软雅黑"/>
      </rPr>
      <t>file(s) (ini)</t>
    </r>
  </si>
  <si>
    <r>
      <rPr>
        <b/>
        <charset val="134"/>
        <sz val="10"/>
        <color rgb="FFFFFFFF"/>
        <rFont val="微软雅黑"/>
      </rPr>
      <t>dont_load</t>
    </r>
  </si>
  <si>
    <r>
      <rPr>
        <b/>
        <charset val="134"/>
        <sz val="10"/>
        <color rgb="FFFFFFFF"/>
        <rFont val="微软雅黑"/>
      </rPr>
      <t>禁止加载</t>
    </r>
  </si>
  <si>
    <r>
      <rPr>
        <b/>
        <charset val="134"/>
        <sz val="10"/>
        <color rgb="FFFFFFFF"/>
        <rFont val="微软雅黑"/>
      </rPr>
      <t>不加载此单位，缺失数据时不会出错。与copyFrom一起使用时很有用。</t>
    </r>
  </si>
  <si>
    <r>
      <rPr>
        <b/>
        <charset val="134"/>
        <sz val="10"/>
        <color rgb="FFFFFFFF"/>
        <rFont val="微软雅黑"/>
      </rPr>
      <t>dont_load: true</t>
    </r>
  </si>
  <si>
    <r>
      <rPr>
        <b/>
        <charset val="134"/>
        <sz val="10"/>
        <color rgb="FFFFFFFF"/>
        <rFont val="微软雅黑"/>
      </rPr>
      <t>overrideAndReplace</t>
    </r>
  </si>
  <si>
    <r>
      <rPr>
        <b/>
        <charset val="134"/>
        <sz val="10"/>
        <color rgb="FFFFFFFF"/>
        <rFont val="微软雅黑"/>
      </rPr>
      <t>覆盖单位</t>
    </r>
  </si>
  <si>
    <r>
      <rPr>
        <b/>
        <charset val="134"/>
        <sz val="10"/>
        <color rgb="FFFFFFFF"/>
        <rFont val="微软雅黑"/>
      </rPr>
      <t>用此单位覆盖另一个单位，地图上所有单位也将被替换，可以用来替换dex内无法修改的单位。</t>
    </r>
  </si>
  <si>
    <r>
      <rPr>
        <b/>
        <charset val="134"/>
        <sz val="10"/>
        <color rgb="FFFFFFFF"/>
        <rFont val="微软雅黑"/>
      </rPr>
      <t>overrideAndReplace: builder, combatEngineer</t>
    </r>
  </si>
  <si>
    <r>
      <rPr>
        <b/>
        <charset val="134"/>
        <sz val="10"/>
        <color rgb="FFFFFFFF"/>
        <rFont val="微软雅黑"/>
      </rPr>
      <t>overrideResourceLoadPath</t>
    </r>
  </si>
  <si>
    <r>
      <rPr>
        <b/>
        <charset val="134"/>
        <sz val="10"/>
        <color rgb="FFFFFFFF"/>
        <rFont val="微软雅黑"/>
      </rPr>
      <t>覆盖资源加载路径</t>
    </r>
  </si>
  <si>
    <r>
      <rPr>
        <b/>
        <charset val="134"/>
        <sz val="10"/>
        <color rgb="FFFFFFFF"/>
        <rFont val="微软雅黑"/>
      </rPr>
      <t>覆盖掉该单位的资源加载路径</t>
    </r>
  </si>
  <si>
    <r>
      <rPr>
        <b/>
        <charset val="134"/>
        <sz val="10"/>
        <color rgb="FFFFFFFF"/>
        <rFont val="微软雅黑"/>
      </rPr>
      <t>overrideResourceLoadPath:false</t>
    </r>
  </si>
  <si>
    <r>
      <rPr>
        <b/>
        <charset val="134"/>
        <sz val="10"/>
        <color rgb="FFFFFFFF"/>
        <rFont val="微软雅黑"/>
      </rPr>
      <t>logIfCreditResourceUsed</t>
    </r>
  </si>
  <si>
    <r>
      <rPr>
        <b/>
        <charset val="134"/>
        <sz val="10"/>
        <color rgb="FFFFFFFF"/>
        <rFont val="微软雅黑"/>
      </rPr>
      <t>记录是否使用资源</t>
    </r>
  </si>
  <si>
    <r>
      <rPr>
        <b/>
        <charset val="134"/>
        <sz val="10"/>
        <color rgb="FFFFFFFF"/>
        <rFont val="微软雅黑"/>
      </rPr>
      <t>记录该单位是否使用了资源</t>
    </r>
  </si>
  <si>
    <r>
      <rPr>
        <b/>
        <charset val="134"/>
        <sz val="10"/>
        <color rgb="FFFFFFFF"/>
        <rFont val="微软雅黑"/>
      </rPr>
      <t>logIfCreditResourceUsed:false</t>
    </r>
  </si>
  <si>
    <r>
      <rPr>
        <b/>
        <charset val="134"/>
        <sz val="10"/>
        <color rgb="FFFFFFFF"/>
        <rFont val="微软雅黑"/>
      </rPr>
      <t>onNewMapSpawn</t>
    </r>
  </si>
  <si>
    <r>
      <rPr>
        <b/>
        <charset val="134"/>
        <sz val="10"/>
        <color rgb="FFFFFFFF"/>
        <rFont val="微软雅黑"/>
      </rPr>
      <t>地图位置产生指定单位</t>
    </r>
  </si>
  <si>
    <r>
      <rPr>
        <b/>
        <charset val="134"/>
        <sz val="10"/>
        <color rgb="FFFFFFFF"/>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</si>
  <si>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微软雅黑"/>
      </rPr>
      <t>[core]
name:钻矿机
onNewMapSpawn:emptyResourcePools_asNeutral</t>
    </r>
  </si>
  <si>
    <r>
      <rPr>
        <b/>
        <charset val="134"/>
        <sz val="10"/>
        <color rgb="FFFFFFFF"/>
        <rFont val="微软雅黑"/>
      </rPr>
      <t>globalScale</t>
    </r>
  </si>
  <si>
    <r>
      <rPr>
        <b/>
        <charset val="134"/>
        <sz val="10"/>
        <color rgb="FFFFFFFF"/>
        <rFont val="微软雅黑"/>
      </rPr>
      <t>全局缩放</t>
    </r>
  </si>
  <si>
    <r>
      <rPr>
        <b/>
        <charset val="134"/>
        <sz val="10"/>
        <color rgb="FFFFFFFF"/>
        <rFont val="微软雅黑"/>
      </rPr>
      <t>废弃代码，不要用。将一个单位按比例放大，但不放大攻击力。默认值为1。不建议更改。</t>
    </r>
  </si>
  <si>
    <r>
      <rPr>
        <b/>
        <charset val="134"/>
        <sz val="10"/>
        <color rgb="FFFFFFFF"/>
        <rFont val="微软雅黑"/>
      </rPr>
      <t>globalScale: 2</t>
    </r>
  </si>
  <si>
    <r>
      <rPr>
        <b/>
        <charset val="134"/>
        <sz val="10"/>
        <color rgb="FFFFFFFF"/>
        <rFont val="微软雅黑"/>
      </rPr>
      <t>isLocked</t>
    </r>
  </si>
  <si>
    <r>
      <rPr>
        <b/>
        <charset val="134"/>
        <sz val="10"/>
        <color rgb="FFFFFFFF"/>
        <rFont val="微软雅黑"/>
      </rPr>
      <t>锁定</t>
    </r>
  </si>
  <si>
    <r>
      <rPr>
        <b/>
        <charset val="134"/>
        <sz val="10"/>
        <color rgb="FFFFFFFF"/>
        <rFont val="微软雅黑"/>
      </rPr>
      <t>禁止建造该单位。可以与overrideAndReplace一起使用，以限制玩家可以建造的单位。</t>
    </r>
  </si>
  <si>
    <r>
      <rPr>
        <b/>
        <charset val="134"/>
        <sz val="10"/>
        <color rgb="FFFFFFFF"/>
        <rFont val="微软雅黑"/>
      </rPr>
      <t>isLocked: true</t>
    </r>
  </si>
  <si>
    <r>
      <rPr>
        <b/>
        <charset val="134"/>
        <sz val="10"/>
        <color rgb="FFFFFFFF"/>
        <rFont val="微软雅黑"/>
      </rPr>
      <t>isLockedIfGameModeNoNuke</t>
    </r>
  </si>
  <si>
    <r>
      <rPr>
        <b/>
        <charset val="134"/>
        <sz val="10"/>
        <color rgb="FFFFFFFF"/>
        <rFont val="微软雅黑"/>
      </rPr>
      <t>禁核模式锁定</t>
    </r>
  </si>
  <si>
    <r>
      <rPr>
        <b/>
        <charset val="134"/>
        <sz val="10"/>
        <color rgb="FFFFFFFF"/>
        <rFont val="微软雅黑"/>
      </rPr>
      <t>如果在游戏开始前选择了禁用核武器，禁止建造此单位。</t>
    </r>
  </si>
  <si>
    <r>
      <rPr>
        <b/>
        <charset val="134"/>
        <sz val="10"/>
        <color rgb="FFFFFFFF"/>
        <rFont val="微软雅黑"/>
      </rPr>
      <t>isLockedIfGameModeNoNuke: true</t>
    </r>
  </si>
  <si>
    <r>
      <rPr>
        <b/>
        <charset val="134"/>
        <sz val="10"/>
        <color rgb="FFFFFFFF"/>
        <rFont val="微软雅黑"/>
      </rPr>
      <t>experimental</t>
    </r>
  </si>
  <si>
    <r>
      <rPr>
        <b/>
        <charset val="134"/>
        <sz val="10"/>
        <color rgb="FFFFFFFF"/>
        <rFont val="微软雅黑"/>
      </rPr>
      <t>实验单位标志</t>
    </r>
  </si>
  <si>
    <r>
      <rPr>
        <b/>
        <charset val="134"/>
        <sz val="10"/>
        <color rgb="FFFFFFFF"/>
        <rFont val="微软雅黑"/>
      </rPr>
      <t>标记单位为实验单位。影响缩小图标和游戏结束统计。</t>
    </r>
  </si>
  <si>
    <r>
      <rPr>
        <b/>
        <charset val="134"/>
        <sz val="10"/>
        <color rgb="FFFFFFFF"/>
        <rFont val="微软雅黑"/>
      </rPr>
      <t>experimental: true</t>
    </r>
  </si>
  <si>
    <r>
      <rPr>
        <b/>
        <charset val="134"/>
        <sz val="10"/>
        <color rgb="FFFFFFFF"/>
        <rFont val="微软雅黑"/>
      </rPr>
      <t>stayNeutral</t>
    </r>
  </si>
  <si>
    <r>
      <rPr>
        <b/>
        <charset val="134"/>
        <sz val="10"/>
        <color rgb="FFFFFFFF"/>
        <rFont val="微软雅黑"/>
      </rPr>
      <t>保持中立</t>
    </r>
  </si>
  <si>
    <t>设置为true时，单位处于中立队伍情况下，禁止靠近时更改为玩家所属。仍然有其它方式获得。</t>
  </si>
  <si>
    <r>
      <rPr>
        <b/>
        <charset val="134"/>
        <sz val="10"/>
        <color rgb="FFFFFFFF"/>
        <rFont val="微软雅黑"/>
      </rPr>
      <t>stayNeutral: false</t>
    </r>
  </si>
  <si>
    <r>
      <rPr>
        <b/>
        <charset val="134"/>
        <sz val="10"/>
        <color rgb="FFFFFFFF"/>
        <rFont val="微软雅黑"/>
      </rPr>
      <t>createNeutral</t>
    </r>
  </si>
  <si>
    <r>
      <rPr>
        <b/>
        <charset val="134"/>
        <sz val="10"/>
        <color rgb="FFFFFFFF"/>
        <rFont val="微软雅黑"/>
      </rPr>
      <t>创建时中立</t>
    </r>
  </si>
  <si>
    <r>
      <rPr>
        <b/>
        <charset val="134"/>
        <sz val="10"/>
        <color rgb="FFFFFFFF"/>
        <rFont val="微软雅黑"/>
      </rPr>
      <t>设置为true时，产生该单位总是自动转变为中立队伍。创建时中立，但不妨碍玩家捕获。</t>
    </r>
  </si>
  <si>
    <r>
      <rPr>
        <b/>
        <charset val="134"/>
        <sz val="10"/>
        <color rgb="FFFFFFFF"/>
        <rFont val="微软雅黑"/>
      </rPr>
      <t>createNeutral: true</t>
    </r>
  </si>
  <si>
    <r>
      <rPr>
        <b/>
        <charset val="134"/>
        <sz val="10"/>
        <color rgb="FFFFFFFF"/>
        <rFont val="微软雅黑"/>
      </rPr>
      <t>createOnAggressiveTeam</t>
    </r>
  </si>
  <si>
    <r>
      <rPr>
        <b/>
        <charset val="134"/>
        <sz val="10"/>
        <color rgb="FFFFFFFF"/>
        <rFont val="微软雅黑"/>
      </rPr>
      <t>创建为敌对中立</t>
    </r>
  </si>
  <si>
    <r>
      <rPr>
        <b/>
        <charset val="134"/>
        <sz val="10"/>
        <color rgb="FFFFFFFF"/>
        <rFont val="微软雅黑"/>
      </rPr>
      <t>设置为true时，此中立单位对所有玩家有敌意。</t>
    </r>
  </si>
  <si>
    <r>
      <rPr>
        <b/>
        <charset val="134"/>
        <sz val="10"/>
        <color rgb="FFFFFFFF"/>
        <rFont val="微软雅黑"/>
      </rPr>
      <t>createOnAggressiveTeam: true</t>
    </r>
  </si>
  <si>
    <r>
      <rPr>
        <b/>
        <charset val="134"/>
        <sz val="10"/>
        <color rgb="FFFFFFFF"/>
        <rFont val="微软雅黑"/>
      </rPr>
      <t>标签</t>
    </r>
  </si>
  <si>
    <r>
      <rPr>
        <b/>
        <charset val="134"/>
        <sz val="10"/>
        <color rgb="FFFFFFFF"/>
        <rFont val="微软雅黑"/>
      </rPr>
      <t>标签，用于对单位进行分类，用于实现各种各样的特殊作。比如单位数量限制，伤害修正，增益损益，触发条件等等</t>
    </r>
  </si>
  <si>
    <r>
      <rPr>
        <b/>
        <charset val="134"/>
        <sz val="10"/>
        <color rgb="FFFFFFFF"/>
        <rFont val="微软雅黑"/>
      </rPr>
      <t>tags: tank, smallTank, piercingDamage</t>
    </r>
  </si>
  <si>
    <r>
      <rPr>
        <b/>
        <charset val="134"/>
        <sz val="10"/>
        <color rgb="FFFFFFFF"/>
        <rFont val="微软雅黑"/>
      </rPr>
      <t>defineUnitMemory</t>
    </r>
  </si>
  <si>
    <r>
      <rPr>
        <b/>
        <charset val="134"/>
        <sz val="10"/>
        <color rgb="FFFFFFFF"/>
        <rFont val="微软雅黑"/>
      </rPr>
      <t>定义单位内存</t>
    </r>
  </si>
  <si>
    <r>
      <rPr>
        <b/>
        <charset val="134"/>
        <sz val="10"/>
        <color rgb="FFFFFFFF"/>
        <rFont val="微软雅黑"/>
      </rPr>
      <t>为每个单元创建唯一的自定义存储变量。允许的类型:boolean, float/number, unit, string
格式:defineUnitMemory:类型 变量名称
"defineUnitMemory: boolean nukeActive,boolean laserReady, float experience, unit nextTarget, unit homeBase, string customText
"</t>
    </r>
  </si>
  <si>
    <r>
      <rPr>
        <b/>
        <charset val="134"/>
        <sz val="10"/>
        <color rgb="FFFFFFFF"/>
        <rFont val="微软雅黑"/>
      </rPr>
      <t>defineUnitMemory:unit attackunit</t>
    </r>
  </si>
  <si>
    <r>
      <rPr>
        <b/>
        <charset val="134"/>
        <sz val="10"/>
        <color rgb="FFFFFFFF"/>
        <rFont val="微软雅黑"/>
      </rPr>
      <t>memories</t>
    </r>
  </si>
  <si>
    <t>@memory</t>
  </si>
  <si>
    <t>@定义内存</t>
  </si>
  <si>
    <t>定义单个内存，但可以打多行此代码，与上方代码相反</t>
  </si>
  <si>
    <r>
      <rPr>
        <b/>
        <charset val="134"/>
        <sz val="10"/>
        <color rgb="FFFFFFFF"/>
        <rFont val="微软雅黑"/>
      </rPr>
      <t>updateUnitMemory</t>
    </r>
  </si>
  <si>
    <r>
      <rPr>
        <b/>
        <charset val="134"/>
        <sz val="10"/>
        <color rgb="FFFFFFFF"/>
        <rFont val="微软雅黑"/>
      </rPr>
      <t>更新单位内存</t>
    </r>
  </si>
  <si>
    <r>
      <rPr>
        <b/>
        <charset val="134"/>
        <sz val="10"/>
        <color rgb="FFFFFFFF"/>
        <rFont val="微软雅黑"/>
      </rPr>
      <t>(类似[action]setUnitMemory但是性能更好)works like [action]setUnitMemory but with better performance and easier timing than triggering an action</t>
    </r>
  </si>
  <si>
    <r>
      <rPr>
        <b/>
        <charset val="134"/>
        <sz val="10"/>
        <color rgb="FFFFFFFF"/>
        <rFont val="微软雅黑"/>
      </rPr>
      <t>updateUnitMemory:hp=self.hp/5</t>
    </r>
  </si>
  <si>
    <r>
      <rPr>
        <b/>
        <charset val="134"/>
        <sz val="10"/>
        <color rgb="FFFFFFFF"/>
        <rFont val="微软雅黑"/>
      </rPr>
      <t>updateUnitMemoryRate</t>
    </r>
  </si>
  <si>
    <r>
      <rPr>
        <b/>
        <charset val="134"/>
        <sz val="10"/>
        <color rgb="FFFFFFFF"/>
        <rFont val="微软雅黑"/>
      </rPr>
      <t>更新单位内存频率</t>
    </r>
  </si>
  <si>
    <r>
      <rPr>
        <b/>
        <charset val="134"/>
        <sz val="10"/>
        <color rgb="FFFFFFFF"/>
        <rFont val="微软雅黑"/>
      </rPr>
      <t>(默认1s,填写0则为每帧)How often to call updateUnitMemory, defaults to 1s. At zero would trigger every frame.</t>
    </r>
  </si>
  <si>
    <r>
      <rPr>
        <b/>
        <charset val="134"/>
        <sz val="10"/>
        <color rgb="FFFFFFFF"/>
        <rFont val="微软雅黑"/>
      </rPr>
      <t>fogOfWarSightRange</t>
    </r>
  </si>
  <si>
    <r>
      <rPr>
        <b/>
        <charset val="134"/>
        <sz val="10"/>
        <color rgb="FFFFFFFF"/>
        <rFont val="微软雅黑"/>
      </rPr>
      <t>视野</t>
    </r>
  </si>
  <si>
    <r>
      <rPr>
        <b/>
        <charset val="134"/>
        <sz val="10"/>
        <color rgb="FFFFFFFF"/>
        <rFont val="微软雅黑"/>
      </rPr>
      <t>设置单位视野，在战争迷雾中可以看到的瓷砖数量。默认为15。</t>
    </r>
  </si>
  <si>
    <r>
      <rPr>
        <b/>
        <charset val="134"/>
        <sz val="10"/>
        <color rgb="FFFFFFFF"/>
        <rFont val="微软雅黑"/>
      </rPr>
      <t>fogOfWarSightRange: 18</t>
    </r>
  </si>
  <si>
    <r>
      <rPr>
        <b/>
        <charset val="134"/>
        <sz val="10"/>
        <color rgb="FFFFFFFF"/>
        <rFont val="微软雅黑"/>
      </rPr>
      <t>fogOfWarSightRangeWhileNotBuilt</t>
    </r>
  </si>
  <si>
    <r>
      <rPr>
        <b/>
        <charset val="134"/>
        <sz val="10"/>
        <color rgb="FFFFFFFF"/>
        <rFont val="微软雅黑"/>
      </rPr>
      <t>未完成时视野</t>
    </r>
  </si>
  <si>
    <r>
      <rPr>
        <b/>
        <charset val="134"/>
        <sz val="10"/>
        <color rgb="FFFFFFFF"/>
        <rFont val="微软雅黑"/>
      </rPr>
      <t>填数值，当建筑或单位没有建造完成时，它的视野范围</t>
    </r>
  </si>
  <si>
    <r>
      <rPr>
        <b/>
        <charset val="134"/>
        <sz val="10"/>
        <color rgb="FFFFFFFF"/>
        <rFont val="微软雅黑"/>
      </rPr>
      <t>fogOfWarSightRangeWhileNotBuilt:3</t>
    </r>
  </si>
  <si>
    <r>
      <rPr>
        <b/>
        <charset val="134"/>
        <sz val="10"/>
        <color rgb="FFFFFFFF"/>
        <rFont val="微软雅黑"/>
      </rPr>
      <t>softCollisionOnAll</t>
    </r>
  </si>
  <si>
    <r>
      <rPr>
        <b/>
        <charset val="134"/>
        <sz val="10"/>
        <color rgb="FFFFFFFF"/>
        <rFont val="微软雅黑"/>
      </rPr>
      <t>碰撞体积软化</t>
    </r>
  </si>
  <si>
    <r>
      <rPr>
        <b/>
        <charset val="134"/>
        <sz val="10"/>
        <color rgb="FFFFFFFF"/>
        <rFont val="微软雅黑"/>
      </rPr>
      <t>与其他单位碰撞时产生柔和的碰撞效果，填负数会导致单位相互吸引。</t>
    </r>
  </si>
  <si>
    <r>
      <rPr>
        <b/>
        <charset val="134"/>
        <sz val="10"/>
        <color rgb="FFFFFFFF"/>
        <rFont val="微软雅黑"/>
      </rPr>
      <t>softCollisionOnAll: 3</t>
    </r>
  </si>
  <si>
    <r>
      <rPr>
        <b/>
        <charset val="134"/>
        <sz val="10"/>
        <color rgb="FFFFFFFF"/>
        <rFont val="微软雅黑"/>
      </rPr>
      <t>disableAllUnitCollisions</t>
    </r>
  </si>
  <si>
    <r>
      <rPr>
        <b/>
        <charset val="134"/>
        <sz val="10"/>
        <color rgb="FFFFFFFF"/>
        <rFont val="微软雅黑"/>
      </rPr>
      <t>禁用碰撞</t>
    </r>
  </si>
  <si>
    <r>
      <rPr>
        <b/>
        <charset val="134"/>
        <sz val="10"/>
        <color rgb="FFFFFFFF"/>
        <rFont val="微软雅黑"/>
      </rPr>
      <t>如果为true，则该单位无视与其它单位碰撞。无碰撞体积单位可以用于固定位置制造效果，或是用于一些不影响单位通行的场景。</t>
    </r>
  </si>
  <si>
    <r>
      <rPr>
        <b/>
        <charset val="134"/>
        <sz val="10"/>
        <color rgb="FFFFFFFF"/>
        <rFont val="微软雅黑"/>
      </rPr>
      <t>disableAllUnitCollisions: true</t>
    </r>
  </si>
  <si>
    <r>
      <rPr>
        <b/>
        <charset val="134"/>
        <sz val="10"/>
        <color rgb="FFFFFFFF"/>
        <rFont val="微软雅黑"/>
      </rPr>
      <t>availableInDemo</t>
    </r>
  </si>
  <si>
    <r>
      <rPr>
        <b/>
        <charset val="134"/>
        <sz val="10"/>
        <color rgb="FFFFFFFF"/>
        <rFont val="微软雅黑"/>
      </rPr>
      <t>在演示版中可用</t>
    </r>
  </si>
  <si>
    <r>
      <rPr>
        <b/>
        <charset val="134"/>
        <sz val="10"/>
        <color rgb="FFFFFFFF"/>
        <rFont val="微软雅黑"/>
      </rPr>
      <t>是否能在演示中使用</t>
    </r>
  </si>
  <si>
    <r>
      <rPr>
        <b/>
        <charset val="134"/>
        <sz val="10"/>
        <color rgb="FFFFFFFF"/>
        <rFont val="微软雅黑"/>
      </rPr>
      <t>availableInDemo:true</t>
    </r>
  </si>
  <si>
    <r>
      <rPr>
        <b/>
        <charset val="134"/>
        <sz val="10"/>
        <color rgb="FFFFFFFF"/>
        <rFont val="微软雅黑"/>
      </rPr>
      <t>isUnrepairableUnit</t>
    </r>
  </si>
  <si>
    <r>
      <rPr>
        <b/>
        <charset val="134"/>
        <sz val="10"/>
        <color rgb="FFFFFFFF"/>
        <rFont val="微软雅黑"/>
      </rPr>
      <t>禁止被修复</t>
    </r>
  </si>
  <si>
    <r>
      <rPr>
        <b/>
        <charset val="134"/>
        <sz val="10"/>
        <color rgb="FFFFFFFF"/>
        <rFont val="微软雅黑"/>
      </rPr>
      <t>如果为true，则任何单位都无法修复此单位。但负伤害仍然可以维修。</t>
    </r>
  </si>
  <si>
    <r>
      <rPr>
        <b/>
        <charset val="134"/>
        <sz val="10"/>
        <color rgb="FFFFFFFF"/>
        <rFont val="微软雅黑"/>
      </rPr>
      <t>isUnrepairableUnit: true</t>
    </r>
  </si>
  <si>
    <r>
      <rPr>
        <b/>
        <charset val="134"/>
        <sz val="10"/>
        <color rgb="FFFFFFFF"/>
        <rFont val="微软雅黑"/>
      </rPr>
      <t>isUnselectable</t>
    </r>
  </si>
  <si>
    <r>
      <rPr>
        <b/>
        <charset val="134"/>
        <sz val="10"/>
        <color rgb="FFFFFFFF"/>
        <rFont val="微软雅黑"/>
      </rPr>
      <t>禁止选择</t>
    </r>
  </si>
  <si>
    <r>
      <rPr>
        <b/>
        <charset val="134"/>
        <sz val="10"/>
        <color rgb="FFFFFFFF"/>
        <rFont val="微软雅黑"/>
      </rPr>
      <t>如果为true，则无法选择单位。 （包括AI）可用于效果单位，禁止被玩家选择。</t>
    </r>
  </si>
  <si>
    <r>
      <rPr>
        <b/>
        <charset val="134"/>
        <sz val="10"/>
        <color rgb="FFFFFFFF"/>
        <rFont val="微软雅黑"/>
      </rPr>
      <t>isUnselectable: true</t>
    </r>
  </si>
  <si>
    <r>
      <rPr>
        <b/>
        <charset val="134"/>
        <sz val="10"/>
        <color rgb="FFFFFFFF"/>
        <rFont val="微软雅黑"/>
      </rPr>
      <t>isUnselectableAsTarget</t>
    </r>
  </si>
  <si>
    <r>
      <rPr>
        <b/>
        <charset val="134"/>
        <sz val="10"/>
        <color rgb="FFFFFFFF"/>
        <rFont val="微软雅黑"/>
      </rPr>
      <t>禁止选择和作为目标</t>
    </r>
  </si>
  <si>
    <r>
      <rPr>
        <b/>
        <charset val="134"/>
        <sz val="10"/>
        <color rgb="FFFFFFFF"/>
        <rFont val="微软雅黑"/>
      </rPr>
      <t>默认效果为isUnselectable。可以用来创造不能被选择但是可以被攻击，回收的单位</t>
    </r>
  </si>
  <si>
    <r>
      <rPr>
        <b/>
        <charset val="134"/>
        <sz val="10"/>
        <color rgb="FFFFFFFF"/>
        <rFont val="微软雅黑"/>
      </rPr>
      <t>isUnselectableAsTarget:true</t>
    </r>
  </si>
  <si>
    <r>
      <rPr>
        <b/>
        <charset val="134"/>
        <sz val="10"/>
        <color rgb="FFFFFFFF"/>
        <rFont val="微软雅黑"/>
      </rPr>
      <t>isPickableStartingUnit</t>
    </r>
  </si>
  <si>
    <r>
      <rPr>
        <b/>
        <charset val="134"/>
        <sz val="10"/>
        <color rgb="FFFFFFFF"/>
        <rFont val="微软雅黑"/>
      </rPr>
      <t>为可选初始单位</t>
    </r>
  </si>
  <si>
    <r>
      <rPr>
        <b/>
        <charset val="134"/>
        <sz val="10"/>
        <color rgb="FFFFFFFF"/>
        <rFont val="微软雅黑"/>
      </rPr>
      <t>如果为true，则将单位添加到游戏高级设置菜单中，用于可选初始单位菜单。</t>
    </r>
  </si>
  <si>
    <r>
      <rPr>
        <b/>
        <charset val="134"/>
        <sz val="10"/>
        <color rgb="FFFFFFFF"/>
        <rFont val="微软雅黑"/>
      </rPr>
      <t>isPickableStartingUnit:true</t>
    </r>
  </si>
  <si>
    <r>
      <rPr>
        <b/>
        <charset val="134"/>
        <sz val="10"/>
        <color rgb="FFFFFFFF"/>
        <rFont val="微软雅黑"/>
      </rPr>
      <t>startFallingWhenStartingUnit</t>
    </r>
  </si>
  <si>
    <r>
      <rPr>
        <b/>
        <charset val="134"/>
        <sz val="10"/>
        <color rgb="FFFFFFFF"/>
        <rFont val="微软雅黑"/>
      </rPr>
      <t>为可选单位开局后从天而降</t>
    </r>
  </si>
  <si>
    <r>
      <rPr>
        <b/>
        <charset val="134"/>
        <sz val="10"/>
        <color rgb="FFFFFFFF"/>
        <rFont val="微软雅黑"/>
      </rPr>
      <t>如果为true，则游戏开始时，此单位会从从天而降。</t>
    </r>
  </si>
  <si>
    <r>
      <rPr>
        <b/>
        <charset val="134"/>
        <sz val="10"/>
        <color rgb="FFFFFFFF"/>
        <rFont val="微软雅黑"/>
      </rPr>
      <t>startFallingWhenStartingUnit: true</t>
    </r>
  </si>
  <si>
    <r>
      <rPr>
        <b/>
        <charset val="134"/>
        <sz val="10"/>
        <color rgb="FFFFFFFF"/>
        <rFont val="微软雅黑"/>
      </rPr>
      <t>soundOnAttackOrder</t>
    </r>
  </si>
  <si>
    <r>
      <rPr>
        <b/>
        <charset val="134"/>
        <sz val="10"/>
        <color rgb="FFFFFFFF"/>
        <rFont val="微软雅黑"/>
      </rPr>
      <t>攻击指令音效</t>
    </r>
  </si>
  <si>
    <r>
      <rPr>
        <b/>
        <charset val="134"/>
        <sz val="10"/>
        <color rgb="FFFFFFFF"/>
        <rFont val="微软雅黑"/>
      </rPr>
      <t>填音效名称列表。用,隔开。每次下达攻击指令时只播放其中一个。仅支持.ogg和.wav格式，注意如果您mod用于pc端，则不要直接修改后缀名，要转换格式。</t>
    </r>
  </si>
  <si>
    <r>
      <rPr>
        <b/>
        <charset val="134"/>
        <sz val="10"/>
        <color rgb="FFFFFFFF"/>
        <rFont val="微软雅黑"/>
      </rPr>
      <t>soundOnAttackOrder: tankAttackOrder1.ogg:0.6, tankAttackOrder2.ogg</t>
    </r>
  </si>
  <si>
    <t>audios</t>
  </si>
  <si>
    <r>
      <rPr>
        <b/>
        <charset val="134"/>
        <sz val="10"/>
        <color rgb="FFFFFFFF"/>
        <rFont val="微软雅黑"/>
      </rPr>
      <t>soundOnMoveOrder</t>
    </r>
  </si>
  <si>
    <r>
      <rPr>
        <b/>
        <charset val="134"/>
        <sz val="10"/>
        <color rgb="FFFFFFFF"/>
        <rFont val="微软雅黑"/>
      </rPr>
      <t>移动指令音效</t>
    </r>
  </si>
  <si>
    <r>
      <rPr>
        <b/>
        <charset val="134"/>
        <sz val="10"/>
        <color rgb="FFFFFFFF"/>
        <rFont val="微软雅黑"/>
      </rPr>
      <t>填声音名称列表。用,隔开。每次下达移动指令时只播放其中一个。仅支持.ogg和.wav格式，注意不要直接修改后缀名，要转换格式。</t>
    </r>
  </si>
  <si>
    <r>
      <rPr>
        <b/>
        <charset val="134"/>
        <sz val="10"/>
        <color rgb="FFFFFFFF"/>
        <rFont val="微软雅黑"/>
      </rPr>
      <t>soundOnMoveOrder: tankMoveOrder1.ogg, tankMoveOrder2.ogg</t>
    </r>
  </si>
  <si>
    <r>
      <rPr>
        <b/>
        <charset val="134"/>
        <sz val="10"/>
        <color rgb="FFFFFFFF"/>
        <rFont val="微软雅黑"/>
      </rPr>
      <t>soundOnNewSelection</t>
    </r>
  </si>
  <si>
    <r>
      <rPr>
        <b/>
        <charset val="134"/>
        <sz val="10"/>
        <color rgb="FFFFFFFF"/>
        <rFont val="微软雅黑"/>
      </rPr>
      <t>选择指令音效</t>
    </r>
  </si>
  <si>
    <r>
      <rPr>
        <b/>
        <charset val="134"/>
        <sz val="10"/>
        <color rgb="FFFFFFFF"/>
        <rFont val="微软雅黑"/>
      </rPr>
      <t>填声音名称列表。用,隔开。每次下达选择指令时只播放其中一个。仅支持.ogg和.wav格式，注意不要直接修改后缀名，要转换格式。</t>
    </r>
  </si>
  <si>
    <r>
      <rPr>
        <b/>
        <charset val="134"/>
        <sz val="10"/>
        <color rgb="FFFFFFFF"/>
        <rFont val="微软雅黑"/>
      </rPr>
      <t>soundOnNewSelection: tankSelection1.ogg, tankSelection2.ogg</t>
    </r>
  </si>
  <si>
    <r>
      <rPr>
        <b/>
        <charset val="134"/>
        <sz val="10"/>
        <color rgb="FFFFFFFF"/>
        <rFont val="微软雅黑"/>
      </rPr>
      <t>canNotBeDirectlyAttacked</t>
    </r>
  </si>
  <si>
    <r>
      <rPr>
        <b/>
        <charset val="134"/>
        <sz val="10"/>
        <color rgb="FFFFFFFF"/>
        <rFont val="微软雅黑"/>
      </rPr>
      <t>禁止直接攻击</t>
    </r>
  </si>
  <si>
    <r>
      <rPr>
        <b/>
        <charset val="134"/>
        <sz val="10"/>
        <color rgb="FFFFFFFF"/>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</si>
  <si>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FFFFFF"/>
        <rFont val="微软雅黑"/>
      </rPr>
      <t>canNotBeDirectlyAttacked: true</t>
    </r>
  </si>
  <si>
    <r>
      <rPr>
        <b/>
        <charset val="134"/>
        <sz val="10"/>
        <color rgb="FFFFFFFF"/>
        <rFont val="微软雅黑"/>
      </rPr>
      <t>canNotBeDamaged</t>
    </r>
  </si>
  <si>
    <r>
      <rPr>
        <b/>
        <charset val="134"/>
        <sz val="10"/>
        <color rgb="FFFFFFFF"/>
        <rFont val="微软雅黑"/>
      </rPr>
      <t>禁止受到伤害</t>
    </r>
  </si>
  <si>
    <r>
      <rPr>
        <b/>
        <charset val="134"/>
        <sz val="10"/>
        <color rgb="FFFFFFFF"/>
        <rFont val="微软雅黑"/>
      </rPr>
      <t>无敌，可被敌方攻击，但不造成实质伤害。如果canNotBeDirectlyAttacked为true,此语句为false,则不可被直接攻击但受到范围伤害。</t>
    </r>
  </si>
  <si>
    <r>
      <rPr>
        <b/>
        <charset val="134"/>
        <sz val="10"/>
        <color rgb="FFFFFFFF"/>
        <rFont val="微软雅黑"/>
      </rPr>
      <t>canNotBeDamaged:true</t>
    </r>
  </si>
  <si>
    <r>
      <rPr>
        <b/>
        <charset val="134"/>
        <sz val="10"/>
        <color rgb="FFFFFFFF"/>
        <rFont val="微软雅黑"/>
      </rPr>
      <t>canNotBeGivenOrdersByPlayer</t>
    </r>
  </si>
  <si>
    <r>
      <rPr>
        <b/>
        <charset val="134"/>
        <sz val="10"/>
        <color rgb="FFFFFFFF"/>
        <rFont val="微软雅黑"/>
      </rPr>
      <t>禁止接受指令</t>
    </r>
  </si>
  <si>
    <r>
      <rPr>
        <b/>
        <charset val="134"/>
        <sz val="10"/>
        <color rgb="FFFFFFFF"/>
        <rFont val="微软雅黑"/>
      </rPr>
      <t>如果为true，则单位不会接受玩家或AI的命令。可以选中查看信息。</t>
    </r>
  </si>
  <si>
    <r>
      <rPr>
        <b/>
        <charset val="134"/>
        <sz val="10"/>
        <color rgb="FFFFFFFF"/>
        <rFont val="微软雅黑"/>
      </rPr>
      <t>canNotBeGivenOrdersByPlayer: true</t>
    </r>
  </si>
  <si>
    <r>
      <rPr>
        <b/>
        <charset val="134"/>
        <sz val="10"/>
        <color rgb="FFFFFFFF"/>
        <rFont val="微软雅黑"/>
      </rPr>
      <t>canOnlyBeAttackedByUnitsWithTags</t>
    </r>
  </si>
  <si>
    <r>
      <rPr>
        <b/>
        <charset val="134"/>
        <sz val="10"/>
        <color rgb="FFFFFFFF"/>
        <rFont val="微软雅黑"/>
      </rPr>
      <t>仅许带此标签单位攻击</t>
    </r>
  </si>
  <si>
    <r>
      <rPr>
        <b/>
        <charset val="134"/>
        <sz val="10"/>
        <color rgb="FFFFFFFF"/>
        <rFont val="微软雅黑"/>
      </rPr>
      <t>填标签，只有带有这些标签的单位才能直接定位到该单位。</t>
    </r>
  </si>
  <si>
    <r>
      <rPr>
        <b/>
        <charset val="134"/>
        <sz val="10"/>
        <color rgb="FFFFFFFF"/>
        <rFont val="微软雅黑"/>
      </rPr>
      <t>canOnlyBeAttackedByUnitsWithTags: piercingTank, powerfulTank</t>
    </r>
  </si>
  <si>
    <r>
      <rPr>
        <b/>
        <charset val="134"/>
        <sz val="10"/>
        <color rgb="FFFFFFFF"/>
        <rFont val="微软雅黑"/>
      </rPr>
      <t>strings(s)</t>
    </r>
  </si>
  <si>
    <r>
      <rPr>
        <b/>
        <charset val="134"/>
        <sz val="10"/>
        <color rgb="FFFFFFFF"/>
        <rFont val="微软雅黑"/>
      </rPr>
      <t>allowCaptureWhenNeutralByAI</t>
    </r>
  </si>
  <si>
    <r>
      <rPr>
        <b/>
        <charset val="134"/>
        <sz val="10"/>
        <color rgb="FFFFFFFF"/>
        <rFont val="微软雅黑"/>
      </rPr>
      <t>允许中立时被AI俘虏</t>
    </r>
  </si>
  <si>
    <r>
      <rPr>
        <b/>
        <charset val="134"/>
        <sz val="10"/>
        <color rgb="FFFFFFFF"/>
        <rFont val="微软雅黑"/>
      </rPr>
      <t>(推测,以前人机不能捕获中立单位)</t>
    </r>
  </si>
  <si>
    <r>
      <rPr>
        <b/>
        <charset val="134"/>
        <sz val="10"/>
        <color rgb="FFFFFFFF"/>
        <rFont val="微软雅黑"/>
      </rPr>
      <t>allowCaptureWhenNeutralByAI:true</t>
    </r>
  </si>
  <si>
    <r>
      <rPr>
        <b/>
        <charset val="134"/>
        <sz val="10"/>
        <color rgb="FFFFFFFF"/>
        <rFont val="微软雅黑"/>
      </rPr>
      <t>运输代码</t>
    </r>
  </si>
  <si>
    <r>
      <rPr>
        <b/>
        <charset val="134"/>
        <sz val="10"/>
        <color rgb="FFFFFFFF"/>
        <rFont val="微软雅黑"/>
      </rPr>
      <t>transportSlotsNeeded</t>
    </r>
  </si>
  <si>
    <r>
      <rPr>
        <b/>
        <charset val="134"/>
        <sz val="10"/>
        <color rgb="FFFFFFFF"/>
        <rFont val="微软雅黑"/>
      </rPr>
      <t>运输占用位置</t>
    </r>
  </si>
  <si>
    <r>
      <rPr>
        <b/>
        <charset val="134"/>
        <sz val="10"/>
        <color rgb="FFFFFFFF"/>
        <rFont val="微软雅黑"/>
      </rPr>
      <t>默认值为1。此单位在运输载具中占据的格子数。</t>
    </r>
  </si>
  <si>
    <r>
      <rPr>
        <b/>
        <charset val="134"/>
        <sz val="10"/>
        <color rgb="FFFFFFFF"/>
        <rFont val="微软雅黑"/>
      </rPr>
      <t>transportSlotsNeeded: 2</t>
    </r>
  </si>
  <si>
    <r>
      <rPr>
        <b/>
        <charset val="134"/>
        <sz val="10"/>
        <color rgb="FFFFFFFF"/>
        <rFont val="微软雅黑"/>
      </rPr>
      <t>maxTransportingUnits</t>
    </r>
  </si>
  <si>
    <r>
      <rPr>
        <b/>
        <charset val="134"/>
        <sz val="10"/>
        <color rgb="FFFFFFFF"/>
        <rFont val="微软雅黑"/>
      </rPr>
      <t>运输槽位数量</t>
    </r>
  </si>
  <si>
    <r>
      <rPr>
        <b/>
        <charset val="134"/>
        <sz val="10"/>
        <color rgb="FFFFFFFF"/>
        <rFont val="微软雅黑"/>
      </rPr>
      <t>该单位载员格子数量。</t>
    </r>
  </si>
  <si>
    <r>
      <rPr>
        <b/>
        <charset val="134"/>
        <sz val="10"/>
        <color rgb="FFFFFFFF"/>
        <rFont val="微软雅黑"/>
      </rPr>
      <t>maxTransportingUnits: 5</t>
    </r>
  </si>
  <si>
    <r>
      <rPr>
        <b/>
        <charset val="134"/>
        <sz val="10"/>
        <color rgb="FFFFFFFF"/>
        <rFont val="微软雅黑"/>
      </rPr>
      <t>transportUnitsRequireTag</t>
    </r>
  </si>
  <si>
    <r>
      <rPr>
        <b/>
        <charset val="134"/>
        <sz val="10"/>
        <color rgb="FFFFFFFF"/>
        <rFont val="微软雅黑"/>
      </rPr>
      <t>被运输单位需要标签</t>
    </r>
  </si>
  <si>
    <r>
      <rPr>
        <b/>
        <charset val="134"/>
        <sz val="10"/>
        <color rgb="FFFFFFFF"/>
        <rFont val="微软雅黑"/>
      </rPr>
      <t>仅允许运输具有这些标签之一的单位。可以用于运输类型分类，如人运物资，步单位车运人，气垫船运车辆。或是子机限制，如航母飞机只能降落到航母。</t>
    </r>
  </si>
  <si>
    <r>
      <rPr>
        <b/>
        <charset val="134"/>
        <sz val="10"/>
        <color rgb="FFFFFFFF"/>
        <rFont val="微软雅黑"/>
      </rPr>
      <t>transportUnitsRequireTag: smallTank, soldier</t>
    </r>
  </si>
  <si>
    <r>
      <rPr>
        <b/>
        <charset val="134"/>
        <sz val="10"/>
        <color rgb="FFFFFFFF"/>
        <rFont val="微软雅黑"/>
      </rPr>
      <t>transportUnitsRequireMovementType</t>
    </r>
  </si>
  <si>
    <r>
      <rPr>
        <b/>
        <charset val="134"/>
        <sz val="10"/>
        <color rgb="FFFFFFFF"/>
        <rFont val="微软雅黑"/>
      </rPr>
      <t>被运输单位类型限制</t>
    </r>
  </si>
  <si>
    <r>
      <rPr>
        <b/>
        <charset val="134"/>
        <sz val="10"/>
        <color rgb="FFFFFFFF"/>
        <rFont val="微软雅黑"/>
      </rPr>
      <t>仅允许运输具有这些移动类型之一的单位。默认陆地。比如可以设定某单位可以运输空军以实现停机坪，只运输海军等。</t>
    </r>
  </si>
  <si>
    <r>
      <rPr>
        <b/>
        <charset val="134"/>
        <sz val="10"/>
        <color rgb="FFFFFFFF"/>
        <rFont val="微软雅黑"/>
      </rPr>
      <t>transportUnitsRequireMovementType: AIR, WATER</t>
    </r>
  </si>
  <si>
    <r>
      <rPr>
        <b/>
        <charset val="134"/>
        <sz val="10"/>
        <color rgb="FFFFFFFF"/>
        <rFont val="微软雅黑"/>
      </rPr>
      <t>movementTypes</t>
    </r>
  </si>
  <si>
    <r>
      <rPr>
        <b/>
        <charset val="134"/>
        <sz val="10"/>
        <color rgb="FFFFFFFF"/>
        <rFont val="微软雅黑"/>
      </rPr>
      <t>transportUnitsBlockAirAndWaterUnits</t>
    </r>
  </si>
  <si>
    <r>
      <rPr>
        <b/>
        <charset val="134"/>
        <sz val="10"/>
        <color rgb="FFFFFFFF"/>
        <rFont val="微软雅黑"/>
      </rPr>
      <t>禁止运输空军和海军</t>
    </r>
  </si>
  <si>
    <r>
      <rPr>
        <b/>
        <charset val="134"/>
        <sz val="10"/>
        <color rgb="FFFFFFFF"/>
        <rFont val="微软雅黑"/>
      </rPr>
      <t>禁止运输空军和海军，默认为true。如果为true，则此单位只能运输LAND单位。</t>
    </r>
  </si>
  <si>
    <r>
      <rPr>
        <b/>
        <charset val="134"/>
        <sz val="10"/>
        <color rgb="FFFFFFFF"/>
        <rFont val="微软雅黑"/>
      </rPr>
      <t>transportUnitsBlockAirAndWaterUnits: false</t>
    </r>
  </si>
  <si>
    <r>
      <rPr>
        <b/>
        <charset val="134"/>
        <sz val="10"/>
        <color rgb="FFFFFFFF"/>
        <rFont val="微软雅黑"/>
      </rPr>
      <t>transportUnitsKeepBuiltUnits</t>
    </r>
  </si>
  <si>
    <r>
      <rPr>
        <b/>
        <charset val="134"/>
        <sz val="10"/>
        <color rgb="FFFFFFFF"/>
        <rFont val="微软雅黑"/>
      </rPr>
      <t>单位建造完成时保留在载具内</t>
    </r>
  </si>
  <si>
    <r>
      <rPr>
        <b/>
        <charset val="134"/>
        <sz val="10"/>
        <color rgb="FFFFFFFF"/>
        <rFont val="微软雅黑"/>
      </rPr>
      <t>使建造的单位留在运输者中，而不是造完直接从载具中出来。</t>
    </r>
  </si>
  <si>
    <r>
      <rPr>
        <b/>
        <charset val="134"/>
        <sz val="10"/>
        <color rgb="FFFFFFFF"/>
        <rFont val="微软雅黑"/>
      </rPr>
      <t>transportUnitsKeepBuiltUnits: true</t>
    </r>
  </si>
  <si>
    <r>
      <rPr>
        <b/>
        <charset val="134"/>
        <sz val="10"/>
        <color rgb="FFFFFFFF"/>
        <rFont val="微软雅黑"/>
      </rPr>
      <t>LogicBoolean</t>
    </r>
  </si>
  <si>
    <r>
      <rPr>
        <b/>
        <charset val="134"/>
        <sz val="10"/>
        <color rgb="FFFFFFFF"/>
        <rFont val="微软雅黑"/>
      </rPr>
      <t>transportUnitsCanUnloadUnits</t>
    </r>
  </si>
  <si>
    <r>
      <rPr>
        <b/>
        <charset val="134"/>
        <sz val="10"/>
        <color rgb="FFFFFFFF"/>
        <rFont val="微软雅黑"/>
      </rPr>
      <t>载具可以卸载单位</t>
    </r>
  </si>
  <si>
    <r>
      <rPr>
        <b/>
        <charset val="134"/>
        <sz val="10"/>
        <color rgb="FFFFFFFF"/>
        <rFont val="微软雅黑"/>
      </rPr>
      <t>载具卸载单位需要满足条件，默认为“ if not self.isOverLiquid() and not self.isMoving()”(不在液体上且没有移动)</t>
    </r>
  </si>
  <si>
    <r>
      <rPr>
        <b/>
        <charset val="134"/>
        <sz val="10"/>
        <color rgb="FFFFFFFF"/>
        <rFont val="微软雅黑"/>
      </rPr>
      <t>transportUnitsCanUnloadUnits: false</t>
    </r>
  </si>
  <si>
    <r>
      <rPr>
        <b/>
        <charset val="134"/>
        <sz val="10"/>
        <color rgb="FFFFFFFF"/>
        <rFont val="微软雅黑"/>
      </rPr>
      <t>transportUnitsAddUnloadOption</t>
    </r>
  </si>
  <si>
    <r>
      <rPr>
        <b/>
        <charset val="134"/>
        <sz val="10"/>
        <color rgb="FFFFFFFF"/>
        <rFont val="微软雅黑"/>
      </rPr>
      <t>载具显示卸载按钮</t>
    </r>
  </si>
  <si>
    <r>
      <rPr>
        <b/>
        <charset val="134"/>
        <sz val="10"/>
        <color rgb="FFFFFFFF"/>
        <rFont val="微软雅黑"/>
      </rPr>
      <t>是否显示卸载按钮</t>
    </r>
  </si>
  <si>
    <r>
      <rPr>
        <b/>
        <charset val="134"/>
        <sz val="10"/>
        <color rgb="FFFFFFFF"/>
        <rFont val="微软雅黑"/>
      </rPr>
      <t>transportUnitsAddUnloadOption: false</t>
    </r>
  </si>
  <si>
    <r>
      <rPr>
        <b/>
        <charset val="134"/>
        <sz val="10"/>
        <color rgb="FFFFFFFF"/>
        <rFont val="微软雅黑"/>
      </rPr>
      <t>transportUnitsUnloadDelayBetweenEachUnit</t>
    </r>
  </si>
  <si>
    <r>
      <rPr>
        <b/>
        <charset val="134"/>
        <sz val="10"/>
        <color rgb="FFFFFFFF"/>
        <rFont val="微软雅黑"/>
      </rPr>
      <t>载具卸载时间间隔</t>
    </r>
  </si>
  <si>
    <r>
      <rPr>
        <b/>
        <charset val="134"/>
        <sz val="10"/>
        <color rgb="FFFFFFFF"/>
        <rFont val="微软雅黑"/>
      </rPr>
      <t>卸载单位之间的延迟时间。</t>
    </r>
  </si>
  <si>
    <r>
      <rPr>
        <b/>
        <charset val="134"/>
        <sz val="10"/>
        <color rgb="FFFFFFFF"/>
        <rFont val="微软雅黑"/>
      </rPr>
      <t>transportUnitsUnloadDelayBetweenEachUnit: 12</t>
    </r>
  </si>
  <si>
    <r>
      <rPr>
        <b/>
        <charset val="134"/>
        <sz val="10"/>
        <color rgb="FFFFFFFF"/>
        <rFont val="微软雅黑"/>
      </rPr>
      <t>transportUnitsKillOnDeath</t>
    </r>
  </si>
  <si>
    <r>
      <rPr>
        <b/>
        <charset val="134"/>
        <sz val="10"/>
        <color rgb="FFFFFFFF"/>
        <rFont val="微软雅黑"/>
      </rPr>
      <t>载具内单位和载具一同死亡</t>
    </r>
  </si>
  <si>
    <r>
      <rPr>
        <b/>
        <charset val="134"/>
        <sz val="10"/>
        <color rgb="FFFFFFFF"/>
        <rFont val="微软雅黑"/>
      </rPr>
      <t>默认为true。如果载具死亡，则其中单位也死亡。</t>
    </r>
  </si>
  <si>
    <r>
      <rPr>
        <b/>
        <charset val="134"/>
        <sz val="10"/>
        <color rgb="FFFFFFFF"/>
        <rFont val="微软雅黑"/>
      </rPr>
      <t>transportUnitsKillOnDeath: if self.isOverLiquid()</t>
    </r>
  </si>
  <si>
    <r>
      <rPr>
        <b/>
        <charset val="134"/>
        <sz val="10"/>
        <color rgb="FFFFFFFF"/>
        <rFont val="微软雅黑"/>
      </rPr>
      <t>transportUnitsHealBy</t>
    </r>
  </si>
  <si>
    <r>
      <rPr>
        <b/>
        <charset val="134"/>
        <sz val="10"/>
        <color rgb="FFFFFFFF"/>
        <rFont val="微软雅黑"/>
      </rPr>
      <t>载具治疗内部单位速度</t>
    </r>
  </si>
  <si>
    <r>
      <rPr>
        <b/>
        <charset val="134"/>
        <sz val="10"/>
        <color rgb="FFFFFFFF"/>
        <rFont val="微软雅黑"/>
      </rPr>
      <t>填数值，以帧为单位。自动治疗载具内部单位。</t>
    </r>
  </si>
  <si>
    <r>
      <rPr>
        <b/>
        <charset val="134"/>
        <sz val="10"/>
        <color rgb="FFFFFFFF"/>
        <rFont val="微软雅黑"/>
      </rPr>
      <t>transportUnitsHealBy: 0.1</t>
    </r>
  </si>
  <si>
    <r>
      <rPr>
        <b/>
        <charset val="134"/>
        <sz val="10"/>
        <color rgb="FFFFFFFF"/>
        <rFont val="微软雅黑"/>
      </rPr>
      <t>transportUnitsBlockOtherTransports</t>
    </r>
  </si>
  <si>
    <r>
      <rPr>
        <b/>
        <charset val="134"/>
        <sz val="10"/>
        <color rgb="FFFFFFFF"/>
        <rFont val="微软雅黑"/>
      </rPr>
      <t>载具禁止装载其它载具</t>
    </r>
  </si>
  <si>
    <r>
      <rPr>
        <b/>
        <charset val="134"/>
        <sz val="10"/>
        <color rgb="FFFFFFFF"/>
        <rFont val="微软雅黑"/>
      </rPr>
      <t>默认值为true，如果为false，则此载具可以装载其它载具。比如步单位装物资，载具装步单位，运输船装载具。</t>
    </r>
  </si>
  <si>
    <r>
      <rPr>
        <b/>
        <charset val="134"/>
        <sz val="10"/>
        <color rgb="FFFFFFFF"/>
        <rFont val="微软雅黑"/>
      </rPr>
      <t>transportUnitsBlockOtherTransports: false</t>
    </r>
  </si>
  <si>
    <r>
      <rPr>
        <b/>
        <charset val="134"/>
        <sz val="10"/>
        <color rgb="FFFFFFFF"/>
        <rFont val="微软雅黑"/>
      </rPr>
      <t>whileNeutralTransportAnyTeam</t>
    </r>
  </si>
  <si>
    <r>
      <rPr>
        <b/>
        <charset val="134"/>
        <sz val="10"/>
        <color rgb="FFFFFFFF"/>
        <rFont val="微软雅黑"/>
      </rPr>
      <t>中立时可装载任意所属单位</t>
    </r>
  </si>
  <si>
    <r>
      <rPr>
        <b/>
        <charset val="134"/>
        <sz val="10"/>
        <color rgb="FFFFFFFF"/>
        <rFont val="微软雅黑"/>
      </rPr>
      <t>如果是中立的，则这个部队可以装载任何队伍的部队。可用于占领中立单位，比如坦克需要驾驶员，步单位建筑平民建筑。</t>
    </r>
  </si>
  <si>
    <r>
      <rPr>
        <b/>
        <charset val="134"/>
        <sz val="10"/>
        <color rgb="FFFFFFFF"/>
        <rFont val="微软雅黑"/>
      </rPr>
      <t>whileNeutralTransportAnyTeam: true</t>
    </r>
  </si>
  <si>
    <r>
      <rPr>
        <b/>
        <charset val="134"/>
        <sz val="10"/>
        <color rgb="FFFFFFFF"/>
        <rFont val="微软雅黑"/>
      </rPr>
      <t>whileNeutralConvertToTransportedTeam</t>
    </r>
  </si>
  <si>
    <r>
      <rPr>
        <b/>
        <charset val="134"/>
        <sz val="10"/>
        <color rgb="FFFFFFFF"/>
        <rFont val="微软雅黑"/>
      </rPr>
      <t>中立时转换为载员队伍</t>
    </r>
  </si>
  <si>
    <r>
      <rPr>
        <b/>
        <charset val="134"/>
        <sz val="10"/>
        <color rgb="FFFFFFFF"/>
        <rFont val="微软雅黑"/>
      </rPr>
      <t>中立时将其转换为载员队伍。与whileNeutralTransportAnyTeam一起使用，用于占领中立单位。</t>
    </r>
  </si>
  <si>
    <r>
      <rPr>
        <b/>
        <charset val="134"/>
        <sz val="10"/>
        <color rgb="FFFFFFFF"/>
        <rFont val="微软雅黑"/>
      </rPr>
      <t>whileNeutralConvertToTransportedTeam: true</t>
    </r>
  </si>
  <si>
    <r>
      <rPr>
        <b/>
        <charset val="134"/>
        <sz val="10"/>
        <color rgb="FFFFFFFF"/>
        <rFont val="微软雅黑"/>
      </rPr>
      <t>convertToNeutralIfNotTransporting</t>
    </r>
  </si>
  <si>
    <r>
      <rPr>
        <b/>
        <charset val="134"/>
        <sz val="10"/>
        <color rgb="FFFFFFFF"/>
        <rFont val="微软雅黑"/>
      </rPr>
      <t>卸载所有单位时恢复为中立</t>
    </r>
  </si>
  <si>
    <r>
      <rPr>
        <b/>
        <charset val="134"/>
        <sz val="10"/>
        <color rgb="FFFFFFFF"/>
        <rFont val="微软雅黑"/>
      </rPr>
      <t>卸载单位时将其恢复为中立队伍。与whileNeutralTransportAnyTeam一起使用。</t>
    </r>
  </si>
  <si>
    <r>
      <rPr>
        <b/>
        <charset val="134"/>
        <sz val="10"/>
        <color rgb="FFFFFFFF"/>
        <rFont val="微软雅黑"/>
      </rPr>
      <t>convertToNeutralIfNotTransporting: true</t>
    </r>
  </si>
  <si>
    <r>
      <rPr>
        <b/>
        <charset val="134"/>
        <sz val="10"/>
        <color rgb="FFFFFFFF"/>
        <rFont val="微软雅黑"/>
      </rPr>
      <t>transportUnitsOnTeamChangeKeepCurrentTeam</t>
    </r>
  </si>
  <si>
    <r>
      <rPr>
        <b/>
        <charset val="134"/>
        <sz val="10"/>
        <color rgb="FFFFFFFF"/>
        <rFont val="微软雅黑"/>
      </rPr>
      <t>转换所属时保留内部单位所属</t>
    </r>
  </si>
  <si>
    <r>
      <rPr>
        <b/>
        <charset val="134"/>
        <sz val="10"/>
        <color rgb="FFFFFFFF"/>
        <rFont val="微软雅黑"/>
      </rPr>
      <t>如果为true，则单位转换阵营时仍然将运输的单位保留在其原始队伍中。</t>
    </r>
  </si>
  <si>
    <r>
      <rPr>
        <b/>
        <charset val="134"/>
        <sz val="10"/>
        <color rgb="FFFFFFFF"/>
        <rFont val="微软雅黑"/>
      </rPr>
      <t>transportUnitsOnTeamChangeKeepCurrentTeam: true</t>
    </r>
  </si>
  <si>
    <r>
      <rPr>
        <b/>
        <charset val="134"/>
        <sz val="10"/>
        <color rgb="FFFFFFFF"/>
        <rFont val="微软雅黑"/>
      </rPr>
      <t>transportUnitsEachUnitAlwaysUsesSingleSlot</t>
    </r>
  </si>
  <si>
    <r>
      <rPr>
        <b/>
        <charset val="134"/>
        <sz val="10"/>
        <color rgb="FFFFFFFF"/>
        <rFont val="微软雅黑"/>
      </rPr>
      <t>载员只占用一个槽位</t>
    </r>
  </si>
  <si>
    <r>
      <rPr>
        <b/>
        <charset val="134"/>
        <sz val="10"/>
        <color rgb="FFFFFFFF"/>
        <rFont val="微软雅黑"/>
      </rPr>
      <t>所有载员无论体积只占用一个运输槽。但体积大于载员数时仍然不能进入。</t>
    </r>
  </si>
  <si>
    <r>
      <rPr>
        <b/>
        <charset val="134"/>
        <sz val="10"/>
        <color rgb="FFFFFFFF"/>
        <rFont val="微软雅黑"/>
      </rPr>
      <t>transportUnitsEachUnitAlwaysUsesSingleSlot:true</t>
    </r>
  </si>
  <si>
    <r>
      <rPr>
        <b/>
        <charset val="134"/>
        <sz val="10"/>
        <color rgb="FFFFFFFF"/>
        <rFont val="微软雅黑"/>
      </rPr>
      <t>transportUnitsKeepWaypoints</t>
    </r>
  </si>
  <si>
    <r>
      <rPr>
        <b/>
        <charset val="134"/>
        <sz val="10"/>
        <color rgb="FFFFFFFF"/>
        <rFont val="微软雅黑"/>
      </rPr>
      <t>载员保持路径点</t>
    </r>
  </si>
  <si>
    <r>
      <rPr>
        <b/>
        <charset val="134"/>
        <sz val="10"/>
        <color rgb="FFFFFFFF"/>
        <rFont val="微软雅黑"/>
      </rPr>
      <t>目前无效</t>
    </r>
  </si>
  <si>
    <r>
      <rPr>
        <b/>
        <charset val="134"/>
        <sz val="10"/>
        <color rgb="FFFFFFFF"/>
        <rFont val="微软雅黑"/>
      </rPr>
      <t>transportUnitsKeepWaypoints:true</t>
    </r>
  </si>
  <si>
    <r>
      <rPr>
        <b/>
        <charset val="134"/>
        <sz val="10"/>
        <color rgb="FFFFFFFF"/>
        <rFont val="微软雅黑"/>
      </rPr>
      <t>资源节点代码</t>
    </r>
  </si>
  <si>
    <r>
      <rPr>
        <b/>
        <charset val="134"/>
        <sz val="10"/>
        <color rgb="FFFFFFFF"/>
        <rFont val="微软雅黑"/>
      </rPr>
      <t>resourceRate</t>
    </r>
  </si>
  <si>
    <r>
      <rPr>
        <b/>
        <charset val="134"/>
        <sz val="10"/>
        <color rgb="FFFFFFFF"/>
        <rFont val="微软雅黑"/>
      </rPr>
      <t>回收速率</t>
    </r>
  </si>
  <si>
    <r>
      <rPr>
        <b/>
        <charset val="134"/>
        <sz val="10"/>
        <color rgb="FFFFFFFF"/>
        <rFont val="微软雅黑"/>
      </rPr>
      <t>回收速度。每帧回收血量。与canReclaimResources一起使用。允许其他队伍回收该单位。通常与中立队伍配合使用。使用价格来设置获取哪些资源。</t>
    </r>
  </si>
  <si>
    <r>
      <rPr>
        <b/>
        <charset val="134"/>
        <sz val="10"/>
        <color rgb="FFFFFFFF"/>
        <rFont val="微软雅黑"/>
      </rPr>
      <t>resourceRate:1</t>
    </r>
  </si>
  <si>
    <r>
      <rPr>
        <b/>
        <charset val="134"/>
        <sz val="10"/>
        <color rgb="FFFFFFFF"/>
        <rFont val="微软雅黑"/>
      </rPr>
      <t>similarResourcesHaveTag</t>
    </r>
  </si>
  <si>
    <r>
      <rPr>
        <b/>
        <charset val="134"/>
        <sz val="10"/>
        <color rgb="FFFFFFFF"/>
        <rFont val="微软雅黑"/>
      </rPr>
      <t>像用于此标签的单位</t>
    </r>
  </si>
  <si>
    <r>
      <rPr>
        <b/>
        <charset val="134"/>
        <sz val="10"/>
        <color rgb="FFFFFFFF"/>
        <rFont val="微软雅黑"/>
      </rPr>
      <t>有这些标签时，资源采集单位将视为同一种资源</t>
    </r>
  </si>
  <si>
    <r>
      <rPr>
        <b/>
        <charset val="134"/>
        <sz val="10"/>
        <color rgb="FFFFFFFF"/>
        <rFont val="微软雅黑"/>
      </rPr>
      <t>similarResourcesHaveTag: goldResource</t>
    </r>
  </si>
  <si>
    <r>
      <rPr>
        <b/>
        <charset val="134"/>
        <sz val="10"/>
        <color rgb="FFFFFFFF"/>
        <rFont val="微软雅黑"/>
      </rPr>
      <t>resourceMaxConcurrentReclaimingThis</t>
    </r>
  </si>
  <si>
    <r>
      <rPr>
        <b/>
        <charset val="134"/>
        <sz val="10"/>
        <color rgb="FFFFFFFF"/>
        <rFont val="微软雅黑"/>
      </rPr>
      <t>可同时被此数目单位回收</t>
    </r>
  </si>
  <si>
    <r>
      <rPr>
        <b/>
        <charset val="134"/>
        <sz val="10"/>
        <color rgb="FFFFFFFF"/>
        <rFont val="微软雅黑"/>
      </rPr>
      <t>默认为无限制。限制有多少单位可以同时回收此资源。</t>
    </r>
  </si>
  <si>
    <r>
      <rPr>
        <b/>
        <charset val="134"/>
        <sz val="10"/>
        <color rgb="FFFFFFFF"/>
        <rFont val="微软雅黑"/>
      </rPr>
      <t>resourceMaxConcurrentReclaimingThis: 3</t>
    </r>
  </si>
  <si>
    <r>
      <rPr>
        <b/>
        <charset val="134"/>
        <sz val="10"/>
        <color rgb="FFFFFFFF"/>
        <rFont val="微软雅黑"/>
      </rPr>
      <t>reclaimPrice</t>
    </r>
  </si>
  <si>
    <r>
      <rPr>
        <b/>
        <charset val="134"/>
        <sz val="10"/>
        <color rgb="FFFFFFFF"/>
        <rFont val="微软雅黑"/>
      </rPr>
      <t>回收价格</t>
    </r>
  </si>
  <si>
    <r>
      <rPr>
        <b/>
        <charset val="134"/>
        <sz val="10"/>
        <color rgb="FFFFFFFF"/>
        <rFont val="微软雅黑"/>
      </rPr>
      <t>自定义资源，类似价格。对于自定义资源很有用。</t>
    </r>
  </si>
  <si>
    <r>
      <rPr>
        <b/>
        <charset val="134"/>
        <sz val="10"/>
        <color rgb="FFFFFFFF"/>
        <rFont val="微软雅黑"/>
      </rPr>
      <t>reclaimPrice: gold=1000</t>
    </r>
  </si>
  <si>
    <r>
      <rPr>
        <b/>
        <charset val="134"/>
        <sz val="10"/>
        <color rgb="FFFFFFFF"/>
        <rFont val="微软雅黑"/>
      </rPr>
      <t>资源收集器代码</t>
    </r>
  </si>
  <si>
    <r>
      <rPr>
        <b/>
        <charset val="134"/>
        <sz val="10"/>
        <color rgb="FFFFFFFF"/>
        <rFont val="微软雅黑"/>
      </rPr>
      <t>canReclaimResources</t>
    </r>
  </si>
  <si>
    <r>
      <rPr>
        <b/>
        <charset val="134"/>
        <sz val="10"/>
        <color rgb="FFFFFFFF"/>
        <rFont val="微软雅黑"/>
      </rPr>
      <t>可以回收资源</t>
    </r>
  </si>
  <si>
    <r>
      <rPr>
        <b/>
        <charset val="134"/>
        <sz val="10"/>
        <color rgb="FFFFFFFF"/>
        <rFont val="微软雅黑"/>
      </rPr>
      <t>如果为true，则此单位可以收集资源，这对于resourceRate很有用。</t>
    </r>
  </si>
  <si>
    <r>
      <rPr>
        <b/>
        <charset val="134"/>
        <sz val="10"/>
        <color rgb="FFFFFFFF"/>
        <rFont val="微软雅黑"/>
      </rPr>
      <t>canReclaimResources: true</t>
    </r>
  </si>
  <si>
    <r>
      <rPr>
        <b/>
        <charset val="134"/>
        <sz val="10"/>
        <color rgb="FFFFFFFF"/>
        <rFont val="微软雅黑"/>
      </rPr>
      <t>canReclaimResourcesNextSearchRange</t>
    </r>
  </si>
  <si>
    <r>
      <rPr>
        <b/>
        <charset val="134"/>
        <sz val="10"/>
        <color rgb="FFFFFFFF"/>
        <rFont val="微软雅黑"/>
      </rPr>
      <t>搜寻资源范围</t>
    </r>
  </si>
  <si>
    <r>
      <rPr>
        <b/>
        <charset val="134"/>
        <sz val="10"/>
        <color rgb="FFFFFFFF"/>
        <rFont val="微软雅黑"/>
      </rPr>
      <t>当一处资源采集完后，搜寻更多资源的范围。</t>
    </r>
  </si>
  <si>
    <r>
      <rPr>
        <b/>
        <charset val="134"/>
        <sz val="10"/>
        <color rgb="FFFFFFFF"/>
        <rFont val="微软雅黑"/>
      </rPr>
      <t>canReclaimResourcesNextSearchRange: 100</t>
    </r>
  </si>
  <si>
    <r>
      <rPr>
        <b/>
        <charset val="134"/>
        <sz val="10"/>
        <color rgb="FFFFFFFF"/>
        <rFont val="微软雅黑"/>
      </rPr>
      <t>canReclaimResourcesOnlyWithTags</t>
    </r>
  </si>
  <si>
    <r>
      <rPr>
        <b/>
        <charset val="134"/>
        <sz val="10"/>
        <color rgb="FFFFFFFF"/>
        <rFont val="微软雅黑"/>
      </rPr>
      <t>仅允许回收特定标签资源</t>
    </r>
  </si>
  <si>
    <r>
      <rPr>
        <b/>
        <charset val="134"/>
        <sz val="10"/>
        <color rgb="FFFFFFFF"/>
        <rFont val="微软雅黑"/>
      </rPr>
      <t>仅允许回收有此标签的单位。</t>
    </r>
  </si>
  <si>
    <r>
      <rPr>
        <b/>
        <charset val="134"/>
        <sz val="10"/>
        <color rgb="FFFFFFFF"/>
        <rFont val="微软雅黑"/>
      </rPr>
      <t>canReclaimResourcesOnlyWithTags: foodResource, goldResource</t>
    </r>
  </si>
  <si>
    <r>
      <rPr>
        <b/>
        <charset val="134"/>
        <sz val="10"/>
        <color rgb="FFFFFFFF"/>
        <rFont val="微软雅黑"/>
      </rPr>
      <t>resourceReclaimMultiplier</t>
    </r>
  </si>
  <si>
    <r>
      <rPr>
        <b/>
        <charset val="134"/>
        <sz val="10"/>
        <color rgb="FFFFFFFF"/>
        <rFont val="微软雅黑"/>
      </rPr>
      <t>建造单位回收资源的乘数</t>
    </r>
  </si>
  <si>
    <r>
      <rPr>
        <b/>
        <charset val="134"/>
        <sz val="10"/>
        <color rgb="FFFFFFFF"/>
        <rFont val="微软雅黑"/>
      </rPr>
      <t>默认为1</t>
    </r>
  </si>
  <si>
    <r>
      <rPr>
        <b/>
        <charset val="134"/>
        <sz val="10"/>
        <color rgb="FFFFFFFF"/>
        <rFont val="微软雅黑"/>
      </rPr>
      <t>resourceReclaimMultiplier:1</t>
    </r>
  </si>
  <si>
    <r>
      <rPr>
        <b/>
        <charset val="134"/>
        <sz val="10"/>
        <color rgb="FFFFFFFF"/>
        <rFont val="微软雅黑"/>
      </rPr>
      <t>nanoUnbuildSpeed</t>
    </r>
  </si>
  <si>
    <r>
      <rPr>
        <b/>
        <charset val="134"/>
        <sz val="10"/>
        <color rgb="FFFFFFFF"/>
        <rFont val="微软雅黑"/>
      </rPr>
      <t>建造单位回收未完成单位速度</t>
    </r>
  </si>
  <si>
    <r>
      <rPr>
        <b/>
        <charset val="134"/>
        <sz val="10"/>
        <color rgb="FFFFFFFF"/>
        <rFont val="微软雅黑"/>
      </rPr>
      <t>(俗称"蓝影"，默认为1)</t>
    </r>
  </si>
  <si>
    <r>
      <rPr>
        <b/>
        <charset val="134"/>
        <sz val="10"/>
        <color rgb="FFFFFFFF"/>
        <rFont val="微软雅黑"/>
      </rPr>
      <t>nanoUnbuildSpeed:1</t>
    </r>
  </si>
  <si>
    <r>
      <rPr>
        <b/>
        <charset val="134"/>
        <sz val="10"/>
        <color rgb="FFFFFFFF"/>
        <rFont val="微软雅黑"/>
      </rPr>
      <t>建筑和工厂代码</t>
    </r>
  </si>
  <si>
    <r>
      <rPr>
        <b/>
        <charset val="134"/>
        <sz val="10"/>
        <color rgb="FFFFFFFF"/>
        <rFont val="微软雅黑"/>
      </rPr>
      <t>canRepairBuildings</t>
    </r>
  </si>
  <si>
    <r>
      <rPr>
        <b/>
        <charset val="134"/>
        <sz val="10"/>
        <color rgb="FFFFFFFF"/>
        <rFont val="微软雅黑"/>
      </rPr>
      <t>可以修建筑</t>
    </r>
  </si>
  <si>
    <r>
      <rPr>
        <b/>
        <charset val="134"/>
        <sz val="10"/>
        <color rgb="FFFFFFFF"/>
        <rFont val="微软雅黑"/>
      </rPr>
      <t>如果为true，该单位可以修复建筑。 （isBuilder：true是必需的）</t>
    </r>
  </si>
  <si>
    <r>
      <rPr>
        <b/>
        <charset val="134"/>
        <sz val="10"/>
        <color rgb="FFFFFFFF"/>
        <rFont val="微软雅黑"/>
      </rPr>
      <t>canRepairBuildings: true</t>
    </r>
  </si>
  <si>
    <r>
      <rPr>
        <b/>
        <charset val="134"/>
        <sz val="10"/>
        <color rgb="FFFFFFFF"/>
        <rFont val="微软雅黑"/>
      </rPr>
      <t>canRepairUnits</t>
    </r>
  </si>
  <si>
    <r>
      <rPr>
        <b/>
        <charset val="134"/>
        <sz val="10"/>
        <color rgb="FFFFFFFF"/>
        <rFont val="微软雅黑"/>
      </rPr>
      <t>可以修单位</t>
    </r>
  </si>
  <si>
    <r>
      <rPr>
        <b/>
        <charset val="134"/>
        <sz val="10"/>
        <color rgb="FFFFFFFF"/>
        <rFont val="微软雅黑"/>
      </rPr>
      <t>如果为true，此单位可以修复单位。 （isBuilder：true是必需的）</t>
    </r>
  </si>
  <si>
    <r>
      <rPr>
        <b/>
        <charset val="134"/>
        <sz val="10"/>
        <color rgb="FFFFFFFF"/>
        <rFont val="微软雅黑"/>
      </rPr>
      <t>canRepairUnits: true</t>
    </r>
  </si>
  <si>
    <r>
      <rPr>
        <b/>
        <charset val="134"/>
        <sz val="10"/>
        <color rgb="FFFFFFFF"/>
        <rFont val="微软雅黑"/>
      </rPr>
      <t>autoRepair</t>
    </r>
  </si>
  <si>
    <r>
      <rPr>
        <b/>
        <charset val="134"/>
        <sz val="10"/>
        <color rgb="FFFFFFFF"/>
        <rFont val="微软雅黑"/>
      </rPr>
      <t>可以自动修</t>
    </r>
  </si>
  <si>
    <r>
      <rPr>
        <b/>
        <charset val="134"/>
        <sz val="10"/>
        <color rgb="FFFFFFFF"/>
        <rFont val="微软雅黑"/>
      </rPr>
      <t>自动维修附近单位，范围为nanoRange。 （isBuilder：true是必需的）</t>
    </r>
  </si>
  <si>
    <r>
      <rPr>
        <b/>
        <charset val="134"/>
        <sz val="10"/>
        <color rgb="FFFFFFFF"/>
        <rFont val="微软雅黑"/>
      </rPr>
      <t>autoRepair: true</t>
    </r>
  </si>
  <si>
    <r>
      <rPr>
        <b/>
        <charset val="134"/>
        <sz val="10"/>
        <color rgb="FFFFFFFF"/>
        <rFont val="微软雅黑"/>
      </rPr>
      <t>canReclaimUnitsOnlyWithTags</t>
    </r>
  </si>
  <si>
    <r>
      <rPr>
        <b/>
        <charset val="134"/>
        <sz val="10"/>
        <color rgb="FFFFFFFF"/>
        <rFont val="微软雅黑"/>
      </rPr>
      <t>仅允许回收特定标签单位</t>
    </r>
  </si>
  <si>
    <r>
      <rPr>
        <b/>
        <charset val="134"/>
        <sz val="10"/>
        <color rgb="FFFFFFFF"/>
        <rFont val="微软雅黑"/>
      </rPr>
      <t>仅允许此单位回收具有特定标签单位。</t>
    </r>
  </si>
  <si>
    <r>
      <rPr>
        <b/>
        <charset val="134"/>
        <sz val="10"/>
        <color rgb="FFFFFFFF"/>
        <rFont val="微软雅黑"/>
      </rPr>
      <t>canReclaimUnitsOnlyWithTags:shibaInu</t>
    </r>
  </si>
  <si>
    <r>
      <rPr>
        <b/>
        <charset val="134"/>
        <sz val="10"/>
        <color rgb="FFFFFFFF"/>
        <rFont val="微软雅黑"/>
      </rPr>
      <t>canRepairUnitsOnlyWithTags</t>
    </r>
  </si>
  <si>
    <r>
      <rPr>
        <b/>
        <charset val="134"/>
        <sz val="10"/>
        <color rgb="FFFFFFFF"/>
        <rFont val="微软雅黑"/>
      </rPr>
      <t>仅允许维修特定标签单位</t>
    </r>
  </si>
  <si>
    <r>
      <rPr>
        <b/>
        <charset val="134"/>
        <sz val="10"/>
        <color rgb="FFFFFFFF"/>
        <rFont val="微软雅黑"/>
      </rPr>
      <t>仅允许此单位维修具有特定标签单位。</t>
    </r>
  </si>
  <si>
    <r>
      <rPr>
        <b/>
        <charset val="134"/>
        <sz val="10"/>
        <color rgb="FFFFFFFF"/>
        <rFont val="微软雅黑"/>
      </rPr>
      <t>canRepairUnitsOnlyWithTags:cat</t>
    </r>
  </si>
  <si>
    <r>
      <rPr>
        <b/>
        <charset val="134"/>
        <sz val="10"/>
        <color rgb="FFFFFFFF"/>
        <rFont val="微软雅黑"/>
      </rPr>
      <t>nanoRange</t>
    </r>
  </si>
  <si>
    <r>
      <rPr>
        <b/>
        <charset val="134"/>
        <sz val="10"/>
        <color rgb="FFFFFFFF"/>
        <rFont val="微软雅黑"/>
      </rPr>
      <t>维修或建造范围</t>
    </r>
  </si>
  <si>
    <r>
      <rPr>
        <b/>
        <charset val="134"/>
        <sz val="10"/>
        <color rgb="FFFFFFFF"/>
        <rFont val="微软雅黑"/>
      </rPr>
      <t>默认值为85。定义单位的构建/修复/回收范围。</t>
    </r>
  </si>
  <si>
    <r>
      <rPr>
        <b/>
        <charset val="134"/>
        <sz val="10"/>
        <color rgb="FFFFFFFF"/>
        <rFont val="微软雅黑"/>
      </rPr>
      <t>nanoRange: 110</t>
    </r>
  </si>
  <si>
    <r>
      <rPr>
        <b/>
        <charset val="134"/>
        <sz val="10"/>
        <color rgb="FFFFFFFF"/>
        <rFont val="微软雅黑"/>
      </rPr>
      <t>nanoRepairSpeed</t>
    </r>
  </si>
  <si>
    <r>
      <rPr>
        <b/>
        <charset val="134"/>
        <sz val="10"/>
        <color rgb="FFFFFFFF"/>
        <rFont val="微软雅黑"/>
      </rPr>
      <t>维修速度</t>
    </r>
  </si>
  <si>
    <r>
      <rPr>
        <b/>
        <charset val="134"/>
        <sz val="10"/>
        <color rgb="FFFFFFFF"/>
        <rFont val="微软雅黑"/>
      </rPr>
      <t>默认值为0.2。定义单位修复速度。</t>
    </r>
  </si>
  <si>
    <r>
      <rPr>
        <b/>
        <charset val="134"/>
        <sz val="10"/>
        <color rgb="FFFFFFFF"/>
        <rFont val="微软雅黑"/>
      </rPr>
      <t>nanoRepairSpeed: 0.01</t>
    </r>
  </si>
  <si>
    <r>
      <rPr>
        <b/>
        <charset val="134"/>
        <sz val="10"/>
        <color rgb="FFFFFFFF"/>
        <rFont val="微软雅黑"/>
      </rPr>
      <t>nanoBuildSpeed</t>
    </r>
  </si>
  <si>
    <r>
      <rPr>
        <b/>
        <charset val="134"/>
        <sz val="10"/>
        <color rgb="FFFFFFFF"/>
        <rFont val="微软雅黑"/>
      </rPr>
      <t>默认值为1。定义单位建造速度。 （可能与目标的buildSpeed相乘）</t>
    </r>
  </si>
  <si>
    <r>
      <rPr>
        <b/>
        <charset val="134"/>
        <sz val="10"/>
        <color rgb="FFFFFFFF"/>
        <rFont val="微软雅黑"/>
      </rPr>
      <t>nanoBuildSpeed: 0.9</t>
    </r>
  </si>
  <si>
    <r>
      <rPr>
        <b/>
        <charset val="134"/>
        <sz val="10"/>
        <color rgb="FFFFFFFF"/>
        <rFont val="微软雅黑"/>
      </rPr>
      <t>nanoReclaimSpeed</t>
    </r>
  </si>
  <si>
    <r>
      <rPr>
        <b/>
        <charset val="134"/>
        <sz val="10"/>
        <color rgb="FFFFFFFF"/>
        <rFont val="微软雅黑"/>
      </rPr>
      <t>回收速度</t>
    </r>
  </si>
  <si>
    <r>
      <rPr>
        <b/>
        <charset val="134"/>
        <sz val="10"/>
        <color rgb="FFFFFFFF"/>
        <rFont val="微软雅黑"/>
      </rPr>
      <t>默认为nanoRepairSpeed*5.1)以符合旧版本的行为</t>
    </r>
  </si>
  <si>
    <r>
      <rPr>
        <b/>
        <charset val="134"/>
        <sz val="10"/>
        <color rgb="FFFFFFFF"/>
        <rFont val="微软雅黑"/>
      </rPr>
      <t>nanoReclaimSpeed:5.1</t>
    </r>
  </si>
  <si>
    <r>
      <rPr>
        <b/>
        <charset val="134"/>
        <sz val="10"/>
        <color rgb="FFFFFFFF"/>
        <rFont val="微软雅黑"/>
      </rPr>
      <t>nanoRangeForRepairIsMelee</t>
    </r>
  </si>
  <si>
    <r>
      <rPr>
        <b/>
        <charset val="134"/>
        <sz val="10"/>
        <color rgb="FFFFFFFF"/>
        <rFont val="微软雅黑"/>
      </rPr>
      <t>维修范围按近战逻辑</t>
    </r>
  </si>
  <si>
    <r>
      <rPr>
        <b/>
        <charset val="134"/>
        <sz val="10"/>
        <color rgb="FFFFFFFF"/>
        <rFont val="微软雅黑"/>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</si>
  <si>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微软雅黑"/>
      </rPr>
      <t>nanoRangeForRepairIsMelee: true</t>
    </r>
  </si>
  <si>
    <r>
      <rPr>
        <b/>
        <charset val="134"/>
        <sz val="10"/>
        <color rgb="FFFFFFFF"/>
        <rFont val="微软雅黑"/>
      </rPr>
      <t>nanoRangeForReclaimIsMelee</t>
    </r>
  </si>
  <si>
    <r>
      <rPr>
        <b/>
        <charset val="134"/>
        <sz val="10"/>
        <color rgb="FFFFFFFF"/>
        <rFont val="微软雅黑"/>
      </rPr>
      <t>回收范围按近战逻辑</t>
    </r>
  </si>
  <si>
    <r>
      <rPr>
        <b/>
        <charset val="134"/>
        <sz val="10"/>
        <color rgb="FFFFFFFF"/>
        <rFont val="微软雅黑"/>
      </rPr>
      <t>与上条类似，本条定义其回收范围是否为近战算法。</t>
    </r>
  </si>
  <si>
    <r>
      <rPr>
        <b/>
        <charset val="134"/>
        <sz val="10"/>
        <color rgb="FFFFFFFF"/>
        <rFont val="微软雅黑"/>
      </rPr>
      <t>nanoRangeForReclaimIsMelee: true</t>
    </r>
  </si>
  <si>
    <r>
      <rPr>
        <b/>
        <charset val="134"/>
        <sz val="10"/>
        <color rgb="FFFFFFFF"/>
        <rFont val="微软雅黑"/>
      </rPr>
      <t>nanoRangeForRepair</t>
    </r>
  </si>
  <si>
    <r>
      <rPr>
        <b/>
        <charset val="134"/>
        <sz val="10"/>
        <color rgb="FFFFFFFF"/>
        <rFont val="微软雅黑"/>
      </rPr>
      <t>维修距离</t>
    </r>
  </si>
  <si>
    <r>
      <rPr>
        <b/>
        <charset val="134"/>
        <sz val="10"/>
        <color rgb="FFFFFFFF"/>
        <rFont val="微软雅黑"/>
      </rPr>
      <t>此单位维修距离。</t>
    </r>
  </si>
  <si>
    <r>
      <rPr>
        <b/>
        <charset val="134"/>
        <sz val="10"/>
        <color rgb="FFFFFFFF"/>
        <rFont val="微软雅黑"/>
      </rPr>
      <t>nanoRangeForRepair: 60</t>
    </r>
  </si>
  <si>
    <r>
      <rPr>
        <b/>
        <charset val="134"/>
        <sz val="10"/>
        <color rgb="FFFFFFFF"/>
        <rFont val="微软雅黑"/>
      </rPr>
      <t>nanoRangeForReclaim</t>
    </r>
  </si>
  <si>
    <r>
      <rPr>
        <b/>
        <charset val="134"/>
        <sz val="10"/>
        <color rgb="FFFFFFFF"/>
        <rFont val="微软雅黑"/>
      </rPr>
      <t>回收距离</t>
    </r>
  </si>
  <si>
    <r>
      <rPr>
        <b/>
        <charset val="134"/>
        <sz val="10"/>
        <color rgb="FFFFFFFF"/>
        <rFont val="微软雅黑"/>
      </rPr>
      <t>此单位回收距离。</t>
    </r>
  </si>
  <si>
    <r>
      <rPr>
        <b/>
        <charset val="134"/>
        <sz val="10"/>
        <color rgb="FFFFFFFF"/>
        <rFont val="微软雅黑"/>
      </rPr>
      <t>nanoRangeForReclaim: 60</t>
    </r>
  </si>
  <si>
    <r>
      <rPr>
        <b/>
        <charset val="134"/>
        <sz val="10"/>
        <color rgb="FFFFFFFF"/>
        <rFont val="微软雅黑"/>
      </rPr>
      <t>nanoFactorySpeed</t>
    </r>
  </si>
  <si>
    <r>
      <rPr>
        <b/>
        <charset val="134"/>
        <sz val="10"/>
        <color rgb="FFFFFFFF"/>
        <rFont val="微软雅黑"/>
      </rPr>
      <t>工厂速度乘数</t>
    </r>
  </si>
  <si>
    <r>
      <rPr>
        <b/>
        <charset val="134"/>
        <sz val="10"/>
        <color rgb="FFFFFFFF"/>
        <rFont val="微软雅黑"/>
      </rPr>
      <t>默认值为1。如果此单位是工厂，则乘以创建单位的buildSpeed值。用于加速或者减速建造。</t>
    </r>
  </si>
  <si>
    <r>
      <rPr>
        <b/>
        <charset val="134"/>
        <sz val="10"/>
        <color rgb="FFFFFFFF"/>
        <rFont val="微软雅黑"/>
      </rPr>
      <t>nanoFactorySpeed: 1.2</t>
    </r>
  </si>
  <si>
    <r>
      <rPr>
        <b/>
        <charset val="134"/>
        <sz val="10"/>
        <color rgb="FFFFFFFF"/>
        <rFont val="微软雅黑"/>
      </rPr>
      <t>extraBuildRangeWhenBuildingThis</t>
    </r>
  </si>
  <si>
    <r>
      <rPr>
        <b/>
        <charset val="134"/>
        <sz val="10"/>
        <color rgb="FFFFFFFF"/>
        <rFont val="微软雅黑"/>
      </rPr>
      <t>额外建造距离</t>
    </r>
  </si>
  <si>
    <r>
      <rPr>
        <b/>
        <charset val="134"/>
        <sz val="10"/>
        <color rgb="FFFFFFFF"/>
        <rFont val="微软雅黑"/>
      </rPr>
      <t>此单位额外的建造距离，可以使建造者在更远的地方建造它，多用于水上建筑。</t>
    </r>
  </si>
  <si>
    <r>
      <rPr>
        <b/>
        <charset val="134"/>
        <sz val="10"/>
        <color rgb="FFFFFFFF"/>
        <rFont val="微软雅黑"/>
      </rPr>
      <t>extraBuildRangeWhenBuildingThis: 90</t>
    </r>
  </si>
  <si>
    <r>
      <rPr>
        <b/>
        <charset val="134"/>
        <sz val="10"/>
        <color rgb="FFFFFFFF"/>
        <rFont val="微软雅黑"/>
      </rPr>
      <t>builtFrom_#_name</t>
    </r>
  </si>
  <si>
    <r>
      <rPr>
        <b/>
        <charset val="134"/>
        <sz val="10"/>
        <color rgb="FFFFFFFF"/>
        <rFont val="微软雅黑"/>
      </rPr>
      <t>从此单位建造</t>
    </r>
  </si>
  <si>
    <r>
      <rPr>
        <b/>
        <charset val="134"/>
        <sz val="10"/>
        <color rgb="FFFFFFFF"/>
        <rFont val="微软雅黑"/>
      </rPr>
      <t>除非您向原版工厂添加单位，否则不建议使用。将该单位添加到目标建筑物中。</t>
    </r>
  </si>
  <si>
    <r>
      <rPr>
        <b/>
        <charset val="134"/>
        <sz val="10"/>
        <color rgb="FFFFFFFF"/>
        <rFont val="微软雅黑"/>
      </rPr>
      <t>builtFrom_1_name: landFactory, airFactory</t>
    </r>
  </si>
  <si>
    <r>
      <rPr>
        <b/>
        <charset val="134"/>
        <sz val="10"/>
        <color rgb="FFFFFFFF"/>
        <rFont val="微软雅黑"/>
      </rPr>
      <t>builtFrom_#_pos</t>
    </r>
  </si>
  <si>
    <r>
      <rPr>
        <b/>
        <charset val="134"/>
        <sz val="10"/>
        <color rgb="FFFFFFFF"/>
        <rFont val="微软雅黑"/>
      </rPr>
      <t>从此单位建造排序</t>
    </r>
  </si>
  <si>
    <r>
      <rPr>
        <b/>
        <charset val="134"/>
        <sz val="10"/>
        <color rgb="FFFFFFFF"/>
        <rFont val="微软雅黑"/>
      </rPr>
      <t>在列表中的排序，越小越靠前。</t>
    </r>
  </si>
  <si>
    <r>
      <rPr>
        <b/>
        <charset val="134"/>
        <sz val="10"/>
        <color rgb="FFFFFFFF"/>
        <rFont val="微软雅黑"/>
      </rPr>
      <t>builtFrom_1_pos: 0.1</t>
    </r>
  </si>
  <si>
    <r>
      <rPr>
        <b/>
        <charset val="134"/>
        <sz val="10"/>
        <color rgb="FFFFFFFF"/>
        <rFont val="微软雅黑"/>
      </rPr>
      <t>builtFrom_#_forceNano</t>
    </r>
  </si>
  <si>
    <r>
      <rPr>
        <b/>
        <charset val="134"/>
        <sz val="10"/>
        <color rgb="FFFFFFFF"/>
        <rFont val="微软雅黑"/>
      </rPr>
      <t>从此单位像建筑一样建造</t>
    </r>
  </si>
  <si>
    <r>
      <rPr>
        <b/>
        <charset val="134"/>
        <sz val="10"/>
        <color rgb="FFFFFFFF"/>
        <rFont val="微软雅黑"/>
      </rPr>
      <t>如果为true，则像构建建筑一样造此单位。 （即使是一个单位）</t>
    </r>
  </si>
  <si>
    <r>
      <rPr>
        <b/>
        <charset val="134"/>
        <sz val="10"/>
        <color rgb="FFFFFFFF"/>
        <rFont val="微软雅黑"/>
      </rPr>
      <t>builtFrom_1_forceNano: true</t>
    </r>
  </si>
  <si>
    <r>
      <rPr>
        <b/>
        <charset val="134"/>
        <sz val="10"/>
        <color rgb="FFFFFFFF"/>
        <rFont val="微软雅黑"/>
      </rPr>
      <t>builtFrom_#_isLocked</t>
    </r>
  </si>
  <si>
    <r>
      <rPr>
        <b/>
        <charset val="134"/>
        <sz val="10"/>
        <color rgb="FFFFFFFF"/>
        <rFont val="微软雅黑"/>
      </rPr>
      <t>从此单位建造条件</t>
    </r>
  </si>
  <si>
    <r>
      <rPr>
        <b/>
        <charset val="134"/>
        <sz val="10"/>
        <color rgb="FFFFFFFF"/>
        <rFont val="微软雅黑"/>
      </rPr>
      <t>如果为true，则无法在目标中构建此单位。 （逻辑布尔值，设置建造条件）</t>
    </r>
  </si>
  <si>
    <r>
      <rPr>
        <b/>
        <charset val="134"/>
        <sz val="10"/>
        <color rgb="FFFFFFFF"/>
        <rFont val="微软雅黑"/>
      </rPr>
      <t>builtFrom_1_isLocked: if self.hp(lessThan=100)</t>
    </r>
  </si>
  <si>
    <r>
      <rPr>
        <b/>
        <charset val="134"/>
        <sz val="10"/>
        <color rgb="FFFFFFFF"/>
        <rFont val="微软雅黑"/>
      </rPr>
      <t>builtFrom_#_isLockedMessage</t>
    </r>
  </si>
  <si>
    <r>
      <rPr>
        <b/>
        <charset val="134"/>
        <sz val="10"/>
        <color rgb="FFFFFFFF"/>
        <rFont val="微软雅黑"/>
      </rPr>
      <t>从此单位建造锁定信息</t>
    </r>
  </si>
  <si>
    <r>
      <rPr>
        <b/>
        <charset val="134"/>
        <sz val="10"/>
        <color rgb="FFFFFFFF"/>
        <rFont val="微软雅黑"/>
      </rPr>
      <t>无法建造时显示的信息。</t>
    </r>
  </si>
  <si>
    <r>
      <rPr>
        <b/>
        <charset val="134"/>
        <sz val="10"/>
        <color rgb="FFFFFFFF"/>
        <rFont val="微软雅黑"/>
      </rPr>
      <t>builtFrom_1_isLockedMessage: -Needs more population</t>
    </r>
  </si>
  <si>
    <r>
      <rPr>
        <b/>
        <charset val="134"/>
        <sz val="10"/>
        <color rgb="FFFFFFFF"/>
        <rFont val="微软雅黑"/>
      </rPr>
      <t>exit_x</t>
    </r>
  </si>
  <si>
    <r>
      <rPr>
        <b/>
        <charset val="134"/>
        <sz val="10"/>
        <color rgb="FFFFFFFF"/>
        <rFont val="微软雅黑"/>
      </rPr>
      <t>离开x轴</t>
    </r>
  </si>
  <si>
    <r>
      <rPr>
        <b/>
        <charset val="134"/>
        <sz val="10"/>
        <color rgb="FFFFFFFF"/>
        <rFont val="微软雅黑"/>
      </rPr>
      <t>从载具卸载或者工厂生产完成时，单位出现的位置，默认为0</t>
    </r>
  </si>
  <si>
    <r>
      <rPr>
        <b/>
        <charset val="134"/>
        <sz val="10"/>
        <color rgb="FFFFFFFF"/>
        <rFont val="微软雅黑"/>
      </rPr>
      <t>exit_x: 0</t>
    </r>
  </si>
  <si>
    <r>
      <rPr>
        <b/>
        <charset val="134"/>
        <sz val="10"/>
        <color rgb="FFFFFFFF"/>
        <rFont val="微软雅黑"/>
      </rPr>
      <t>exit_y</t>
    </r>
  </si>
  <si>
    <r>
      <rPr>
        <b/>
        <charset val="134"/>
        <sz val="10"/>
        <color rgb="FFFFFFFF"/>
        <rFont val="微软雅黑"/>
      </rPr>
      <t>离开y轴</t>
    </r>
  </si>
  <si>
    <r>
      <rPr>
        <b/>
        <charset val="134"/>
        <sz val="10"/>
        <color rgb="FFFFFFFF"/>
        <rFont val="微软雅黑"/>
      </rPr>
      <t>从载具卸载或者工厂生产完成时，单位出现的位置，默认为5，正数向下。</t>
    </r>
  </si>
  <si>
    <r>
      <rPr>
        <b/>
        <charset val="134"/>
        <sz val="10"/>
        <color rgb="FFFFFFFF"/>
        <rFont val="微软雅黑"/>
      </rPr>
      <t>exit_x: 5</t>
    </r>
  </si>
  <si>
    <r>
      <rPr>
        <b/>
        <charset val="134"/>
        <sz val="10"/>
        <color rgb="FFFFFFFF"/>
        <rFont val="微软雅黑"/>
      </rPr>
      <t>exit_dirOffset</t>
    </r>
  </si>
  <si>
    <r>
      <rPr>
        <b/>
        <charset val="134"/>
        <sz val="10"/>
        <color rgb="FFFFFFFF"/>
        <rFont val="微软雅黑"/>
      </rPr>
      <t>离开旋转角度</t>
    </r>
  </si>
  <si>
    <r>
      <rPr>
        <b/>
        <charset val="134"/>
        <sz val="10"/>
        <color rgb="FFFFFFFF"/>
        <rFont val="微软雅黑"/>
      </rPr>
      <t>单位默认为180(朝下)，建筑物默认为0(朝右)。定义已创建或卸载单位的退出方向。</t>
    </r>
  </si>
  <si>
    <r>
      <rPr>
        <b/>
        <charset val="134"/>
        <sz val="10"/>
        <color rgb="FFFFFFFF"/>
        <rFont val="微软雅黑"/>
      </rPr>
      <t>exit_dirOffset: 140</t>
    </r>
  </si>
  <si>
    <r>
      <rPr>
        <b/>
        <charset val="134"/>
        <sz val="10"/>
        <color rgb="FFFFFFFF"/>
        <rFont val="微软雅黑"/>
      </rPr>
      <t>exit_heightOffset</t>
    </r>
  </si>
  <si>
    <r>
      <rPr>
        <b/>
        <charset val="134"/>
        <sz val="10"/>
        <color rgb="FFFFFFFF"/>
        <rFont val="微软雅黑"/>
      </rPr>
      <t>离开高度</t>
    </r>
  </si>
  <si>
    <r>
      <rPr>
        <b/>
        <charset val="134"/>
        <sz val="10"/>
        <color rgb="FFFFFFFF"/>
        <rFont val="微软雅黑"/>
      </rPr>
      <t>默认值为0。定义创建或卸载的单位出现的高度。</t>
    </r>
  </si>
  <si>
    <r>
      <rPr>
        <b/>
        <charset val="134"/>
        <sz val="10"/>
        <color rgb="FFFFFFFF"/>
        <rFont val="微软雅黑"/>
      </rPr>
      <t>exit_heightOffset: 16</t>
    </r>
  </si>
  <si>
    <r>
      <rPr>
        <b/>
        <charset val="134"/>
        <sz val="10"/>
        <color rgb="FFFFFFFF"/>
        <rFont val="微软雅黑"/>
      </rPr>
      <t>exit_moveAwayAmount</t>
    </r>
  </si>
  <si>
    <r>
      <rPr>
        <b/>
        <charset val="134"/>
        <sz val="10"/>
        <color rgb="FFFFFFFF"/>
        <rFont val="微软雅黑"/>
      </rPr>
      <t>离开距离</t>
    </r>
  </si>
  <si>
    <r>
      <rPr>
        <b/>
        <charset val="134"/>
        <sz val="10"/>
        <color rgb="FFFFFFFF"/>
        <rFont val="微软雅黑"/>
      </rPr>
      <t>默认值为70。定义创建或卸载的单位与该单位的距离。</t>
    </r>
  </si>
  <si>
    <r>
      <rPr>
        <b/>
        <charset val="134"/>
        <sz val="10"/>
        <color rgb="FFFFFFFF"/>
        <rFont val="微软雅黑"/>
      </rPr>
      <t>exit_moveAwayAmount: 10</t>
    </r>
  </si>
  <si>
    <r>
      <rPr>
        <b/>
        <charset val="134"/>
        <sz val="10"/>
        <color rgb="FFFFFFFF"/>
        <rFont val="微软雅黑"/>
      </rPr>
      <t>exitHeightIgnoreParent</t>
    </r>
  </si>
  <si>
    <r>
      <rPr>
        <b/>
        <charset val="134"/>
        <sz val="10"/>
        <color rgb="FFFFFFFF"/>
        <rFont val="微软雅黑"/>
      </rPr>
      <t>离开高度忽略父单位</t>
    </r>
  </si>
  <si>
    <r>
      <rPr>
        <b/>
        <charset val="134"/>
        <sz val="10"/>
        <color rgb="FFFFFFFF"/>
        <rFont val="微软雅黑"/>
      </rPr>
      <t>离开时的高度不考虑父高度;用于与父单位一起建造时分离附件</t>
    </r>
  </si>
  <si>
    <r>
      <rPr>
        <b/>
        <charset val="134"/>
        <sz val="10"/>
        <color rgb="FFFFFFFF"/>
        <rFont val="微软雅黑"/>
      </rPr>
      <t>exitHeightIgnoreParent:true</t>
    </r>
  </si>
  <si>
    <r>
      <rPr>
        <b/>
        <charset val="134"/>
        <sz val="10"/>
        <color rgb="FFFFFFFF"/>
        <rFont val="微软雅黑"/>
      </rPr>
      <t>死亡代码</t>
    </r>
  </si>
  <si>
    <r>
      <rPr>
        <b/>
        <charset val="134"/>
        <sz val="10"/>
        <color rgb="FFFFFFFF"/>
        <rFont val="微软雅黑"/>
      </rPr>
      <t>dieOnConstruct</t>
    </r>
  </si>
  <si>
    <r>
      <rPr>
        <b/>
        <charset val="134"/>
        <sz val="10"/>
        <color rgb="FFFFFFFF"/>
        <rFont val="微软雅黑"/>
      </rPr>
      <t>构建时死亡</t>
    </r>
  </si>
  <si>
    <r>
      <rPr>
        <b/>
        <charset val="134"/>
        <sz val="10"/>
        <color rgb="FFFFFFFF"/>
        <rFont val="微软雅黑"/>
      </rPr>
      <t>如果为true，则创建建筑时删除自身。（目标建筑物/单位需要selfBuildRate以自动建造完成）</t>
    </r>
  </si>
  <si>
    <r>
      <rPr>
        <b/>
        <charset val="134"/>
        <sz val="10"/>
        <color rgb="FFFFFFFF"/>
        <rFont val="微软雅黑"/>
      </rPr>
      <t>dieOnConstruct: true</t>
    </r>
  </si>
  <si>
    <r>
      <rPr>
        <b/>
        <charset val="134"/>
        <sz val="10"/>
        <color rgb="FFFFFFFF"/>
        <rFont val="微软雅黑"/>
      </rPr>
      <t>dieOnZeroEnergy</t>
    </r>
  </si>
  <si>
    <r>
      <rPr>
        <b/>
        <charset val="134"/>
        <sz val="10"/>
        <color rgb="FFFFFFFF"/>
        <rFont val="微软雅黑"/>
      </rPr>
      <t>无能量时死亡</t>
    </r>
  </si>
  <si>
    <r>
      <rPr>
        <b/>
        <charset val="134"/>
        <sz val="10"/>
        <color rgb="FFFFFFFF"/>
        <rFont val="微软雅黑"/>
      </rPr>
      <t>如果能量值为零，该单位死亡。</t>
    </r>
  </si>
  <si>
    <r>
      <rPr>
        <b/>
        <charset val="134"/>
        <sz val="10"/>
        <color rgb="FFFFFFFF"/>
        <rFont val="微软雅黑"/>
      </rPr>
      <t>dieOnZeroEnergy: true</t>
    </r>
  </si>
  <si>
    <r>
      <rPr>
        <b/>
        <charset val="134"/>
        <sz val="10"/>
        <color rgb="FFFFFFFF"/>
        <rFont val="微软雅黑"/>
      </rPr>
      <t>numBitsOnDeath</t>
    </r>
  </si>
  <si>
    <r>
      <rPr>
        <b/>
        <charset val="134"/>
        <sz val="10"/>
        <color rgb="FFFFFFFF"/>
        <rFont val="微软雅黑"/>
      </rPr>
      <t>死亡产生碎片</t>
    </r>
  </si>
  <si>
    <r>
      <rPr>
        <b/>
        <charset val="134"/>
        <sz val="10"/>
        <color rgb="FFFFFFFF"/>
        <rFont val="微软雅黑"/>
      </rPr>
      <t>定义该单位死亡时散落的碎片的数量。</t>
    </r>
  </si>
  <si>
    <r>
      <rPr>
        <b/>
        <charset val="134"/>
        <sz val="10"/>
        <color rgb="FFFFFFFF"/>
        <rFont val="微软雅黑"/>
      </rPr>
      <t>numBitsOnDeath: 20</t>
    </r>
  </si>
  <si>
    <r>
      <rPr>
        <b/>
        <charset val="134"/>
        <sz val="10"/>
        <color rgb="FFFFFFFF"/>
        <rFont val="微软雅黑"/>
      </rPr>
      <t>fireOnDeath</t>
    </r>
  </si>
  <si>
    <r>
      <rPr>
        <b/>
        <charset val="134"/>
        <sz val="10"/>
        <color rgb="FFFFFFFF"/>
        <rFont val="微软雅黑"/>
      </rPr>
      <t>死亡发射武器</t>
    </r>
  </si>
  <si>
    <r>
      <rPr>
        <b/>
        <charset val="134"/>
        <sz val="10"/>
        <color rgb="FFFFFFFF"/>
        <rFont val="微软雅黑"/>
      </rPr>
      <t>填整数，应该是炮塔的ID</t>
    </r>
  </si>
  <si>
    <r>
      <rPr>
        <b/>
        <charset val="134"/>
        <sz val="10"/>
        <color rgb="FFFFFFFF"/>
        <rFont val="微软雅黑"/>
      </rPr>
      <t>fireOnDeath:1</t>
    </r>
  </si>
  <si>
    <r>
      <rPr>
        <b/>
        <charset val="134"/>
        <sz val="10"/>
        <color rgb="FFFFFFFF"/>
        <rFont val="微软雅黑"/>
      </rPr>
      <t>nukeOnDeath</t>
    </r>
  </si>
  <si>
    <r>
      <rPr>
        <b/>
        <charset val="134"/>
        <sz val="10"/>
        <color rgb="FFFFFFFF"/>
        <rFont val="微软雅黑"/>
      </rPr>
      <t>死亡核爆</t>
    </r>
  </si>
  <si>
    <r>
      <rPr>
        <b/>
        <charset val="134"/>
        <sz val="10"/>
        <color rgb="FFFFFFFF"/>
        <rFont val="微软雅黑"/>
      </rPr>
      <t>不推荐使用。建议使用死亡武器代替，其拥有更丰富的设定选项。如果为true，单位死亡时会生成一个内置的核抛射体爆炸效果。</t>
    </r>
  </si>
  <si>
    <r>
      <rPr>
        <b/>
        <charset val="134"/>
        <sz val="10"/>
        <color rgb="FFFFFFFF"/>
        <rFont val="微软雅黑"/>
      </rPr>
      <t>nukeOnDeath: true</t>
    </r>
  </si>
  <si>
    <r>
      <rPr>
        <b/>
        <charset val="134"/>
        <sz val="10"/>
        <color rgb="FFFFFFFF"/>
        <rFont val="微软雅黑"/>
      </rPr>
      <t>nukeOnDeathRange</t>
    </r>
  </si>
  <si>
    <r>
      <rPr>
        <b/>
        <charset val="134"/>
        <sz val="10"/>
        <color rgb="FFFFFFFF"/>
        <rFont val="微软雅黑"/>
      </rPr>
      <t>死亡核爆范围</t>
    </r>
  </si>
  <si>
    <r>
      <rPr>
        <b/>
        <charset val="134"/>
        <sz val="10"/>
        <color rgb="FFFFFFFF"/>
        <rFont val="微软雅黑"/>
      </rPr>
      <t>不推荐使用。定义使用nukeOnDeath时的核抛射体效果范围。</t>
    </r>
  </si>
  <si>
    <r>
      <rPr>
        <b/>
        <charset val="134"/>
        <sz val="10"/>
        <color rgb="FFFFFFFF"/>
        <rFont val="微软雅黑"/>
      </rPr>
      <t>nukeOnDeathRange: 140</t>
    </r>
  </si>
  <si>
    <r>
      <rPr>
        <b/>
        <charset val="134"/>
        <sz val="10"/>
        <color rgb="FFFFFFFF"/>
        <rFont val="微软雅黑"/>
      </rPr>
      <t>nukeOnDeathDamage</t>
    </r>
  </si>
  <si>
    <r>
      <rPr>
        <b/>
        <charset val="134"/>
        <sz val="10"/>
        <color rgb="FFFFFFFF"/>
        <rFont val="微软雅黑"/>
      </rPr>
      <t>死亡核爆伤害</t>
    </r>
  </si>
  <si>
    <r>
      <rPr>
        <b/>
        <charset val="134"/>
        <sz val="10"/>
        <color rgb="FFFFFFFF"/>
        <rFont val="微软雅黑"/>
      </rPr>
      <t>不推荐使用。定义使用nukeOnDeath时的核武器效果区域伤害。</t>
    </r>
  </si>
  <si>
    <r>
      <rPr>
        <b/>
        <charset val="134"/>
        <sz val="10"/>
        <color rgb="FFFFFFFF"/>
        <rFont val="微软雅黑"/>
      </rPr>
      <t>nukeOnDeathDamage: 2000</t>
    </r>
  </si>
  <si>
    <r>
      <rPr>
        <b/>
        <charset val="134"/>
        <sz val="10"/>
        <color rgb="FFFFFFFF"/>
        <rFont val="微软雅黑"/>
      </rPr>
      <t>nukeOnDeathDisableWhenNoNuke</t>
    </r>
  </si>
  <si>
    <r>
      <rPr>
        <b/>
        <charset val="134"/>
        <sz val="10"/>
        <color rgb="FFFFFFFF"/>
        <rFont val="微软雅黑"/>
      </rPr>
      <t>死亡核爆条件</t>
    </r>
  </si>
  <si>
    <r>
      <rPr>
        <b/>
        <charset val="134"/>
        <sz val="10"/>
        <color rgb="FFFFFFFF"/>
        <rFont val="微软雅黑"/>
      </rPr>
      <t>不推荐使用。默认为false。如果为true，则禁用核武器时，该单位死亡时不会产生核爆炸。</t>
    </r>
  </si>
  <si>
    <r>
      <rPr>
        <b/>
        <charset val="134"/>
        <sz val="10"/>
        <color rgb="FFFFFFFF"/>
        <rFont val="微软雅黑"/>
      </rPr>
      <t>nukeOnDeathDisableWhenNoNuke: true</t>
    </r>
  </si>
  <si>
    <r>
      <rPr>
        <b/>
        <charset val="134"/>
        <sz val="10"/>
        <color rgb="FFFFFFFF"/>
        <rFont val="微软雅黑"/>
      </rPr>
      <t>fireTurretXAtSelfOnDeath</t>
    </r>
  </si>
  <si>
    <r>
      <rPr>
        <b/>
        <charset val="134"/>
        <sz val="10"/>
        <color rgb="FFFFFFFF"/>
        <rFont val="微软雅黑"/>
      </rPr>
      <t>死亡武器</t>
    </r>
  </si>
  <si>
    <r>
      <rPr>
        <b/>
        <charset val="134"/>
        <sz val="10"/>
        <color rgb="FFFFFFFF"/>
        <rFont val="微软雅黑"/>
      </rPr>
      <t>死亡武器。单位死后，使用指定炮塔攻击自身所在位置。</t>
    </r>
  </si>
  <si>
    <r>
      <rPr>
        <b/>
        <charset val="134"/>
        <sz val="10"/>
        <color rgb="FFFFFFFF"/>
        <rFont val="微软雅黑"/>
      </rPr>
      <t>fireTurretXAtSelfOnDeath: turret_1</t>
    </r>
  </si>
  <si>
    <r>
      <rPr>
        <b/>
        <charset val="134"/>
        <sz val="10"/>
        <color rgb="FFFFFFFF"/>
        <rFont val="微软雅黑"/>
      </rPr>
      <t>turret ref</t>
    </r>
  </si>
  <si>
    <r>
      <rPr>
        <b/>
        <charset val="134"/>
        <sz val="10"/>
        <color rgb="FFFFFFFF"/>
        <rFont val="微软雅黑"/>
      </rPr>
      <t>explodeOnDeath</t>
    </r>
  </si>
  <si>
    <r>
      <rPr>
        <b/>
        <charset val="134"/>
        <sz val="10"/>
        <color rgb="FFFFFFFF"/>
        <rFont val="微软雅黑"/>
      </rPr>
      <t>死亡爆炸</t>
    </r>
  </si>
  <si>
    <r>
      <rPr>
        <b/>
        <charset val="134"/>
        <sz val="10"/>
        <color rgb="FFFFFFFF"/>
        <rFont val="微软雅黑"/>
      </rPr>
      <t>默认为true。如果为false，则禁用单位死亡时的内置爆炸效果。</t>
    </r>
  </si>
  <si>
    <r>
      <rPr>
        <b/>
        <charset val="134"/>
        <sz val="10"/>
        <color rgb="FFFFFFFF"/>
        <rFont val="微软雅黑"/>
      </rPr>
      <t>explodeOnDeath: false</t>
    </r>
  </si>
  <si>
    <r>
      <rPr>
        <b/>
        <charset val="134"/>
        <sz val="10"/>
        <color rgb="FFFFFFFF"/>
        <rFont val="微软雅黑"/>
      </rPr>
      <t>explodeOnDeathGroundCollision</t>
    </r>
  </si>
  <si>
    <r>
      <rPr>
        <b/>
        <charset val="134"/>
        <sz val="10"/>
        <color rgb="FFFFFFFF"/>
        <rFont val="微软雅黑"/>
      </rPr>
      <t>死亡撞击地面爆炸</t>
    </r>
  </si>
  <si>
    <r>
      <rPr>
        <b/>
        <charset val="134"/>
        <sz val="10"/>
        <color rgb="FFFFFFFF"/>
        <rFont val="微软雅黑"/>
      </rPr>
      <t>默认为true。如果为false，则禁用接触地面时内置爆炸效果。</t>
    </r>
  </si>
  <si>
    <r>
      <rPr>
        <b/>
        <charset val="134"/>
        <sz val="10"/>
        <color rgb="FFFFFFFF"/>
        <rFont val="微软雅黑"/>
      </rPr>
      <t>explodeOnDeathGroundCollision: false</t>
    </r>
  </si>
  <si>
    <r>
      <rPr>
        <b/>
        <charset val="134"/>
        <sz val="10"/>
        <color rgb="FFFFFFFF"/>
        <rFont val="微软雅黑"/>
      </rPr>
      <t>boolean</t>
    </r>
  </si>
  <si>
    <r>
      <rPr>
        <b/>
        <charset val="134"/>
        <sz val="10"/>
        <color rgb="FFFFFFFF"/>
        <rFont val="微软雅黑"/>
      </rPr>
      <t>effectOnDeath</t>
    </r>
  </si>
  <si>
    <r>
      <rPr>
        <b/>
        <charset val="134"/>
        <sz val="10"/>
        <color rgb="FFFFFFFF"/>
        <rFont val="微软雅黑"/>
      </rPr>
      <t>死亡效果</t>
    </r>
  </si>
  <si>
    <r>
      <rPr>
        <b/>
        <charset val="134"/>
        <sz val="10"/>
        <color rgb="FFFFFFFF"/>
        <rFont val="微软雅黑"/>
      </rPr>
      <t>单位死亡时产生内置或自定义效果。</t>
    </r>
  </si>
  <si>
    <r>
      <rPr>
        <b/>
        <charset val="134"/>
        <sz val="10"/>
        <color rgb="FFFFFFFF"/>
        <rFont val="微软雅黑"/>
      </rPr>
      <t>effectOnDeath: shockwave, CUSTOM:pieces*3, CUSTOM:deathSound</t>
    </r>
  </si>
  <si>
    <r>
      <rPr>
        <b/>
        <charset val="134"/>
        <sz val="10"/>
        <color rgb="FFFFFFFF"/>
        <rFont val="微软雅黑"/>
      </rPr>
      <t>effect(s) ref</t>
    </r>
  </si>
  <si>
    <r>
      <rPr>
        <b/>
        <charset val="134"/>
        <sz val="10"/>
        <color rgb="FFFFFFFF"/>
        <rFont val="微软雅黑"/>
      </rPr>
      <t>effectOnDeathGroundCollision</t>
    </r>
  </si>
  <si>
    <r>
      <rPr>
        <b/>
        <charset val="134"/>
        <sz val="10"/>
        <color rgb="FFFFFFFF"/>
        <rFont val="微软雅黑"/>
      </rPr>
      <t>死亡撞击地面效果</t>
    </r>
  </si>
  <si>
    <r>
      <rPr>
        <b/>
        <charset val="134"/>
        <sz val="10"/>
        <color rgb="FFFFFFFF"/>
        <rFont val="微软雅黑"/>
      </rPr>
      <t>类似于effectOnDeath，但当单位接触地面时。对飞行单位有用。</t>
    </r>
  </si>
  <si>
    <r>
      <rPr>
        <b/>
        <charset val="134"/>
        <sz val="10"/>
        <color rgb="FFFFFFFF"/>
        <rFont val="微软雅黑"/>
      </rPr>
      <t>effectOnDeathGroundCollision: CUSTOM:bigExplosion</t>
    </r>
  </si>
  <si>
    <r>
      <rPr>
        <b/>
        <charset val="134"/>
        <sz val="10"/>
        <color rgb="FFFFFFFF"/>
        <rFont val="微软雅黑"/>
      </rPr>
      <t>explodeOnDeathGroundCollosion</t>
    </r>
  </si>
  <si>
    <t>死亡撞击未地面爆炸</t>
  </si>
  <si>
    <t>默认为true。如果为false，则使用接触地面时内置爆炸效果。</t>
  </si>
  <si>
    <t>explodeOnDeathGroundCollosion: true</t>
  </si>
  <si>
    <t>effectOnDeathGroundCollosion</t>
  </si>
  <si>
    <r>
      <rPr>
        <b/>
        <charset val="134"/>
        <sz val="10"/>
        <color rgb="FFFFFFFF"/>
        <rFont val="微软雅黑"/>
      </rPr>
      <t>死亡未撞击地面效果</t>
    </r>
  </si>
  <si>
    <r>
      <rPr>
        <b/>
        <charset val="134"/>
        <sz val="10"/>
        <color rgb="FFFFFFFF"/>
        <rFont val="微软雅黑"/>
      </rPr>
      <t>类似于effectOnDeath，但当未单位接触地面时。对飞行单位有用。</t>
    </r>
  </si>
  <si>
    <r>
      <rPr>
        <b/>
        <charset val="134"/>
        <sz val="10"/>
        <color rgb="FFFFFFFF"/>
        <rFont val="微软雅黑"/>
      </rPr>
      <t>unitsSpawnedOnDeath</t>
    </r>
  </si>
  <si>
    <r>
      <rPr>
        <b/>
        <charset val="134"/>
        <sz val="10"/>
        <color rgb="FFFFFFFF"/>
        <rFont val="微软雅黑"/>
      </rPr>
      <t>死亡产生单位</t>
    </r>
  </si>
  <si>
    <r>
      <rPr>
        <b/>
        <charset val="134"/>
        <sz val="10"/>
        <color rgb="FFFFFFFF"/>
        <rFont val="微软雅黑"/>
      </rPr>
      <t>死亡时产生这些单位。逗号分隔的单位标识符。</t>
    </r>
  </si>
  <si>
    <r>
      <rPr>
        <b/>
        <charset val="134"/>
        <sz val="10"/>
        <color rgb="FFFFFFFF"/>
        <rFont val="微软雅黑"/>
      </rPr>
      <t>unitsSpawnedOnDeath: tank*5, hoverTank</t>
    </r>
  </si>
  <si>
    <r>
      <rPr>
        <b/>
        <charset val="134"/>
        <sz val="10"/>
        <color rgb="FFFFFFFF"/>
        <rFont val="微软雅黑"/>
      </rPr>
      <t>unitsSpawnedOnDeath_setToTeamOfLastAttacker</t>
    </r>
  </si>
  <si>
    <r>
      <rPr>
        <b/>
        <charset val="134"/>
        <sz val="10"/>
        <color rgb="FFFFFFFF"/>
        <rFont val="微软雅黑"/>
      </rPr>
      <t>死亡产生单位所属</t>
    </r>
  </si>
  <si>
    <r>
      <rPr>
        <b/>
        <charset val="134"/>
        <sz val="10"/>
        <color rgb="FFFFFFFF"/>
        <rFont val="微软雅黑"/>
      </rPr>
      <t>如果为true，死亡时产生的单位将更改归属为最后一个攻击者的队伍。</t>
    </r>
  </si>
  <si>
    <r>
      <rPr>
        <b/>
        <charset val="134"/>
        <sz val="10"/>
        <color rgb="FFFFFFFF"/>
        <rFont val="微软雅黑"/>
      </rPr>
      <t>unitsSpawnedOnDeath_setToTeamOfLastAttacker: true</t>
    </r>
  </si>
  <si>
    <r>
      <rPr>
        <b/>
        <charset val="134"/>
        <sz val="10"/>
        <color rgb="FFFFFFFF"/>
        <rFont val="微软雅黑"/>
      </rPr>
      <t>hideScorchMark</t>
    </r>
  </si>
  <si>
    <r>
      <rPr>
        <b/>
        <charset val="134"/>
        <sz val="10"/>
        <color rgb="FFFFFFFF"/>
        <rFont val="微软雅黑"/>
      </rPr>
      <t>死亡痕迹</t>
    </r>
  </si>
  <si>
    <r>
      <rPr>
        <b/>
        <charset val="134"/>
        <sz val="10"/>
        <color rgb="FFFFFFFF"/>
        <rFont val="微软雅黑"/>
      </rPr>
      <t>如果为true，则禁止单位死亡时留下焦痕。</t>
    </r>
  </si>
  <si>
    <r>
      <rPr>
        <b/>
        <charset val="134"/>
        <sz val="10"/>
        <color rgb="FFFFFFFF"/>
        <rFont val="微软雅黑"/>
      </rPr>
      <t>hideScorchMark: true</t>
    </r>
  </si>
  <si>
    <r>
      <rPr>
        <b/>
        <charset val="134"/>
        <sz val="10"/>
        <color rgb="FFFFFFFF"/>
        <rFont val="微软雅黑"/>
      </rPr>
      <t>soundOnDeath</t>
    </r>
  </si>
  <si>
    <r>
      <rPr>
        <b/>
        <charset val="134"/>
        <sz val="10"/>
        <color rgb="FFFFFFFF"/>
        <rFont val="微软雅黑"/>
      </rPr>
      <t>死亡音效</t>
    </r>
  </si>
  <si>
    <r>
      <rPr>
        <b/>
        <charset val="134"/>
        <sz val="10"/>
        <color rgb="FFFFFFFF"/>
        <rFont val="微软雅黑"/>
      </rPr>
      <t>为该单位设置自定义死亡声音。</t>
    </r>
  </si>
  <si>
    <r>
      <rPr>
        <b/>
        <charset val="134"/>
        <sz val="10"/>
        <color rgb="FFFFFFFF"/>
        <rFont val="微软雅黑"/>
      </rPr>
      <t>soundOnDeath: tankExplosion1.ogg, tankExplosion2.ogg</t>
    </r>
  </si>
  <si>
    <r>
      <rPr>
        <b/>
        <charset val="134"/>
        <sz val="10"/>
        <color rgb="FFFFFFFF"/>
        <rFont val="微软雅黑"/>
      </rPr>
      <t>explodeTypeOnDeath</t>
    </r>
  </si>
  <si>
    <r>
      <rPr>
        <b/>
        <charset val="134"/>
        <sz val="10"/>
        <color rgb="FFFFFFFF"/>
        <rFont val="微软雅黑"/>
      </rPr>
      <t>死亡时爆炸类型</t>
    </r>
  </si>
  <si>
    <r>
      <rPr>
        <b/>
        <charset val="134"/>
        <sz val="10"/>
        <color rgb="FFFFFFFF"/>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</si>
  <si>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微软雅黑"/>
      </rPr>
      <t>explodeTypeOnDeath:small</t>
    </r>
  </si>
  <si>
    <r>
      <rPr>
        <b/>
        <charset val="134"/>
        <sz val="10"/>
        <color rgb="FFFFFFFF"/>
        <rFont val="微软雅黑"/>
      </rPr>
      <t>preset effects</t>
    </r>
  </si>
  <si>
    <r>
      <rPr>
        <b/>
        <charset val="134"/>
        <sz val="10"/>
        <color rgb="FFFFFFFF"/>
        <rFont val="微软雅黑"/>
      </rPr>
      <t>effectOnDeathIfUnbuilt</t>
    </r>
  </si>
  <si>
    <r>
      <rPr>
        <b/>
        <charset val="134"/>
        <sz val="10"/>
        <color rgb="FFFFFFFF"/>
        <rFont val="微软雅黑"/>
      </rPr>
      <t>没建造完成时死亡效果</t>
    </r>
  </si>
  <si>
    <r>
      <rPr>
        <b/>
        <charset val="134"/>
        <sz val="10"/>
        <color rgb="FFFFFFFF"/>
        <rFont val="微软雅黑"/>
      </rPr>
      <t>如果这个单位没建造完成就被毁了，则播放此效果</t>
    </r>
  </si>
  <si>
    <r>
      <rPr>
        <b/>
        <charset val="134"/>
        <sz val="10"/>
        <color rgb="FFFFFFFF"/>
        <rFont val="微软雅黑"/>
      </rPr>
      <t>effectOnDeathIfUnbuilt: CUSTOM:implode</t>
    </r>
  </si>
  <si>
    <r>
      <rPr>
        <b/>
        <charset val="134"/>
        <sz val="10"/>
        <color rgb="FFFFFFFF"/>
        <rFont val="微软雅黑"/>
      </rPr>
      <t>disableDeathOnZeroHp</t>
    </r>
  </si>
  <si>
    <r>
      <rPr>
        <b/>
        <charset val="134"/>
        <sz val="10"/>
        <color rgb="FFFFFFFF"/>
        <rFont val="微软雅黑"/>
      </rPr>
      <t>禁用零血死亡</t>
    </r>
  </si>
  <si>
    <r>
      <rPr>
        <b/>
        <charset val="134"/>
        <sz val="10"/>
        <color rgb="FFFFFFFF"/>
        <rFont val="微软雅黑"/>
      </rPr>
      <t>如果为true，允许单位在0血量的情况下仍然存活，单位不会自然死亡。对自定义“死亡”动作很有用</t>
    </r>
  </si>
  <si>
    <r>
      <rPr>
        <b/>
        <charset val="134"/>
        <sz val="10"/>
        <color rgb="FFFFFFFF"/>
        <rFont val="微软雅黑"/>
      </rPr>
      <t>disableDeathOnZeroHp:true</t>
    </r>
  </si>
  <si>
    <r>
      <rPr>
        <b/>
        <charset val="134"/>
        <sz val="10"/>
        <color rgb="FFFFFFFF"/>
        <rFont val="微软雅黑"/>
      </rPr>
      <t>动作代码</t>
    </r>
  </si>
  <si>
    <r>
      <rPr>
        <b/>
        <charset val="134"/>
        <sz val="10"/>
        <color rgb="FFFFFFFF"/>
        <rFont val="微软雅黑"/>
      </rPr>
      <t>autoTriggerCooldownTime</t>
    </r>
  </si>
  <si>
    <r>
      <rPr>
        <b/>
        <charset val="134"/>
        <sz val="10"/>
        <color rgb="FFFFFFFF"/>
        <rFont val="微软雅黑"/>
      </rPr>
      <t>自动触发间隔</t>
    </r>
  </si>
  <si>
    <r>
      <rPr>
        <b/>
        <charset val="134"/>
        <sz val="10"/>
        <color rgb="FFFFFFFF"/>
        <rFont val="微软雅黑"/>
      </rPr>
      <t>设置自动触发动作间隔。默认为1s。警告：对于许多设备，将此值设置得太低可能会影响性能，具体取决于操作效果。</t>
    </r>
  </si>
  <si>
    <r>
      <rPr>
        <b/>
        <charset val="134"/>
        <sz val="10"/>
        <color rgb="FFFFFFFF"/>
        <rFont val="微软雅黑"/>
      </rPr>
      <t>autoTriggerCooldownTime:0.1s</t>
    </r>
  </si>
  <si>
    <t xml:space="preserve">time </t>
  </si>
  <si>
    <r>
      <rPr>
        <b/>
        <charset val="134"/>
        <sz val="10"/>
        <color rgb="FFFFFFFF"/>
        <rFont val="微软雅黑"/>
      </rPr>
      <t>autoTriggerCooldownTime_allowDangerousHighCPU</t>
    </r>
  </si>
  <si>
    <r>
      <rPr>
        <b/>
        <charset val="134"/>
        <sz val="10"/>
        <color rgb="FFFFFFFF"/>
        <rFont val="微软雅黑"/>
      </rPr>
      <t>允许超高频触发</t>
    </r>
  </si>
  <si>
    <r>
      <rPr>
        <b/>
        <charset val="134"/>
        <sz val="10"/>
        <color rgb="FFFFFFFF"/>
        <rFont val="微软雅黑"/>
      </rPr>
      <t>自动触发冷却时间，允许高CPU占用，也就是可以使用非常高频的触发，但不建议这么做。</t>
    </r>
  </si>
  <si>
    <r>
      <rPr>
        <b/>
        <charset val="134"/>
        <sz val="10"/>
        <color rgb="FFFFFFFF"/>
        <rFont val="微软雅黑"/>
      </rPr>
      <t>autoTriggerCooldownTime_allowDangerousHighCPU:true</t>
    </r>
  </si>
  <si>
    <r>
      <rPr>
        <b/>
        <charset val="134"/>
        <sz val="10"/>
        <color rgb="FFFFFFFF"/>
        <rFont val="微软雅黑"/>
      </rPr>
      <t>autoTriggerCheckWhileNotBuilt</t>
    </r>
  </si>
  <si>
    <r>
      <rPr>
        <b/>
        <charset val="134"/>
        <sz val="10"/>
        <color rgb="FFFFFFFF"/>
        <rFont val="微软雅黑"/>
      </rPr>
      <t>在未建造完成时依然自动触发</t>
    </r>
  </si>
  <si>
    <r>
      <rPr>
        <b/>
        <charset val="134"/>
        <sz val="10"/>
        <color rgb="FFFFFFFF"/>
        <rFont val="微软雅黑"/>
      </rPr>
      <t>- 默认为 false - 当 true 时，即使单位未完成建造，所有自动触发器仍在运行</t>
    </r>
  </si>
  <si>
    <r>
      <rPr>
        <b/>
        <charset val="134"/>
        <sz val="10"/>
        <color rgb="FFFFFFFF"/>
        <rFont val="微软雅黑"/>
      </rPr>
      <t>autoTriggerCheckWhileNotBuilt:true</t>
    </r>
  </si>
  <si>
    <r>
      <rPr>
        <b/>
        <charset val="134"/>
        <sz val="10"/>
        <color rgb="FFFFFFFF"/>
        <rFont val="微软雅黑"/>
      </rPr>
      <t>autoTriggerCheckRate</t>
    </r>
  </si>
  <si>
    <r>
      <rPr>
        <b/>
        <charset val="134"/>
        <sz val="10"/>
        <color rgb="FFFFFFFF"/>
        <rFont val="微软雅黑"/>
      </rPr>
      <t>自动触发检查率</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</si>
  <si>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</si>
  <si>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autoTriggerCheckRate:everyFrame</t>
    </r>
  </si>
  <si>
    <r>
      <rPr>
        <b/>
        <charset val="134"/>
        <sz val="10"/>
        <color rgb="FFFFFFFF"/>
        <rFont val="微软雅黑"/>
      </rPr>
      <t>enum</t>
    </r>
  </si>
  <si>
    <r>
      <rPr>
        <b/>
        <charset val="134"/>
        <sz val="10"/>
        <color rgb="FFFFFFFF"/>
        <rFont val="微软雅黑"/>
      </rPr>
      <t>《《《不建议使用的代码》》》</t>
    </r>
  </si>
  <si>
    <t>action_#_[actionKey]</t>
  </si>
  <si>
    <t>action_#_[actionKey]:</t>
  </si>
  <si>
    <t>不建议使用，请改用[action_x]节</t>
  </si>
  <si>
    <t>action_1_setUnitMemory:xxx="xxx"</t>
  </si>
  <si>
    <t>special value</t>
  </si>
  <si>
    <t>canBuild_#_[canBuildKey]</t>
  </si>
  <si>
    <r>
      <rPr>
        <b/>
        <charset val="134"/>
        <sz val="10"/>
        <color rgb="FFFFFFFF"/>
        <rFont val="微软雅黑"/>
      </rPr>
      <t>canBuild_#_name/pos/isLocked:</t>
    </r>
  </si>
  <si>
    <r>
      <rPr>
        <b/>
        <charset val="134"/>
        <sz val="10"/>
        <color rgb="FFFFFFFF"/>
        <rFont val="微软雅黑"/>
      </rPr>
      <t>请改用canBuild部分。</t>
    </r>
  </si>
  <si>
    <r>
      <rPr>
        <b/>
        <charset val="134"/>
        <sz val="10"/>
        <color rgb="FFFFFFFF"/>
        <rFont val="微软雅黑"/>
      </rPr>
      <t>canBuild_1_name: tank</t>
    </r>
  </si>
  <si>
    <r>
      <rPr>
        <b/>
        <charset val="134"/>
        <sz val="20"/>
        <color rgb="FFFFFFFF"/>
        <rFont val="微软雅黑"/>
      </rPr>
      <t>可建造</t>
    </r>
  </si>
  <si>
    <r>
      <rPr>
        <b/>
        <charset val="134"/>
        <sz val="20"/>
        <color rgb="FFFFFFFF"/>
        <rFont val="微软雅黑"/>
      </rPr>
      <t>[canBuild_NAME]</t>
    </r>
  </si>
  <si>
    <r>
      <rPr>
        <b/>
        <charset val="134"/>
        <sz val="20"/>
        <color rgb="FFFFFFFF"/>
        <rFont val="微软雅黑"/>
      </rPr>
      <t>[canBuild_ID]</t>
    </r>
  </si>
  <si>
    <r>
      <rPr>
        <b/>
        <charset val="134"/>
        <sz val="10"/>
        <color rgb="FFFFFFFF"/>
        <rFont val="微软雅黑"/>
      </rPr>
      <t>该单位可以创建的单位名列表。可以是建筑物或单位。</t>
    </r>
  </si>
  <si>
    <r>
      <rPr>
        <b/>
        <charset val="134"/>
        <sz val="10"/>
        <color rgb="FFFFFFFF"/>
        <rFont val="微软雅黑"/>
      </rPr>
      <t>name: tank, hoverTank, heavyTank</t>
    </r>
  </si>
  <si>
    <r>
      <rPr>
        <b/>
        <charset val="134"/>
        <sz val="10"/>
        <color rgb="FFFFFFFF"/>
        <rFont val="微软雅黑"/>
      </rPr>
      <t>pos</t>
    </r>
  </si>
  <si>
    <r>
      <rPr>
        <b/>
        <charset val="134"/>
        <sz val="10"/>
        <color rgb="FFFFFFFF"/>
        <rFont val="微软雅黑"/>
      </rPr>
      <t>排序</t>
    </r>
  </si>
  <si>
    <r>
      <rPr>
        <b/>
        <charset val="134"/>
        <sz val="10"/>
        <color rgb="FFFFFFFF"/>
        <rFont val="微软雅黑"/>
      </rPr>
      <t>此单位在用户界面中排序，越小越靠上。</t>
    </r>
  </si>
  <si>
    <r>
      <rPr>
        <b/>
        <charset val="134"/>
        <sz val="10"/>
        <color rgb="FFFFFFFF"/>
        <rFont val="微软雅黑"/>
      </rPr>
      <t>pos: 0.1</t>
    </r>
  </si>
  <si>
    <r>
      <rPr>
        <b/>
        <charset val="134"/>
        <sz val="10"/>
        <color rgb="FFFFFFFF"/>
        <rFont val="微软雅黑"/>
      </rPr>
      <t>tech</t>
    </r>
  </si>
  <si>
    <r>
      <rPr>
        <b/>
        <charset val="134"/>
        <sz val="10"/>
        <color rgb="FFFFFFFF"/>
        <rFont val="微软雅黑"/>
      </rPr>
      <t>科技</t>
    </r>
  </si>
  <si>
    <r>
      <rPr>
        <b/>
        <charset val="134"/>
        <sz val="10"/>
        <color rgb="FFFFFFFF"/>
        <rFont val="微软雅黑"/>
      </rPr>
      <t>没啥用。科技等级。通常只会影响此单位界面中的颜色。默认为1，只能填1、2、3。</t>
    </r>
  </si>
  <si>
    <r>
      <rPr>
        <b/>
        <charset val="134"/>
        <sz val="10"/>
        <color rgb="FFFFFFFF"/>
        <rFont val="微软雅黑"/>
      </rPr>
      <t>tech: 2</t>
    </r>
  </si>
  <si>
    <r>
      <rPr>
        <b/>
        <charset val="134"/>
        <sz val="10"/>
        <color rgb="FFFFFFFF"/>
        <rFont val="微软雅黑"/>
      </rPr>
      <t>forceNano</t>
    </r>
  </si>
  <si>
    <r>
      <rPr>
        <b/>
        <charset val="134"/>
        <sz val="10"/>
        <color rgb="FFFFFFFF"/>
        <rFont val="微软雅黑"/>
      </rPr>
      <t>建造方式</t>
    </r>
  </si>
  <si>
    <r>
      <rPr>
        <b/>
        <charset val="134"/>
        <sz val="10"/>
        <color rgb="FFFFFFFF"/>
        <rFont val="微软雅黑"/>
      </rPr>
      <t>如果为true，则将目标当作是建筑物建造。 （即使是一个单位）</t>
    </r>
  </si>
  <si>
    <r>
      <rPr>
        <b/>
        <charset val="134"/>
        <sz val="10"/>
        <color rgb="FFFFFFFF"/>
        <rFont val="微软雅黑"/>
      </rPr>
      <t>forceNano: true</t>
    </r>
  </si>
  <si>
    <r>
      <rPr>
        <b/>
        <charset val="134"/>
        <sz val="10"/>
        <color rgb="FFFFFFFF"/>
        <rFont val="微软雅黑"/>
      </rPr>
      <t>isVisible</t>
    </r>
  </si>
  <si>
    <r>
      <rPr>
        <b/>
        <charset val="134"/>
        <sz val="10"/>
        <color rgb="FFFFFFFF"/>
        <rFont val="微软雅黑"/>
      </rPr>
      <t>可见条件</t>
    </r>
  </si>
  <si>
    <r>
      <rPr>
        <b/>
        <charset val="134"/>
        <sz val="10"/>
        <color rgb="FFFFFFFF"/>
        <rFont val="微软雅黑"/>
      </rPr>
      <t>如果满足条件，则从界面中显示此单位。比如用于科技树。</t>
    </r>
  </si>
  <si>
    <r>
      <rPr>
        <b/>
        <charset val="134"/>
        <sz val="10"/>
        <color rgb="FFFFFFFF"/>
        <rFont val="微软雅黑"/>
      </rPr>
      <t>isVisible: if not self.energy(greaterThan=100)</t>
    </r>
  </si>
  <si>
    <r>
      <rPr>
        <b/>
        <charset val="134"/>
        <sz val="10"/>
        <color rgb="FFFFFFFF"/>
        <rFont val="微软雅黑"/>
      </rPr>
      <t>如果满足条件，则从界面中锁定此单位。比如用于科技树，或是限造单位。</t>
    </r>
  </si>
  <si>
    <r>
      <rPr>
        <b/>
        <charset val="134"/>
        <sz val="10"/>
        <color rgb="FFFFFFFF"/>
        <rFont val="微软雅黑"/>
      </rPr>
      <t>isLocked: if self.hp(lessThan=100)</t>
    </r>
  </si>
  <si>
    <r>
      <rPr>
        <b/>
        <charset val="134"/>
        <sz val="10"/>
        <color rgb="FFFFFFFF"/>
        <rFont val="微软雅黑"/>
      </rPr>
      <t>isLockedMessage</t>
    </r>
  </si>
  <si>
    <r>
      <rPr>
        <b/>
        <charset val="134"/>
        <sz val="10"/>
        <color rgb="FFFFFFFF"/>
        <rFont val="微软雅黑"/>
      </rPr>
      <t>锁定原因描述</t>
    </r>
  </si>
  <si>
    <r>
      <rPr>
        <b/>
        <charset val="134"/>
        <sz val="10"/>
        <color rgb="FFFFFFFF"/>
        <rFont val="微软雅黑"/>
      </rPr>
      <t>告知玩家单位为何被锁定。</t>
    </r>
  </si>
  <si>
    <r>
      <rPr>
        <b/>
        <charset val="134"/>
        <sz val="10"/>
        <color rgb="FFFFFFFF"/>
        <rFont val="微软雅黑"/>
      </rPr>
      <t>isLockedMessage: -Needs 2 Barracks</t>
    </r>
  </si>
  <si>
    <r>
      <rPr>
        <b/>
        <charset val="134"/>
        <sz val="10"/>
        <color rgb="FFFFFFFF"/>
        <rFont val="微软雅黑"/>
      </rPr>
      <t>isLockedMessage_[Language]</t>
    </r>
  </si>
  <si>
    <r>
      <rPr>
        <b/>
        <charset val="134"/>
        <sz val="10"/>
        <color rgb="FFFFFFFF"/>
        <rFont val="微软雅黑"/>
      </rPr>
      <t>锁定文本多语言</t>
    </r>
  </si>
  <si>
    <r>
      <rPr>
        <b/>
        <charset val="134"/>
        <sz val="10"/>
        <color rgb="FFFFFFFF"/>
        <rFont val="微软雅黑"/>
      </rPr>
      <t>设置锁定文本在不同语言下显示的内容。语言代码点击此处。</t>
    </r>
  </si>
  <si>
    <r>
      <rPr>
        <b/>
        <charset val="134"/>
        <sz val="10"/>
        <color rgb="FFFFFFFF"/>
        <rFont val="微软雅黑"/>
      </rPr>
      <t>isLockedMessage_es: -Necesita 2 Cuarteles</t>
    </r>
  </si>
  <si>
    <r>
      <rPr>
        <b/>
        <charset val="134"/>
        <sz val="10"/>
        <color rgb="FFFFFFFF"/>
        <rFont val="微软雅黑"/>
      </rPr>
      <t>isLockedAlt</t>
    </r>
  </si>
  <si>
    <r>
      <rPr>
        <b/>
        <charset val="134"/>
        <sz val="10"/>
        <color rgb="FFFFFFFF"/>
        <rFont val="微软雅黑"/>
      </rPr>
      <t>更多锁定原因</t>
    </r>
  </si>
  <si>
    <r>
      <rPr>
        <b/>
        <charset val="134"/>
        <sz val="10"/>
        <color rgb="FFFFFFFF"/>
        <rFont val="微软雅黑"/>
      </rPr>
      <t>另一个被锁定原因。只是允许显示不同的消息。</t>
    </r>
  </si>
  <si>
    <r>
      <rPr>
        <b/>
        <charset val="134"/>
        <sz val="10"/>
        <color rgb="FFFFFFFF"/>
        <rFont val="微软雅黑"/>
      </rPr>
      <t>isLockedAlt: if self.energy(greaterThan=90)</t>
    </r>
  </si>
  <si>
    <r>
      <rPr>
        <b/>
        <charset val="134"/>
        <sz val="10"/>
        <color rgb="FFFFFFFF"/>
        <rFont val="微软雅黑"/>
      </rPr>
      <t>isLockedAltMessage</t>
    </r>
  </si>
  <si>
    <r>
      <rPr>
        <b/>
        <charset val="134"/>
        <sz val="10"/>
        <color rgb="FFFFFFFF"/>
        <rFont val="微软雅黑"/>
      </rPr>
      <t>另一个被锁定原因描述。</t>
    </r>
  </si>
  <si>
    <r>
      <rPr>
        <b/>
        <charset val="134"/>
        <sz val="10"/>
        <color rgb="FFFFFFFF"/>
        <rFont val="微软雅黑"/>
      </rPr>
      <t>isLockedAltMessage: -Needs less energy</t>
    </r>
  </si>
  <si>
    <r>
      <rPr>
        <b/>
        <charset val="134"/>
        <sz val="10"/>
        <color rgb="FFFFFFFF"/>
        <rFont val="微软雅黑"/>
      </rPr>
      <t>isLockedAlt2</t>
    </r>
  </si>
  <si>
    <r>
      <rPr>
        <b/>
        <charset val="134"/>
        <sz val="10"/>
        <color rgb="FFFFFFFF"/>
        <rFont val="微软雅黑"/>
      </rPr>
      <t>更多锁定原因2</t>
    </r>
  </si>
  <si>
    <r>
      <rPr>
        <b/>
        <charset val="134"/>
        <sz val="10"/>
        <color rgb="FFFFFFFF"/>
        <rFont val="微软雅黑"/>
      </rPr>
      <t>更多的锁定原因…</t>
    </r>
  </si>
  <si>
    <r>
      <rPr>
        <b/>
        <charset val="134"/>
        <sz val="10"/>
        <color rgb="FFFFFFFF"/>
        <rFont val="微软雅黑"/>
      </rPr>
      <t>isLockedAlt2: if self.isMoving()</t>
    </r>
  </si>
  <si>
    <r>
      <rPr>
        <b/>
        <charset val="134"/>
        <sz val="10"/>
        <color rgb="FFFFFFFF"/>
        <rFont val="微软雅黑"/>
      </rPr>
      <t>isLockedAlt2Message</t>
    </r>
  </si>
  <si>
    <r>
      <rPr>
        <b/>
        <charset val="134"/>
        <sz val="10"/>
        <color rgb="FFFFFFFF"/>
        <rFont val="微软雅黑"/>
      </rPr>
      <t>锁定文本2描述</t>
    </r>
  </si>
  <si>
    <r>
      <rPr>
        <b/>
        <charset val="134"/>
        <sz val="10"/>
        <color rgb="FFFFFFFF"/>
        <rFont val="微软雅黑"/>
      </rPr>
      <t>更多的锁定描述…</t>
    </r>
  </si>
  <si>
    <r>
      <rPr>
        <b/>
        <charset val="134"/>
        <sz val="10"/>
        <color rgb="FFFFFFFF"/>
        <rFont val="微软雅黑"/>
      </rPr>
      <t>isLockedAlt2Message: -Needs to be quiet</t>
    </r>
  </si>
  <si>
    <r>
      <rPr>
        <b/>
        <charset val="134"/>
        <sz val="10"/>
        <color rgb="FFFFFFFF"/>
        <rFont val="微软雅黑"/>
      </rPr>
      <t>addResources</t>
    </r>
  </si>
  <si>
    <r>
      <rPr>
        <b/>
        <charset val="134"/>
        <sz val="10"/>
        <color rgb="FFFFFFFF"/>
        <rFont val="微软雅黑"/>
      </rPr>
      <t>增加资源</t>
    </r>
  </si>
  <si>
    <r>
      <rPr>
        <b/>
        <charset val="134"/>
        <sz val="10"/>
        <color rgb="FFFFFFFF"/>
        <rFont val="微软雅黑"/>
      </rPr>
      <t>在放置建筑物或生产单位时，将这些资源添加到自身中。</t>
    </r>
  </si>
  <si>
    <r>
      <rPr>
        <b/>
        <charset val="134"/>
        <sz val="10"/>
        <color rgb="FFFFFFFF"/>
        <rFont val="微软雅黑"/>
      </rPr>
      <t>addResources: ammo=5, setFlag=1</t>
    </r>
  </si>
  <si>
    <r>
      <rPr>
        <b/>
        <charset val="134"/>
        <sz val="10"/>
        <color rgb="FFFFFFFF"/>
        <rFont val="微软雅黑"/>
      </rPr>
      <t>price(s)</t>
    </r>
  </si>
  <si>
    <r>
      <rPr>
        <b/>
        <charset val="134"/>
        <sz val="10"/>
        <color rgb="FFFFFFFF"/>
        <rFont val="微软雅黑"/>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</si>
  <si>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微软雅黑"/>
      </rPr>
      <t>price: credits=1000, ammo=5</t>
    </r>
  </si>
  <si>
    <r>
      <rPr>
        <b/>
        <charset val="134"/>
        <sz val="10"/>
        <color rgb="FFFFFFFF"/>
        <rFont val="微软雅黑"/>
      </rPr>
      <t>isGuiBlinking</t>
    </r>
  </si>
  <si>
    <r>
      <rPr>
        <b/>
        <charset val="134"/>
        <sz val="10"/>
        <color rgb="FFFFFFFF"/>
        <rFont val="微软雅黑"/>
      </rPr>
      <t>界面闪烁</t>
    </r>
  </si>
  <si>
    <r>
      <rPr>
        <b/>
        <charset val="134"/>
        <sz val="10"/>
        <color rgb="FFFFFFFF"/>
        <rFont val="微软雅黑"/>
      </rPr>
      <t>如果为true，则在UI中生成闪烁效果。</t>
    </r>
  </si>
  <si>
    <r>
      <rPr>
        <b/>
        <charset val="134"/>
        <sz val="10"/>
        <color rgb="FFFFFFFF"/>
        <rFont val="微软雅黑"/>
      </rPr>
      <t>isGuiBlinking: true</t>
    </r>
  </si>
  <si>
    <r>
      <rPr>
        <b/>
        <charset val="134"/>
        <sz val="10"/>
        <color rgb="FFFFFFFF"/>
        <rFont val="微软雅黑"/>
      </rPr>
      <t>extraLagHidingInUI</t>
    </r>
  </si>
  <si>
    <r>
      <rPr>
        <b/>
        <charset val="134"/>
        <sz val="10"/>
        <color rgb="FFFFFFFF"/>
        <rFont val="微软雅黑"/>
      </rPr>
      <t>消除ui额外延迟</t>
    </r>
  </si>
  <si>
    <r>
      <rPr>
        <b/>
        <charset val="134"/>
        <sz val="10"/>
        <color rgb="FFFFFFFF"/>
        <rFont val="微软雅黑"/>
      </rPr>
      <t>用于联机，在UI中立即更新而不需要从服务器确认的等待时间。</t>
    </r>
  </si>
  <si>
    <r>
      <rPr>
        <b/>
        <charset val="134"/>
        <sz val="10"/>
        <color rgb="FFFFFFFF"/>
        <rFont val="微软雅黑"/>
      </rPr>
      <t>extraLagHidingInUI:true</t>
    </r>
  </si>
  <si>
    <r>
      <rPr>
        <b/>
        <charset val="134"/>
        <sz val="10"/>
        <color rgb="FFFFFFFF"/>
        <rFont val="微软雅黑"/>
      </rPr>
      <t>type</t>
    </r>
  </si>
  <si>
    <r>
      <rPr>
        <b/>
        <charset val="134"/>
        <sz val="10"/>
        <color rgb="FFFFFFFF"/>
        <rFont val="微软雅黑"/>
      </rPr>
      <t>显示类型</t>
    </r>
  </si>
  <si>
    <r>
      <rPr>
        <b/>
        <charset val="134"/>
        <sz val="10"/>
        <color rgb="FFFFFFFF"/>
        <rFont val="微软雅黑"/>
      </rPr>
      <t>与行动节的displayType用法相同</t>
    </r>
  </si>
  <si>
    <r>
      <rPr>
        <b/>
        <charset val="134"/>
        <sz val="10"/>
        <color rgb="FFFFFFFF"/>
        <rFont val="微软雅黑"/>
      </rPr>
      <t>type:action</t>
    </r>
  </si>
  <si>
    <t>图像</t>
  </si>
  <si>
    <t>Section</t>
  </si>
  <si>
    <t>[graphics]</t>
  </si>
  <si>
    <t>代码</t>
  </si>
  <si>
    <t>代码翻译</t>
  </si>
  <si>
    <t>描述</t>
  </si>
  <si>
    <t>例子</t>
  </si>
  <si>
    <t>值类型</t>
  </si>
  <si>
    <t>image</t>
  </si>
  <si>
    <t>主体图像</t>
  </si>
  <si>
    <t>填图片名称，格式为png。</t>
  </si>
  <si>
    <t>image:base.png</t>
  </si>
  <si>
    <t>image_back</t>
  </si>
  <si>
    <t>背景图像</t>
  </si>
  <si>
    <t>可选的在单位后面绘制图像，不随单位转动。可用于工厂底图，单位角标等。</t>
  </si>
  <si>
    <t>image_back:back.png</t>
  </si>
  <si>
    <t>image_back_always_use_full_image</t>
  </si>
  <si>
    <t>图像背景总是使用完整的图像</t>
  </si>
  <si>
    <t>默认会裁剪或拉伸或平铺到和主体图像一致.</t>
  </si>
  <si>
    <t>image_back_always_use_full_image:true</t>
  </si>
  <si>
    <t>image_wreak</t>
  </si>
  <si>
    <t>死亡图像</t>
  </si>
  <si>
    <t>可选的单位死亡时使用的图像。</t>
  </si>
  <si>
    <t>image_wreak:wreak.png</t>
  </si>
  <si>
    <t>image_shield</t>
  </si>
  <si>
    <t>护盾图像</t>
  </si>
  <si>
    <t>自定义护盾所使用的图像。</t>
  </si>
  <si>
    <t>image_shield:shibe.png</t>
  </si>
  <si>
    <t>image_offsetX</t>
  </si>
  <si>
    <t>图像X轴偏移</t>
  </si>
  <si>
    <t>图像在X轴偏移，用于不对称图像，比如您的单位有个吊臂，这样中心不在正中间。</t>
  </si>
  <si>
    <t>image_offsetX:10</t>
  </si>
  <si>
    <t>image_offsetY</t>
  </si>
  <si>
    <t>图像Y轴偏移</t>
  </si>
  <si>
    <t>图像在Y轴偏移,用于比较高的单位。</t>
  </si>
  <si>
    <t>image_offsetY:-20</t>
  </si>
  <si>
    <t>image_offsetH</t>
  </si>
  <si>
    <t>图像高度偏移</t>
  </si>
  <si>
    <t>图像在高度上的偏移</t>
  </si>
  <si>
    <t>image_offsetH:1.2</t>
  </si>
  <si>
    <t>float</t>
  </si>
  <si>
    <t>isVisible</t>
  </si>
  <si>
    <t>可见</t>
  </si>
  <si>
    <t>默认为true,如果为false将隐藏单位。</t>
  </si>
  <si>
    <t>isVisible: if self.hasFlag(id=1)</t>
  </si>
  <si>
    <t>logicBoolean</t>
  </si>
  <si>
    <t>isVisibleToEnemies</t>
  </si>
  <si>
    <t>对敌人可见</t>
  </si>
  <si>
    <t>与showOnMinimapToEnemies,canOnlyBeAttackedByUnitsWithTags一起使用时，可以创建隐形系统。</t>
  </si>
  <si>
    <t>isVisibleToEnemies:false</t>
  </si>
  <si>
    <t>teamColorsUseHue</t>
  </si>
  <si>
    <t>阵营色色相</t>
  </si>
  <si>
    <t>luke不建议使用。单位上的绿色像素转换为团队颜色。 若为true整个单位都带有团队色彩。 默认为false，挺难看的。</t>
  </si>
  <si>
    <t>teamColorsUseHue:true</t>
  </si>
  <si>
    <t>teamColoringMode</t>
  </si>
  <si>
    <t>阵营色模式</t>
  </si>
  <si>
    <t>设置单位着色逻辑，默认是纯绿。有四个值disabled,hueShift,hueAdd,pureGreen。(禁用，色相偏移，色相添加，纯绿)</t>
  </si>
  <si>
    <t>teamColoringMode:hueAdd</t>
  </si>
  <si>
    <t>string</t>
  </si>
  <si>
    <t>scaleImagesTo</t>
  </si>
  <si>
    <t>缩放图像到</t>
  </si>
  <si>
    <t>单位像素。调整图像大小以使其适合像素值。同时影响腿部和阴影图像。</t>
  </si>
  <si>
    <t>scaleImagesTo:15</t>
  </si>
  <si>
    <t>imageScale</t>
  </si>
  <si>
    <t>图像缩放比例</t>
  </si>
  <si>
    <t>调整图像大小。默认值为1。也可以影响腿部和阴影图像。</t>
  </si>
  <si>
    <t>imageScale:0.9</t>
  </si>
  <si>
    <t>drawLayer</t>
  </si>
  <si>
    <t>绘制图层</t>
  </si>
  <si>
    <t>陆上单位通常默认为ground或ground2。运输船为ground2。wreaks, underwater, bottom, ground, ground2, experimentals, air, top</t>
  </si>
  <si>
    <t>drawLayer:ground</t>
  </si>
  <si>
    <t>whenBeingBuiltMakeTransparentTill</t>
  </si>
  <si>
    <t>建造时透明度</t>
  </si>
  <si>
    <t>设为0则一开始便完全不透明，设为1则直到建造完成时才不透明。</t>
  </si>
  <si>
    <t>whenBeingBuiltMakeTransparentTill:0.5</t>
  </si>
  <si>
    <t>icon_zoomed_out</t>
  </si>
  <si>
    <t>缩放图标</t>
  </si>
  <si>
    <t>缩放时显示的图标</t>
  </si>
  <si>
    <t>icon_zoomed_out:tank_zoomed.png</t>
  </si>
  <si>
    <t>icon_zoomed_out_neverShow</t>
  </si>
  <si>
    <t>缩放图标永不显示</t>
  </si>
  <si>
    <t>缩放图标永不显示。</t>
  </si>
  <si>
    <t>icon_zoomed_out_neverShow:false</t>
  </si>
  <si>
    <t>icon_build</t>
  </si>
  <si>
    <t>建造图标</t>
  </si>
  <si>
    <t>填文件名,指定图像作为单位在列表中显示的图像.</t>
  </si>
  <si>
    <t>icon_build:icon_shiba.pmg</t>
  </si>
  <si>
    <t>image_floatingPointSize</t>
  </si>
  <si>
    <t>对奇数大小的图像进行一个像素的调整</t>
  </si>
  <si>
    <t>(填写0/1,无直观区别,有说法是把x-1来改变单位坐标系使其更方便使用)--Fixes off by 1 pixel sizing for odd sized images -</t>
  </si>
  <si>
    <t>image_floatingPointSize:true</t>
  </si>
  <si>
    <t>showSelectionIndicator</t>
  </si>
  <si>
    <t>显示选择指示</t>
  </si>
  <si>
    <t>(单位的选择框)</t>
  </si>
  <si>
    <t>showSelectionIndicator:false</t>
  </si>
  <si>
    <t>++++++++++</t>
  </si>
  <si>
    <t>炮塔（也可以在每个炮塔上设置图像）</t>
  </si>
  <si>
    <t>image_turret</t>
  </si>
  <si>
    <t>炮塔图像</t>
  </si>
  <si>
    <t>所有炮塔的默认图像，也可以为每个炮塔设置专用图像。</t>
  </si>
  <si>
    <t>image_turret:tank_turret.png</t>
  </si>
  <si>
    <t>turretImageScale</t>
  </si>
  <si>
    <t>炮塔图像缩放</t>
  </si>
  <si>
    <t>按比例缩放炮塔图像</t>
  </si>
  <si>
    <t>turretImageScale:2</t>
  </si>
  <si>
    <t>teamColorsOnTurret</t>
  </si>
  <si>
    <t>炮塔使用队伍色</t>
  </si>
  <si>
    <t>默认为false。在转塔上也应用团队颜色。</t>
  </si>
  <si>
    <t>teamColorsOnTurret:true</t>
  </si>
  <si>
    <t>scaleTurretImagesTo</t>
  </si>
  <si>
    <t>单位像素。缩放炮塔图像至指定像素，只用填宽度</t>
  </si>
  <si>
    <t>scaleTurretImagesTo:112.6</t>
  </si>
  <si>
    <t>lock_body_rotation_with_main_turret</t>
  </si>
  <si>
    <t>锁定主体旋转随主炮塔</t>
  </si>
  <si>
    <t>锁定主体图像旋转追随主炮塔</t>
  </si>
  <si>
    <t>lock_body_rotation_with_main_turret:true</t>
  </si>
  <si>
    <t>lock_leg_rotation_with_main_turret</t>
  </si>
  <si>
    <t>锁定腿脚旋转随主炮塔</t>
  </si>
  <si>
    <t>锁定腿脚图像旋转追随主炮塔</t>
  </si>
  <si>
    <t>lock_leg_rotation_with_main_turret:true</t>
  </si>
  <si>
    <t>阴影</t>
  </si>
  <si>
    <t>image_shadow</t>
  </si>
  <si>
    <t>阴影图像</t>
  </si>
  <si>
    <t>填NONE或AUTO又或者是AUTO_ANIMATED，图像文件。</t>
  </si>
  <si>
    <t>image_shadow:AUTO</t>
  </si>
  <si>
    <t>shadowOffsetX</t>
  </si>
  <si>
    <t>阴影图像偏移X轴</t>
  </si>
  <si>
    <t>阴影x轴偏移值，正数往右</t>
  </si>
  <si>
    <t>shadowOffsetX:1</t>
  </si>
  <si>
    <t>shadowOffsetY</t>
  </si>
  <si>
    <t>阴影图像偏移Y轴</t>
  </si>
  <si>
    <t>阴影y轴偏移值，正数往下</t>
  </si>
  <si>
    <t>shadowOffsetY:2</t>
  </si>
  <si>
    <t>image_shadow_frames</t>
  </si>
  <si>
    <t>阴影图像指定</t>
  </si>
  <si>
    <t>true时阴影不随单位移动而改变方向。</t>
  </si>
  <si>
    <t>image_shadow_frames:true</t>
  </si>
  <si>
    <t>lock_shadow_rotation_with_main_turret</t>
  </si>
  <si>
    <t>阴影锁定为主炮塔方向</t>
  </si>
  <si>
    <t>将身体图像阴影锁定到主炮塔的方向</t>
  </si>
  <si>
    <t>lock_shadow_rotation_with_main_turret:true</t>
  </si>
  <si>
    <t>效果和动画</t>
  </si>
  <si>
    <t>total_frames</t>
  </si>
  <si>
    <t>图像帧数</t>
  </si>
  <si>
    <t>默认值为1。将图像分割为指定分数，用于动画。第一帧编号为0</t>
  </si>
  <si>
    <t>total_frames:15</t>
  </si>
  <si>
    <t>default_frame</t>
  </si>
  <si>
    <t>默认帧</t>
  </si>
  <si>
    <t>指定默认显示为第几帧,默认为0即第一帧</t>
  </si>
  <si>
    <t>default_frame:1</t>
  </si>
  <si>
    <t>frame_width</t>
  </si>
  <si>
    <t>图像宽度</t>
  </si>
  <si>
    <t>设置单帧宽度，自动计算并覆盖总帧数。</t>
  </si>
  <si>
    <t>frame_width:35</t>
  </si>
  <si>
    <t>frame_height</t>
  </si>
  <si>
    <t>图像高度</t>
  </si>
  <si>
    <t>默认为图像高度</t>
  </si>
  <si>
    <t>frame_height:35</t>
  </si>
  <si>
    <t>splastEffect</t>
  </si>
  <si>
    <t>水波效果</t>
  </si>
  <si>
    <t>在水上时创建水波效果。默认为false</t>
  </si>
  <si>
    <t>splastEffect:true</t>
  </si>
  <si>
    <t>dustEffect</t>
  </si>
  <si>
    <t>灰尘效果</t>
  </si>
  <si>
    <t>在地面上产生灰尘效果。默认为false</t>
  </si>
  <si>
    <t>dustEffect:true</t>
  </si>
  <si>
    <t>splastEffectReverse</t>
  </si>
  <si>
    <t>逆向水波效果</t>
  </si>
  <si>
    <t>填true时，在倒车时也能产生效果</t>
  </si>
  <si>
    <t>splastEffectReverse:true</t>
  </si>
  <si>
    <t>dustEffectReverse</t>
  </si>
  <si>
    <t>逆向灰尘效果</t>
  </si>
  <si>
    <t>dustEffectReverse:true</t>
  </si>
  <si>
    <t>movementEffect</t>
  </si>
  <si>
    <t>运动效果</t>
  </si>
  <si>
    <t>自定义运动效果，可以是内置的或者自定义的。</t>
  </si>
  <si>
    <t>movementEffect:smoke, CUSTOM:fastDust*2, CUSTOM:pop*5</t>
  </si>
  <si>
    <t>effect</t>
  </si>
  <si>
    <t>movementEffectReverse</t>
  </si>
  <si>
    <t>逆向运动效果</t>
  </si>
  <si>
    <t>自定义倒车效果。</t>
  </si>
  <si>
    <t>movementEffectReverse:smoke</t>
  </si>
  <si>
    <t>movementEffectRate</t>
  </si>
  <si>
    <t>运动效果频率</t>
  </si>
  <si>
    <t>自定义效果产生频率，每隔多少帧一次。</t>
  </si>
  <si>
    <t>movementEffectRate:8</t>
  </si>
  <si>
    <t>movementEffectReverseFlipEffects</t>
  </si>
  <si>
    <t>逆向时反转运动效果</t>
  </si>
  <si>
    <t>倒车时反转效果</t>
  </si>
  <si>
    <t>movementEffectReverseFlipEffects:true</t>
  </si>
  <si>
    <t>repairEffect</t>
  </si>
  <si>
    <t>维修效果</t>
  </si>
  <si>
    <t>自定义维修效果，可以是任何东西。替换构建时的默认效果</t>
  </si>
  <si>
    <t>repairEffect:smoke</t>
  </si>
  <si>
    <t>repairEffectAtTarget</t>
  </si>
  <si>
    <t>维修目标效果</t>
  </si>
  <si>
    <t>维修目标上产生的效果。</t>
  </si>
  <si>
    <t>repairEffectAtTarget:smoke</t>
  </si>
  <si>
    <t>repairEffectRate</t>
  </si>
  <si>
    <t>维修效果频率</t>
  </si>
  <si>
    <t>维修效果每隔多少帧产生一次。</t>
  </si>
  <si>
    <t>repairEffectRate:8</t>
  </si>
  <si>
    <t>reclaimEffect</t>
  </si>
  <si>
    <t>回收效果</t>
  </si>
  <si>
    <t>自定义回收效果，可以是任何东西。替换回收时的默认效果</t>
  </si>
  <si>
    <t>reclaimEffect:smoke</t>
  </si>
  <si>
    <t>reclaimEffectAtTarget</t>
  </si>
  <si>
    <t>回收目标效果</t>
  </si>
  <si>
    <t>回收目标上产生的效果。</t>
  </si>
  <si>
    <t>reclaimEffectAtTarget:smoke</t>
  </si>
  <si>
    <t>reclaimEffectRate</t>
  </si>
  <si>
    <t>回收效果频率</t>
  </si>
  <si>
    <t>回收效果每隔多少帧产生一次。</t>
  </si>
  <si>
    <t>reclaimEffectRate:8</t>
  </si>
  <si>
    <t>rotate_with_direction</t>
  </si>
  <si>
    <t>随角度旋转</t>
  </si>
  <si>
    <t>默认为true。设置为false时将单位图像锁定为0度。通常与animation_direction_ *一起用作多向视图。</t>
  </si>
  <si>
    <t>rotate_with_direction:false</t>
  </si>
  <si>
    <t>animation_direction_useMainTurret</t>
  </si>
  <si>
    <t>多向动画使用主炮塔</t>
  </si>
  <si>
    <t>多向动画的执行将以单位主炮塔的角度为基准</t>
  </si>
  <si>
    <t>animation_direction_useMainTurret:true</t>
  </si>
  <si>
    <t>animation_direction_units</t>
  </si>
  <si>
    <t>多向动画度数</t>
  </si>
  <si>
    <t>每隔多少度切换一次素材,比如填45代表8个方向，90个代表4个方向的动画。与rotate_with_direction一起使用。</t>
  </si>
  <si>
    <t>animation_direction_units:45</t>
  </si>
  <si>
    <t>animation_direction_strideX</t>
  </si>
  <si>
    <t>多向动画x向</t>
  </si>
  <si>
    <t>动画帧取值在X方向改变时偏移。一般填0</t>
  </si>
  <si>
    <t>animation_direction_strideX:0</t>
  </si>
  <si>
    <t>animation_direction_strideY</t>
  </si>
  <si>
    <t>多向动画y向</t>
  </si>
  <si>
    <t>动画帧在方向改变Y轴偏移偏移。与frame_height一起使用。一般填1</t>
  </si>
  <si>
    <t>animation_direction_strideY:1</t>
  </si>
  <si>
    <t>animation_direction_starting</t>
  </si>
  <si>
    <t>多向动画朝向</t>
  </si>
  <si>
    <t>第一帧的方向，取决于您的素材。您要考虑转向后避免正负数交替现象，否则会导致素材朝向异常。</t>
  </si>
  <si>
    <t>animation_direction_starting:90</t>
  </si>
  <si>
    <t>disableLowHpFire</t>
  </si>
  <si>
    <t>禁用低生命冒火</t>
  </si>
  <si>
    <t>禁用低生命值时冒火的视觉效果</t>
  </si>
  <si>
    <t>disableLowHpFire:true</t>
  </si>
  <si>
    <t>disableLowHpSmoke</t>
  </si>
  <si>
    <t>禁用低生命冒烟</t>
  </si>
  <si>
    <t>禁用低生命值时冒烟的视觉效果</t>
  </si>
  <si>
    <t>disableLowHpSmoke:true</t>
  </si>
  <si>
    <t>showTransportBar</t>
  </si>
  <si>
    <t>显示运输条</t>
  </si>
  <si>
    <t>填true时显示运输条,false禁用。默认为true.</t>
  </si>
  <si>
    <t>showTransportBar:false</t>
  </si>
  <si>
    <t>showHealthBar</t>
  </si>
  <si>
    <t>显示生命条</t>
  </si>
  <si>
    <t>填true时显示生命条,false禁用。默认为true.</t>
  </si>
  <si>
    <t>showHealthBar:false</t>
  </si>
  <si>
    <t>showHealthBarChanges</t>
  </si>
  <si>
    <t>显示生命条变动</t>
  </si>
  <si>
    <t>填true时显示生命条的生命变动条（黄条）</t>
  </si>
  <si>
    <t>showHealthBarChanges:false</t>
  </si>
  <si>
    <t>showEnergyBar</t>
  </si>
  <si>
    <t>显示能量条</t>
  </si>
  <si>
    <t>填true时显示能量条,false禁用。默认为true.</t>
  </si>
  <si>
    <t>showEnergyBar:false</t>
  </si>
  <si>
    <t>showShieldBar</t>
  </si>
  <si>
    <t>显示护盾条</t>
  </si>
  <si>
    <t>填true时显示护盾条,false禁用。默认为true.</t>
  </si>
  <si>
    <t>showShieldBar:false</t>
  </si>
  <si>
    <t>showQueueBar</t>
  </si>
  <si>
    <t>显示队列条</t>
  </si>
  <si>
    <t>填true时显示操作、生成的队列条,false禁用。默认为true.</t>
  </si>
  <si>
    <t>showQueueBar:false</t>
  </si>
  <si>
    <t>showShotDelayBar</t>
  </si>
  <si>
    <t>显示开火后的冷却条</t>
  </si>
  <si>
    <t>(默认为true) - 用于显示开火速度慢的炮塔的冷却指示条(译者注:原文calldown似乎有误，应为cooldown)</t>
  </si>
  <si>
    <t>showShotDelayBar:false</t>
  </si>
  <si>
    <t>《《《不建议使用的代码》》》</t>
  </si>
  <si>
    <t>animation_TYPE_[animationKey]</t>
  </si>
  <si>
    <t>动画_类型_[动画节代码]</t>
  </si>
  <si>
    <t>大部分建议改用[animation]部分</t>
  </si>
  <si>
    <t>animation_moving_body_4s:{frame:1,scale:0.5}</t>
  </si>
  <si>
    <t>TYPE的值目前可以是：空闲时（idle），移动中（moving），攻击时（attack）</t>
  </si>
  <si>
    <t>攻击</t>
  </si>
  <si>
    <t>[attack]</t>
  </si>
  <si>
    <t>maxAttackRange</t>
  </si>
  <si>
    <t>攻击距离</t>
  </si>
  <si>
    <t>最大攻击距离。（会乘以globalScale，但不建议使用globalScale）</t>
  </si>
  <si>
    <t>maxAttackRange:999</t>
  </si>
  <si>
    <t>canAttack</t>
  </si>
  <si>
    <t>可以攻击</t>
  </si>
  <si>
    <t>如果设置为false，则不能攻击任何单位。其他canAttack选项将无效。</t>
  </si>
  <si>
    <t>canAttack:true</t>
  </si>
  <si>
    <t>canAttackFlyingUnits</t>
  </si>
  <si>
    <t>可攻击空中单位</t>
  </si>
  <si>
    <t>可以攻击空中单位，下面的攻击条件代码可于任意炮塔单独设置。</t>
  </si>
  <si>
    <t>canAttackFlyingUnits:true</t>
  </si>
  <si>
    <t>LogicBoolean</t>
  </si>
  <si>
    <t>canAttackLandUnits</t>
  </si>
  <si>
    <t>可攻击表面单位</t>
  </si>
  <si>
    <t>可以攻击表面单位（包括陆地和水面）</t>
  </si>
  <si>
    <t>canAttackLandUnits:true</t>
  </si>
  <si>
    <t>canAttackUnderwaterUnits</t>
  </si>
  <si>
    <t>可攻击水下单位</t>
  </si>
  <si>
    <t>可以攻击水下单位</t>
  </si>
  <si>
    <t>canAttackUnderwaterUnits:true</t>
  </si>
  <si>
    <t>canAttackNotTouchingWaterUnits</t>
  </si>
  <si>
    <t>可以攻击非接触水单位</t>
  </si>
  <si>
    <t>可以攻击非接触水单位，默认为true。如果是false，则只能攻击与水接触的单位，不能攻击岸上。用于鱼雷逻辑。也可以根据炮塔需要设置。</t>
  </si>
  <si>
    <t>canAttackNotTouchingWaterUnits:true</t>
  </si>
  <si>
    <t>canOnlyAttackUnitsWithTags</t>
  </si>
  <si>
    <t>只攻击带特定标签单位</t>
  </si>
  <si>
    <t>只能攻击带特定标签的单位</t>
  </si>
  <si>
    <t>canOnlyAttackUnitsWithTags:sp_spy</t>
  </si>
  <si>
    <t>tags</t>
  </si>
  <si>
    <t>canOnlyAttackUnitsWithoutTags</t>
  </si>
  <si>
    <t>不攻击带特定标签单位</t>
  </si>
  <si>
    <t>不能攻击带特定标签的单位</t>
  </si>
  <si>
    <t>canOnlyAttackUnitsWithoutTags:sp_tm</t>
  </si>
  <si>
    <t>setMainTurretAs</t>
  </si>
  <si>
    <t>设置主炮塔</t>
  </si>
  <si>
    <t>设置主炮塔，有些代码要锁定主炮塔，对其有用。</t>
  </si>
  <si>
    <t>setMainTurretAs:1</t>
  </si>
  <si>
    <t>turret ref</t>
  </si>
  <si>
    <t>turretMultiTargeting</t>
  </si>
  <si>
    <t>每个炮塔向不同目标射击</t>
  </si>
  <si>
    <t>允许每个炮塔同时向不同的目标射击。如果使用[turretlimitingAngle(限制角度)非常有用</t>
  </si>
  <si>
    <t>turretMultiTargeting:true</t>
  </si>
  <si>
    <t>isMelee</t>
  </si>
  <si>
    <t>近战</t>
  </si>
  <si>
    <t>近战单位。与低攻击范围配合使用（例如maxAttackRange：9）可使自身和目标半径添加到范围内，并影响AI。</t>
  </si>
  <si>
    <t>isMelee:true</t>
  </si>
  <si>
    <t>meleeEngangementDistance</t>
  </si>
  <si>
    <t>近战索敌距离</t>
  </si>
  <si>
    <t>使部队游猎，自动移动以攻击附近的敌方部队。近战默认为250，非近战默认为0（即使非近战也可以使用。）</t>
  </si>
  <si>
    <t>meleeEngangementDistance:255</t>
  </si>
  <si>
    <t>turretRotateWithBody</t>
  </si>
  <si>
    <t>炮塔随主体旋转</t>
  </si>
  <si>
    <t>炮塔随主体旋转。默认true</t>
  </si>
  <si>
    <t>turretRotateWithBody:true</t>
  </si>
  <si>
    <t>attackMovement</t>
  </si>
  <si>
    <t>攻击移动类型</t>
  </si>
  <si>
    <t>移动攻击类型。填normal/bomber。能量耗尽时，轰炸机攻击运动将后退。可填moveaway，strafing但无效。</t>
  </si>
  <si>
    <t>attackMovement:normal
attackMovement:bomber</t>
  </si>
  <si>
    <t>dieOnAttack</t>
  </si>
  <si>
    <t>自杀攻击</t>
  </si>
  <si>
    <t>攻击时自毁。</t>
  </si>
  <si>
    <t>dieOnAttack:true</t>
  </si>
  <si>
    <t>removeOnAttack</t>
  </si>
  <si>
    <t>移除攻击</t>
  </si>
  <si>
    <t>攻击时移除自身.</t>
  </si>
  <si>
    <t>removeOnAttack:true</t>
  </si>
  <si>
    <t>isFixedFiring</t>
  </si>
  <si>
    <t>固定射击</t>
  </si>
  <si>
    <t>必须将身体对准目标射击。通常会使得部队需要停下来才能瞄准和射击。比如火炮。</t>
  </si>
  <si>
    <t>isFixedFiring:true</t>
  </si>
  <si>
    <t>aimOffsetSpread</t>
  </si>
  <si>
    <t>瞄准偏移</t>
  </si>
  <si>
    <t>将每次攻击时的偏移量乘以目标半径。默认为0.6。设为0则不偏移，对范围武器影响较大。</t>
  </si>
  <si>
    <t>aimOffsetSpread:0</t>
  </si>
  <si>
    <t>stopTargetingAfterFiring</t>
  </si>
  <si>
    <t>自动停火</t>
  </si>
  <si>
    <t>单位射击后停止瞄准。很少使用或需要。如用于您不希望胡乱攻击浪费弹药的单位。</t>
  </si>
  <si>
    <t>stopTargetingAfterFiring:true</t>
  </si>
  <si>
    <t>disablePassiveTargeting</t>
  </si>
  <si>
    <t>不能主动攻击</t>
  </si>
  <si>
    <t>单位只攻击手动选择的目标。很少使用或需要。如用于自爆卡车守家，如果自动攻击敌人就太蠢了。</t>
  </si>
  <si>
    <t>disablePassiveTargetingg:true</t>
  </si>
  <si>
    <t>showRangeUIGuide</t>
  </si>
  <si>
    <t>显示范围UI</t>
  </si>
  <si>
    <t>显示攻击范围的白圈。默认true.</t>
  </si>
  <si>
    <t>showRangeUIGuide:false</t>
  </si>
  <si>
    <t>shootDelayMultiplier</t>
  </si>
  <si>
    <t>开火间隔乘数</t>
  </si>
  <si>
    <t>默认为1。可以在setUnitStats动态改变</t>
  </si>
  <si>
    <t>shootDelayMultiplier:1</t>
  </si>
  <si>
    <t>shootDamageMultiplier</t>
  </si>
  <si>
    <t>开火伤害乘数</t>
  </si>
  <si>
    <t>shootDamageMultiplier:1</t>
  </si>
  <si>
    <t>luke不推荐使用的键-可以使用，但最好在每个炮塔上进行单独设置</t>
  </si>
  <si>
    <t>turretSize</t>
  </si>
  <si>
    <t>炮塔大小</t>
  </si>
  <si>
    <t>设置所有炮塔大小。填数值，按像素计算，不决定素材大小，而是以此为半径的开火位置。</t>
  </si>
  <si>
    <t>turretSize:10</t>
  </si>
  <si>
    <t>turretTurnSpeed</t>
  </si>
  <si>
    <t>炮塔转速</t>
  </si>
  <si>
    <t>炮塔转速，单位是每帧旋转角度。</t>
  </si>
  <si>
    <t>turretTurnSpeed:1</t>
  </si>
  <si>
    <t>shootDelay</t>
  </si>
  <si>
    <t>攻击间隔</t>
  </si>
  <si>
    <t>开火间隔，也可以在每个转塔上使用延迟</t>
  </si>
  <si>
    <t>shootDelay:233</t>
  </si>
  <si>
    <t>炮塔</t>
  </si>
  <si>
    <t>[turret_NAME（非必要请填1-31的数字）]</t>
  </si>
  <si>
    <t>[turret_2]</t>
  </si>
  <si>
    <t>描述 炮塔上限31个</t>
  </si>
  <si>
    <t>x</t>
  </si>
  <si>
    <t>x:</t>
  </si>
  <si>
    <t>坐标X</t>
  </si>
  <si>
    <t>x:10</t>
  </si>
  <si>
    <t>y</t>
  </si>
  <si>
    <t>y:</t>
  </si>
  <si>
    <t>坐标Y</t>
  </si>
  <si>
    <t>y:10</t>
  </si>
  <si>
    <t>height</t>
  </si>
  <si>
    <t>炮塔高度</t>
  </si>
  <si>
    <t>(用于3d单位,实测链接的炮塔也会跟着改变高度)to help placement on 3d style units</t>
  </si>
  <si>
    <t>height:1</t>
  </si>
  <si>
    <t>copyFrom</t>
  </si>
  <si>
    <t>复制数据自</t>
  </si>
  <si>
    <t>复制指定炮塔的所有值，作为该炮塔的默认值。新写代码重复时则覆盖掉它。</t>
  </si>
  <si>
    <t>copyFrom: 1</t>
  </si>
  <si>
    <t>projectile</t>
  </si>
  <si>
    <t>抛射体</t>
  </si>
  <si>
    <t>使用此抛射体。默认为第一个抛射体。</t>
  </si>
  <si>
    <t>projectile:torpedo</t>
  </si>
  <si>
    <t>projectile ref</t>
  </si>
  <si>
    <t>altProjectile</t>
  </si>
  <si>
    <t>关联抛射体</t>
  </si>
  <si>
    <t>当altProjectileCondition为true时，从此炮塔发射的抛射体。</t>
  </si>
  <si>
    <t>altProjectile:lowEnergy</t>
  </si>
  <si>
    <t>altProjectileCondition</t>
  </si>
  <si>
    <t>关联抛射体条件</t>
  </si>
  <si>
    <t>用于altProjectile</t>
  </si>
  <si>
    <t>altProjectileCondition:if not self.energy(full=true)</t>
  </si>
  <si>
    <t>barrelX</t>
  </si>
  <si>
    <t>抛射体x</t>
  </si>
  <si>
    <t>默认值为0。控制抛射体生成的X轴位置。</t>
  </si>
  <si>
    <t>barrelX:0</t>
  </si>
  <si>
    <t>barrelY</t>
  </si>
  <si>
    <t>抛射体y</t>
  </si>
  <si>
    <t>默认为大0。注意：size和barrelY含义相同</t>
  </si>
  <si>
    <t>barrelY:10</t>
  </si>
  <si>
    <t>barrelHeight</t>
  </si>
  <si>
    <t>抛射体高度</t>
  </si>
  <si>
    <t>高度（用于3d）。影响抛射体产生的高度。</t>
  </si>
  <si>
    <t>barrelHeight:10</t>
  </si>
  <si>
    <t>size</t>
  </si>
  <si>
    <t>控制炮塔中心与抛射体丸产生点之间的距离。</t>
  </si>
  <si>
    <t>size: 5</t>
  </si>
  <si>
    <t>turnSpeed</t>
  </si>
  <si>
    <t>炮塔最大转动速度。单位度每帧。</t>
  </si>
  <si>
    <t>turnSpeed:5</t>
  </si>
  <si>
    <t>turnSpeedAcceleration</t>
  </si>
  <si>
    <t>炮塔旋转加速度</t>
  </si>
  <si>
    <t>炮塔加速度，默认设置为禁用，并使用全转速度。</t>
  </si>
  <si>
    <t>turnSpeedAcceleration:1</t>
  </si>
  <si>
    <t>turnSpeedDeceleration</t>
  </si>
  <si>
    <t>炮塔旋转减速度</t>
  </si>
  <si>
    <t>默认为turnSpeedAcceleration。将此值设置为高于转弯加速度可能会允许更快地命中目标</t>
  </si>
  <si>
    <t>turnSpeedDeceleration:1</t>
  </si>
  <si>
    <t>idleDir</t>
  </si>
  <si>
    <t>闲时角度</t>
  </si>
  <si>
    <t>闲置时角度。</t>
  </si>
  <si>
    <t>idleDir:90</t>
  </si>
  <si>
    <t>idleDirReversing</t>
  </si>
  <si>
    <t>闲时角度反转</t>
  </si>
  <si>
    <t>允许闲置时角度反转。除非连接到另一个炮塔（否则连接的炮塔在反转时通常会旋转），否则默认为idleDir + 180。如重坦逆行时炮塔转向。</t>
  </si>
  <si>
    <t>idleDirReversing:1</t>
  </si>
  <si>
    <t>shouldResetTurret</t>
  </si>
  <si>
    <t>空闲自动归位</t>
  </si>
  <si>
    <t>默认为true。 填false时禁止炮塔自动归位。</t>
  </si>
  <si>
    <t>shouldResetTurret:false</t>
  </si>
  <si>
    <t>idleSweepAngle</t>
  </si>
  <si>
    <t>空闲扫描角度</t>
  </si>
  <si>
    <t>炮塔闲时扫描角度。这一系列用于设置炮塔闲置时候转圈警戒动作。</t>
  </si>
  <si>
    <t>idleSweepAngle:45</t>
  </si>
  <si>
    <t>idleSweepDelay</t>
  </si>
  <si>
    <t>空闲扫描间隔</t>
  </si>
  <si>
    <t>炮塔闲时扫描间隔，多久动一次。</t>
  </si>
  <si>
    <t>idleSweepDelay:120</t>
  </si>
  <si>
    <t>idleSweepSpeed</t>
  </si>
  <si>
    <t>空闲扫描速度</t>
  </si>
  <si>
    <t>炮塔闲时扫描转向的速度。</t>
  </si>
  <si>
    <t>idleSweepSpeed:0.2</t>
  </si>
  <si>
    <t>idleSweepCondition</t>
  </si>
  <si>
    <t>空闲扫描条件</t>
  </si>
  <si>
    <t>炮塔闲时扫描的条件，比如单位移动但没攻击时炮塔确实是闲置的，但这时可能不该旋转。</t>
  </si>
  <si>
    <t>idleSweepCondition:if not self.isMoving()</t>
  </si>
  <si>
    <t>idleSweepAddRandomDelay</t>
  </si>
  <si>
    <t>空闲扫描随机延迟</t>
  </si>
  <si>
    <t>炮塔闲时扫描的随机延迟</t>
  </si>
  <si>
    <t>idleSweepAddRandomDelay:40</t>
  </si>
  <si>
    <t>idleSweepAddRandomAngle</t>
  </si>
  <si>
    <t>空闲扫描随机角度</t>
  </si>
  <si>
    <t>炮塔闲时扫描的随机角度</t>
  </si>
  <si>
    <t>idleSweepAddRandomAngle:10</t>
  </si>
  <si>
    <t>attachedTo</t>
  </si>
  <si>
    <t>链接到</t>
  </si>
  <si>
    <t>要连接的另一个炮塔的ID，将相对于它定位，并随其旋转。</t>
  </si>
  <si>
    <t>attachedTo:1</t>
  </si>
  <si>
    <t>slave</t>
  </si>
  <si>
    <t>隶属</t>
  </si>
  <si>
    <t>锁定此转塔的方向，并为附加的转塔发射冷却时间。常用于多炮管单位。</t>
  </si>
  <si>
    <t>slave:true</t>
  </si>
  <si>
    <t>isMainNanoTurret</t>
  </si>
  <si>
    <t>是主构建炮塔</t>
  </si>
  <si>
    <t>默认为false。用于创建建筑物的炮塔。只能在一个炮塔上为true，并且canShoot设置为false。</t>
  </si>
  <si>
    <t>isMainNanoTurret:true</t>
  </si>
  <si>
    <t>energyUsage</t>
  </si>
  <si>
    <t>能量需求</t>
  </si>
  <si>
    <t>发射武器所需的能量。与resourceUsage相同：energy = X</t>
  </si>
  <si>
    <t>energyUsage:1</t>
  </si>
  <si>
    <t>resourceUsage</t>
  </si>
  <si>
    <t>资源需求</t>
  </si>
  <si>
    <t>可以使用资金/能源/生命/护盾/弹药等。如果不符合条件则停止攻击。credits/energy/hp/shield/ammo</t>
  </si>
  <si>
    <t>resourceUsage: credits=5, energy=5, hp=100, shield=5, ammo=1</t>
  </si>
  <si>
    <t>price</t>
  </si>
  <si>
    <t>计时</t>
  </si>
  <si>
    <t>delay</t>
  </si>
  <si>
    <t>开火间隔</t>
  </si>
  <si>
    <t>设置攻击间隔，覆盖全局炮塔间隔数据。</t>
  </si>
  <si>
    <t>delay:60</t>
  </si>
  <si>
    <t>linkDelayWithTurret</t>
  </si>
  <si>
    <t>链接间隔</t>
  </si>
  <si>
    <t>当另一炮塔开火时，该炮塔上的冷却延迟将被重置/删除</t>
  </si>
  <si>
    <t>linkDelayWithTurret:1</t>
  </si>
  <si>
    <t>warmup</t>
  </si>
  <si>
    <t>预热</t>
  </si>
  <si>
    <t>射击前延迟。需要准备多长时间才能攻击，可以制作出蓄力效果。</t>
  </si>
  <si>
    <t>warmup:10</t>
  </si>
  <si>
    <t>warmupCallDownRate</t>
  </si>
  <si>
    <t>预热下降速度</t>
  </si>
  <si>
    <t>停止攻击后预热条下降速度</t>
  </si>
  <si>
    <t>warmupCallDownRate:0.6</t>
  </si>
  <si>
    <t>warmupNoReset</t>
  </si>
  <si>
    <t>预热不重置</t>
  </si>
  <si>
    <t>默认为false。射击后未重设真正的预热时。与warmupCallDownRate一起使用</t>
  </si>
  <si>
    <t>warmupNoReset:true</t>
  </si>
  <si>
    <t>warmupShootDelayTransfer</t>
  </si>
  <si>
    <t>开火间隔过渡</t>
  </si>
  <si>
    <t>默认值为0，这是一个乘数，用于通过预热值减少下一次开火延迟。与warmupNoReset一起使用时，可以使攻击速度越来越快。</t>
  </si>
  <si>
    <t>warmupShootDelayTransfer:17</t>
  </si>
  <si>
    <t>射击时</t>
  </si>
  <si>
    <t>onShoot_freezeBodyMovementFor</t>
  </si>
  <si>
    <t>射击时冻结主体</t>
  </si>
  <si>
    <t>射击时禁止运动。</t>
  </si>
  <si>
    <t>onShoot_freezeBodyMovementFor:1.2s</t>
  </si>
  <si>
    <t>barrelOffsetX_onOddShots</t>
  </si>
  <si>
    <t>奇数射击时抛射体偏移</t>
  </si>
  <si>
    <t>默认0。在奇数射击时横向偏移，用于简化双管单位制作。</t>
  </si>
  <si>
    <t>barrelOffsetX_onOddShots:100</t>
  </si>
  <si>
    <t>yAxisScaling</t>
  </si>
  <si>
    <t>Y轴比例</t>
  </si>
  <si>
    <t>炮塔的x和y坐标会乘以这个代码所填的值</t>
  </si>
  <si>
    <t>yAxisScaling:2</t>
  </si>
  <si>
    <t>定位控制</t>
  </si>
  <si>
    <t>canShoot</t>
  </si>
  <si>
    <t>可以开火</t>
  </si>
  <si>
    <t>可以开火，默认为true</t>
  </si>
  <si>
    <t>canShoot:true</t>
  </si>
  <si>
    <t>可以攻击空中单位，覆盖[attack]的设定。</t>
  </si>
  <si>
    <t>canAttackCondition</t>
  </si>
  <si>
    <t>攻击条件</t>
  </si>
  <si>
    <t>攻击需要满足条件。</t>
  </si>
  <si>
    <t>canAttackCondition: if not self.flying</t>
  </si>
  <si>
    <t>clearTurretTargetAfterFiring</t>
  </si>
  <si>
    <t>射击后重置炮塔目标</t>
  </si>
  <si>
    <t>射击后重置炮塔目标。</t>
  </si>
  <si>
    <t>clearTurretTargetAfterFiring:true</t>
  </si>
  <si>
    <t>limitingRange</t>
  </si>
  <si>
    <t>限制范围</t>
  </si>
  <si>
    <t>限制此炮塔的最远攻击范围。不要将此代码应用到所有炮塔，如果需要则设置maxAttackRange。</t>
  </si>
  <si>
    <t>limitingRange:150</t>
  </si>
  <si>
    <t>limitingAngle</t>
  </si>
  <si>
    <t>限制角度</t>
  </si>
  <si>
    <t>与idleDir配合。炮塔只能以+/-此角度进行攻击。</t>
  </si>
  <si>
    <t>limitingAngle:60</t>
  </si>
  <si>
    <t>limitingMinRange</t>
  </si>
  <si>
    <t>最小距离</t>
  </si>
  <si>
    <t>设置炮塔的最小攻击范围，不能攻击此范围内单位，也就是死角。</t>
  </si>
  <si>
    <t>limitingMinRange: 60</t>
  </si>
  <si>
    <t>canAttackMaxAngle</t>
  </si>
  <si>
    <t>可攻击最大角度</t>
  </si>
  <si>
    <t>设置炮塔的最大射击角度。如果单位在可攻击角度外则不会开火。默认值为5，不要设置得更低。可以设置为181，即不需要转向就可发射抛射体。</t>
  </si>
  <si>
    <t>canAttackMaxAngle:90</t>
  </si>
  <si>
    <t>interceptProjectiles_withTags</t>
  </si>
  <si>
    <t>拦截抛射体需有标签</t>
  </si>
  <si>
    <t>拦截具有此标签的抛射体，目前铁锈用于反核武器。</t>
  </si>
  <si>
    <t>interceptProjectiles_withTags: nuke</t>
  </si>
  <si>
    <t>interceptProjectiles_andTargetingGroundUnderDistance</t>
  </si>
  <si>
    <t>拦截抛射体检索范围</t>
  </si>
  <si>
    <t>守护的范围，只有当敌方攻击目标地点落在此圈子内时才考虑拦截。</t>
  </si>
  <si>
    <t>interceptProjectiles_andTargetingGroundUnderDistance: 500</t>
  </si>
  <si>
    <t>interceptProjectiles_andUnderDistance</t>
  </si>
  <si>
    <t>拦截抛射体攻击范围</t>
  </si>
  <si>
    <t>默认值为2000，当抛射体到达这个距离时才开始发射拦截。</t>
  </si>
  <si>
    <t>interceptProjectiles_andUnderDistance: 1600</t>
  </si>
  <si>
    <t>interceptProjectiles_andOverHeight</t>
  </si>
  <si>
    <t>拦截抛射体高度</t>
  </si>
  <si>
    <t>需要超过此高度才会拦截。默认值为0.</t>
  </si>
  <si>
    <t>interceptProjectiles_andOverHeight:50</t>
  </si>
  <si>
    <t>laserDefenceEnergyUse</t>
  </si>
  <si>
    <t>激光防御能量需求</t>
  </si>
  <si>
    <t>炮塔启用激光防御拦截敌方抛射体。还应在core中设置energyMax。</t>
  </si>
  <si>
    <t>laserDefenceEnergyUse:1</t>
  </si>
  <si>
    <t>图形和效果</t>
  </si>
  <si>
    <t>invisible</t>
  </si>
  <si>
    <t>隐藏炮塔图像</t>
  </si>
  <si>
    <t>即不显示炮塔本身图像，但是攻击什么的还是可以。</t>
  </si>
  <si>
    <t>invisible:true</t>
  </si>
  <si>
    <t>使用自定义图片。覆盖单位的主炮塔图像</t>
  </si>
  <si>
    <t>image:shibaingtooth.png</t>
  </si>
  <si>
    <t>image_applyTeamColors</t>
  </si>
  <si>
    <t>图像应用队伍颜色</t>
  </si>
  <si>
    <t>炮塔图像使用队伍颜色。默认为false。</t>
  </si>
  <si>
    <t>image_drawOffsetX</t>
  </si>
  <si>
    <t>图像绘制偏移x</t>
  </si>
  <si>
    <t>炮塔图像在X轴偏移。</t>
  </si>
  <si>
    <t>image_drawOffsetY</t>
  </si>
  <si>
    <t>图像绘制偏移y</t>
  </si>
  <si>
    <t>炮塔图像在Y轴偏移。</t>
  </si>
  <si>
    <t>chargeEffectImage</t>
  </si>
  <si>
    <t>充能效果图像</t>
  </si>
  <si>
    <t>预热时的充能效果。默认是由小变大。</t>
  </si>
  <si>
    <t>chargeEffectImage:a.png</t>
  </si>
  <si>
    <t>warmupStartEffect</t>
  </si>
  <si>
    <t>预热效果</t>
  </si>
  <si>
    <t>开火延迟时产生效果。</t>
  </si>
  <si>
    <t>effects</t>
  </si>
  <si>
    <t>shoot_sound</t>
  </si>
  <si>
    <t>开火音效</t>
  </si>
  <si>
    <t>开火音效，填声音文件。有以下内置条目。attack、move、click、missile_fire、missile_hit、unit_explode、buiding_explode、
tank_firing、cannon_firing、gun_fire、lighting_burst、plasma_fire、plasma_fire2、firing3、firing4、large_gun_fire1、
large_gun_fire2、bug_die、bug_attack、interface_error、nuke_explode、nuke_launch、laser_deflect、laser_deflect2</t>
  </si>
  <si>
    <t>shoot_sound:move:0.5</t>
  </si>
  <si>
    <t>shoot_sound_vol</t>
  </si>
  <si>
    <t>开火音效大小</t>
  </si>
  <si>
    <t>播放声音大小。</t>
  </si>
  <si>
    <t>shoot_sound_vol:</t>
  </si>
  <si>
    <t>shoot_flame</t>
  </si>
  <si>
    <t>开火动画</t>
  </si>
  <si>
    <t>开火动画，内置参考表末尾。Luke推荐为：small, large, smoke, shockwave（小，大，烟，冲击波）。可以自定义。
其余有：medium，largeExplosion，smallExplosion，resourcePoolSmoke，noneExplosion（中等，大爆炸，小爆炸，资源池的绿色烟，没有爆炸）</t>
  </si>
  <si>
    <t>shoot_flame: smoke
shoot_flame: CUSTOM:lightFade</t>
  </si>
  <si>
    <t>shoot_light</t>
  </si>
  <si>
    <t>开火闪光</t>
  </si>
  <si>
    <t>开火时闪光，16进制argb格式。#AARRGGBB,透明度，红，绿，蓝</t>
  </si>
  <si>
    <t>shoot_light:#afafaf</t>
  </si>
  <si>
    <t>color</t>
  </si>
  <si>
    <t>idleSpin</t>
  </si>
  <si>
    <t>闲时转速</t>
  </si>
  <si>
    <t>炮塔闲置时的旋转速度,单位度每帧。</t>
  </si>
  <si>
    <t>idleSpin:2</t>
  </si>
  <si>
    <t>onShoot_playAnimation</t>
  </si>
  <si>
    <t>开火播放动画</t>
  </si>
  <si>
    <t>开火后播放[Animation]中的自定义动画</t>
  </si>
  <si>
    <t>onShoot_playAnimation:animation_1</t>
  </si>
  <si>
    <t>animation ref</t>
  </si>
  <si>
    <t>onShoot_triggerActions</t>
  </si>
  <si>
    <t>开火触发行为</t>
  </si>
  <si>
    <t>每次这个炮塔开火时触发这些动作</t>
  </si>
  <si>
    <t>onShoot_triggerActions:foxsay</t>
  </si>
  <si>
    <t>action ref</t>
  </si>
  <si>
    <t>unloadUpToXUnitsAndGiveAttackOrder</t>
  </si>
  <si>
    <t>卸载单位并赋予攻击目标</t>
  </si>
  <si>
    <t>在炮塔炮筒位置卸下X个单位，并让它们攻击炮塔指定的目标。</t>
  </si>
  <si>
    <t>unloadUpToXUnitsAndGiveAttackOrder:5</t>
  </si>
  <si>
    <t>recoilOffset</t>
  </si>
  <si>
    <t>后坐力大小</t>
  </si>
  <si>
    <t>开火后向前或向后推动炮塔，以产生后坐力。填像素。</t>
  </si>
  <si>
    <t>recoilOffset:-10</t>
  </si>
  <si>
    <t>recoilOutTime</t>
  </si>
  <si>
    <t>后坐力速度</t>
  </si>
  <si>
    <t>开火后到达偏移位置的时间</t>
  </si>
  <si>
    <t>recoilOutTime:2</t>
  </si>
  <si>
    <t>recoilReturnTime</t>
  </si>
  <si>
    <t>后坐力恢复</t>
  </si>
  <si>
    <t>开火后回到默认位置所需时间。</t>
  </si>
  <si>
    <t>recoilReturnTime:15</t>
  </si>
  <si>
    <t>[projectile_NAME]</t>
  </si>
  <si>
    <t>[projectile_1]</t>
  </si>
  <si>
    <t>life</t>
  </si>
  <si>
    <t>存在时间</t>
  </si>
  <si>
    <t>开火后抛射体在没命中时的存活时间，单位为帧。60为1s。多少合适取决于速度与射程。</t>
  </si>
  <si>
    <t>life:120</t>
  </si>
  <si>
    <t>delayedStartTimer</t>
  </si>
  <si>
    <t>延迟时间</t>
  </si>
  <si>
    <t>抛射体发射延迟时间。</t>
  </si>
  <si>
    <t>delayedStartTimer:15</t>
  </si>
  <si>
    <t>interceptProjectile_removeTargetLifeOnly</t>
  </si>
  <si>
    <t>拦截抛射体移除目标存活时间</t>
  </si>
  <si>
    <t>默认值为false，当为false时射抛射体移除。true时使被击中的抛射体爆炸或分裂。用于设定命中抛射体时是否执行分裂逻辑。</t>
  </si>
  <si>
    <t>interceptProjectile_removeTargetLifeOnly:false</t>
  </si>
  <si>
    <t>deflectionPower</t>
  </si>
  <si>
    <t>激光拦截耗能</t>
  </si>
  <si>
    <t>默认值为1。此抛射体被激光防御摧毁所需的能量。 -1为禁止拦截。（对特殊武器如火焰）</t>
  </si>
  <si>
    <t>deflectionPower:-1</t>
  </si>
  <si>
    <t>explodeOnEndOfLife</t>
  </si>
  <si>
    <t>寿终爆炸</t>
  </si>
  <si>
    <t>默认为false。True则会在寿命终结时爆炸，并产生其命中时该有的效果。而不是直接消失。</t>
  </si>
  <si>
    <t>explodeOnEndOfLife:true</t>
  </si>
  <si>
    <t>autoTargetingOnDeadTarget</t>
  </si>
  <si>
    <t>自动切换目标</t>
  </si>
  <si>
    <t>如果目标死亡则自动切换单位。填true时如果有代码"targetGround:true"抛射体将会追踪距离它最近的单位。如果没有"targetGround"时将会在单位死亡后再改变目标。</t>
  </si>
  <si>
    <t>autoTargetingOnDeadTarget:true</t>
  </si>
  <si>
    <t>autoTargetingOnDeadTargetRange</t>
  </si>
  <si>
    <t>自动切换目标检索范围</t>
  </si>
  <si>
    <t>当旧目标死亡时选择新目标的范围</t>
  </si>
  <si>
    <t>autoTargetingOnDeadTargetRange:45</t>
  </si>
  <si>
    <t>autoTargetingOnDeadTargetLead</t>
  </si>
  <si>
    <t>自动切换目标预判</t>
  </si>
  <si>
    <t>尝试新的目标时的预判</t>
  </si>
  <si>
    <t>autoTargetingOnDeadTargetLead:1</t>
  </si>
  <si>
    <t>unloadUpToXUnitsFromSource</t>
  </si>
  <si>
    <t>卸载单位至命中地</t>
  </si>
  <si>
    <t>将指定个数单位卸载到抛射体爆炸位置。</t>
  </si>
  <si>
    <t>unloadUpToXUnitsFromSource:1</t>
  </si>
  <si>
    <t>teleportSource</t>
  </si>
  <si>
    <t>传送</t>
  </si>
  <si>
    <t>将单位移动到抛射体爆炸的位置，用于传送自身。</t>
  </si>
  <si>
    <t>teleportSource:true</t>
  </si>
  <si>
    <t>spawnUnit</t>
  </si>
  <si>
    <t>产生单位</t>
  </si>
  <si>
    <t>在抛射体丸爆炸位置产生这种单位</t>
  </si>
  <si>
    <t>spawnUnit:heavyTank,tank*5,hoverTank(offsetX=10)</t>
  </si>
  <si>
    <t>units</t>
  </si>
  <si>
    <t>convertHitToSourceTeam</t>
  </si>
  <si>
    <t>命中时更改所属</t>
  </si>
  <si>
    <t>将更改被命中的单位转换队伍为自身所属。</t>
  </si>
  <si>
    <t>convertHitToSourceTeam:true</t>
  </si>
  <si>
    <t>标签</t>
  </si>
  <si>
    <t>用于抛射体拦截功能。</t>
  </si>
  <si>
    <t>tags:nuke</t>
  </si>
  <si>
    <t>flameWeapon</t>
  </si>
  <si>
    <t>火焰武器</t>
  </si>
  <si>
    <t>命中时产生小火焰（仅用于装饰）</t>
  </si>
  <si>
    <t>flameWeapon:true</t>
  </si>
  <si>
    <t>spawnProjectilesOnEndOfLife</t>
  </si>
  <si>
    <t>在寿命结束时生成抛射体</t>
  </si>
  <si>
    <t>填抛射体名。在寿命(life)结束时生成抛射体。生成抛射体逻辑具体参数参考后面生成抛射体大项。这简化了过去许多需要多炮塔(如贯穿攻击)或是生成辅助单位才能实现的操作。</t>
  </si>
  <si>
    <t>spawnProjectilesOnEndOfLife:torpedo_split(offsetDir=90),torpedo_split(offsetDir=-90)</t>
  </si>
  <si>
    <t>spawnProjectilesOnExplode</t>
  </si>
  <si>
    <t>在爆炸时生成抛射体</t>
  </si>
  <si>
    <t>填抛射体名。只在爆炸时生成抛射体，如果耗光life则不会生成。</t>
  </si>
  <si>
    <t>spawnProjectilesOnExplode:shiba(offsetDir=60,recursionLimit=6)</t>
  </si>
  <si>
    <t>spawnProjectilesOnCreate</t>
  </si>
  <si>
    <t>在创建时生成抛射体</t>
  </si>
  <si>
    <t>填抛射体名。抛射体创建时生成抛射体。</t>
  </si>
  <si>
    <t>spawnProjectilesOnCreate:1.5,2,3,4,5</t>
  </si>
  <si>
    <t>伤害</t>
  </si>
  <si>
    <t>directDamage</t>
  </si>
  <si>
    <t>直接伤害</t>
  </si>
  <si>
    <t>击中对目标单位造成伤害。不适用于targetGround:true。</t>
  </si>
  <si>
    <t>directDamage:999</t>
  </si>
  <si>
    <t>areaDamage</t>
  </si>
  <si>
    <t>范围伤害</t>
  </si>
  <si>
    <t>范围伤害值，此区域内敌方单位都将受到损伤，默认向边缘递减。</t>
  </si>
  <si>
    <t>areaDamage:99</t>
  </si>
  <si>
    <t>areaRadius</t>
  </si>
  <si>
    <t>范围半径</t>
  </si>
  <si>
    <t>范围伤害区域大小，此区域内敌方单位都将受到损伤，默认向边缘递减。数值类型为像素，大小算法为半径，铁锈内地块一格长为20像素。</t>
  </si>
  <si>
    <t>areaRadius:99</t>
  </si>
  <si>
    <t>areaDamageNoFalloff</t>
  </si>
  <si>
    <t>范围伤害不衰减</t>
  </si>
  <si>
    <t>默认false.为true时范围伤害不再向边缘递减。</t>
  </si>
  <si>
    <t>areaDamageNoFalloff:true</t>
  </si>
  <si>
    <t>areaRadiusFromEdge</t>
  </si>
  <si>
    <t>范围伤害从边缘计算</t>
  </si>
  <si>
    <t>范围伤害将从单位的边缘计算，而不是默认的中心计算。主要用于攻击大型单位。</t>
  </si>
  <si>
    <t>areaRadiusFromEdge:true</t>
  </si>
  <si>
    <t>areaExpandTime</t>
  </si>
  <si>
    <t>范围扩展时间</t>
  </si>
  <si>
    <t>将区域伤害变为爆炸波向边缘扩散。效果如核抛射体。</t>
  </si>
  <si>
    <t>areaExpandTime:15</t>
  </si>
  <si>
    <t>areaHitAirAndLandAtSameTime</t>
  </si>
  <si>
    <t>范围武器同时攻击空中和地面</t>
  </si>
  <si>
    <t>范围武器将同时打击空中和地面。</t>
  </si>
  <si>
    <t>areaHitAirAndLandAtSameTime:true</t>
  </si>
  <si>
    <t>areaHitUnderwaterAlways</t>
  </si>
  <si>
    <t>范围武器可攻击深海</t>
  </si>
  <si>
    <t>范围武器将可以打击深海单位如潜艇。</t>
  </si>
  <si>
    <t>areaHitUnderwaterAlways:true</t>
  </si>
  <si>
    <t>areaIgnoreUnitsCloserThan</t>
  </si>
  <si>
    <t>范围伤害忽略区域</t>
  </si>
  <si>
    <t>小于此范围的单位不会受到攻击影响。需要比areaRadius小，否则造不成伤害。</t>
  </si>
  <si>
    <t>areaIgnoreUnitsCloserThan:20</t>
  </si>
  <si>
    <t>buildingDamageMultiplier</t>
  </si>
  <si>
    <t>建筑伤害乘数</t>
  </si>
  <si>
    <t>默认为1。对建筑物伤害乘上此数值，用于伤害修正。比如闪电对建筑物伤害低，火焰对建筑物伤害高。</t>
  </si>
  <si>
    <t>buildingDamageMultiplier:0.5</t>
  </si>
  <si>
    <t>shieldDamageMultiplier</t>
  </si>
  <si>
    <t>护盾伤害乘数</t>
  </si>
  <si>
    <t>默认为1。对护盾伤害乘数。如0对护盾不造成伤害，2对护盾造成双倍伤害</t>
  </si>
  <si>
    <t>shieldDamageMultiplier:2</t>
  </si>
  <si>
    <t>shieldDefectionMultiplier</t>
  </si>
  <si>
    <t>护盾阻挡乘数</t>
  </si>
  <si>
    <t>护盾阻挡乘数，填0则可无视护盾，同时对单位和盾造成伤害。
在此代码所填的值为负数时，公式如下：默认伤害+对盾造成的伤害*护盾阻挡乘数的相反数=实际伤害</t>
  </si>
  <si>
    <t>shieldDefectionMultiplier:0</t>
  </si>
  <si>
    <t>hullDamageMultiplier</t>
  </si>
  <si>
    <t>护盾损伤乘数</t>
  </si>
  <si>
    <t>可以用来制造只影响护盾的电磁脉冲武器。0忽略单位，只伤害护盾</t>
  </si>
  <si>
    <t>hullDamageMultiplier:0</t>
  </si>
  <si>
    <t>ignoreParentShootDamageMultiplier</t>
  </si>
  <si>
    <t>忽略父单位射击伤害乘数</t>
  </si>
  <si>
    <t>ignoreParentShootDamageMultiplier:true</t>
  </si>
  <si>
    <t>armourIgnoreAmount</t>
  </si>
  <si>
    <t>无视装甲数量</t>
  </si>
  <si>
    <t>无视目标装甲数量并造成伤害。</t>
  </si>
  <si>
    <t>armourIgnoreAmount:10</t>
  </si>
  <si>
    <t>friendlyFire</t>
  </si>
  <si>
    <t>友伤</t>
  </si>
  <si>
    <t>范围武器有友伤，可以伤害自己单位。铁锈限制不能对盟友有伤害。负数友伤可以用于范围维修，如果修盟友则需要用中立单位实现。参数（false，true，only-ignoreEnemy）（假，真，忽略敌人的友伤）</t>
  </si>
  <si>
    <t>friendlyFire: false/true/only-ignoreEnemy</t>
  </si>
  <si>
    <t>bool/string</t>
  </si>
  <si>
    <t>mutatorX_ifUnitWithTags</t>
  </si>
  <si>
    <t>修正需要标签</t>
  </si>
  <si>
    <t>伤害修正所需标签，仅对携带标签单位有效。否则为原始伤害。</t>
  </si>
  <si>
    <t>mutator???？？？_ifUnitWithTags: AAA</t>
  </si>
  <si>
    <t>mutatorX_ifUnitWithoutTags</t>
  </si>
  <si>
    <t>修正除此标签</t>
  </si>
  <si>
    <t>伤害修正除此标签外有效。</t>
  </si>
  <si>
    <t>mutator114514_ifUnitWithoutTags: strongArmour</t>
  </si>
  <si>
    <t>mutatorX_directDamageMultiplier</t>
  </si>
  <si>
    <t>修正直接伤害</t>
  </si>
  <si>
    <t>伤害修正,直接伤害(directDamage)乘数。比如直接伤害100，这里填2，对目标就造成200伤害。</t>
  </si>
  <si>
    <t>mutatorABC_directDamageMultiplier:2</t>
  </si>
  <si>
    <t>mutatorX_areaDamageMultiplier</t>
  </si>
  <si>
    <t>修正范围伤害</t>
  </si>
  <si>
    <t>伤害修正,范围伤害(areaDamage)乘数。比如直接伤害100，这里填2，对目标就造成200伤害。</t>
  </si>
  <si>
    <t>mutator解_areaDamageMultiplier:0.5</t>
  </si>
  <si>
    <t>mutatorX_changedExplodeEffect</t>
  </si>
  <si>
    <t>修正命中效果</t>
  </si>
  <si>
    <t>如果此修正处于有效状态，则更改爆炸效果。</t>
  </si>
  <si>
    <t>mutator疑_changedExplodeEffect:custom:small</t>
  </si>
  <si>
    <t>mutatorX_addResourcesDirectHit</t>
  </si>
  <si>
    <t>修正直接添加资源</t>
  </si>
  <si>
    <t>伤害修正,用于直接伤害(directDamage)，给目标添加指定资源。用途如给目标资源后，目标检测自身资源然后禁止移动。</t>
  </si>
  <si>
    <t>mutator一个_addResourcesDirectHit:shibaMove=1</t>
  </si>
  <si>
    <t>resource</t>
  </si>
  <si>
    <t>mutatorX_addResourcesAreaHit</t>
  </si>
  <si>
    <t>修正区域添加资源</t>
  </si>
  <si>
    <t>伤害修正,用于范围伤害(areaDamage)，给目标添加指定资源。</t>
  </si>
  <si>
    <t>mutator时_addResourcesAreaHit:shibaMove=1</t>
  </si>
  <si>
    <t>运动</t>
  </si>
  <si>
    <t>targetGround</t>
  </si>
  <si>
    <t>目标为地面</t>
  </si>
  <si>
    <t>抛射体瞄准并攻击目标所在的地面，而不是追踪目标。直接伤害(directDamage)将会失效，需要使用areaDamage和areaRadius。</t>
  </si>
  <si>
    <t>targetGround:true</t>
  </si>
  <si>
    <t>targetGroundSpread</t>
  </si>
  <si>
    <t>目标为地面散布</t>
  </si>
  <si>
    <t>填数值，用于目标为地面时随机造成偏差效果</t>
  </si>
  <si>
    <t>targetGroundSpread:15</t>
  </si>
  <si>
    <t>targetGround_includeTargetHeight</t>
  </si>
  <si>
    <t>目标为地面包括目标高度</t>
  </si>
  <si>
    <t>区域影响AA武器</t>
  </si>
  <si>
    <t>targetGround_includeTargetHeight:true</t>
  </si>
  <si>
    <t>targetGroundHeightOffset</t>
  </si>
  <si>
    <t>目标为地面高度偏移</t>
  </si>
  <si>
    <t>在目标上方或下方射击。可能对分裂和落下的抛射体有用。</t>
  </si>
  <si>
    <t>targetGroundHeightOffset:10</t>
  </si>
  <si>
    <t>speed</t>
  </si>
  <si>
    <t>速度</t>
  </si>
  <si>
    <t>抛射体飞行速度，单位是每帧飞行像素。铁锈地块1格20像素，填1则每秒飞行3格。</t>
  </si>
  <si>
    <t>speed:2</t>
  </si>
  <si>
    <t>targetSpeed</t>
  </si>
  <si>
    <t>到达速度</t>
  </si>
  <si>
    <t>加速到这个速度</t>
  </si>
  <si>
    <t>targetSpeed:8</t>
  </si>
  <si>
    <t>targetSpeedAcceleration</t>
  </si>
  <si>
    <t>加速度</t>
  </si>
  <si>
    <t>加速度，控制targetSpeed的速度提升</t>
  </si>
  <si>
    <t>targetSpeedAcceleration:1</t>
  </si>
  <si>
    <t>ballistic</t>
  </si>
  <si>
    <t>弹道</t>
  </si>
  <si>
    <t>弹道导抛射体效果，使抛射体先飞向空中并向下飞，而不是走直线。</t>
  </si>
  <si>
    <t>ballistic:true</t>
  </si>
  <si>
    <t>ballistic_delaymove_height</t>
  </si>
  <si>
    <t>弹道垂直飞行高度</t>
  </si>
  <si>
    <t>弹道导抛射体发射初期效果，决定弹道一开始先升高多少，再斜向爬升到最高过度。</t>
  </si>
  <si>
    <t>ballistic_delaymove_height:1</t>
  </si>
  <si>
    <t>ballistic_height</t>
  </si>
  <si>
    <t>弹道高度</t>
  </si>
  <si>
    <t>弹道最终高度。</t>
  </si>
  <si>
    <t>ballistic_height:15</t>
  </si>
  <si>
    <t>speedSpread</t>
  </si>
  <si>
    <t>速度散布</t>
  </si>
  <si>
    <t>随机改变抛射体初始速度</t>
  </si>
  <si>
    <t>speedSpread:1</t>
  </si>
  <si>
    <t>instant</t>
  </si>
  <si>
    <t>瞬间命中</t>
  </si>
  <si>
    <t>开火时立即击中目标,用于激光、闪电、波束。</t>
  </si>
  <si>
    <t>instant:true</t>
  </si>
  <si>
    <t>instantReuseLast</t>
  </si>
  <si>
    <t>瞬间命中回收最后抛射体</t>
  </si>
  <si>
    <t>用于激光和闪电。激光或闪电命中后还会存在一段时间，当此抛射体命中后，清除上一个抛射体效果。使得只有一个抛射体存在。如使用高频射速变成光束武器，而不是瞎眼叠加。</t>
  </si>
  <si>
    <t>instantReuseLast:true</t>
  </si>
  <si>
    <t>instantReuseLast_alsoChangeTurretAim</t>
  </si>
  <si>
    <t>命中回收抛射体且改变瞄准</t>
  </si>
  <si>
    <t>使炮塔瞄准受到命中目标扫描效果的影响，对光束武器有用</t>
  </si>
  <si>
    <t>instantReuseLast_alsoChangeTurretAim:true</t>
  </si>
  <si>
    <t>instantReuseLast_keepAreaDamageList</t>
  </si>
  <si>
    <t>命中回收抛射体区域伤害列表</t>
  </si>
  <si>
    <t>瞬间命中并回收最后的抛射体并且保持区域伤害列表，默认false,保持列表是1.13的正常行为，造成区域伤害不会第二次生效，但不是很有用。只有当您想要旧的行为时才使用这个。</t>
  </si>
  <si>
    <t>instantReuseLast_keepAreaDamageList:false</t>
  </si>
  <si>
    <t>disableLeadTargeting</t>
  </si>
  <si>
    <t>禁用预判</t>
  </si>
  <si>
    <t>瞄准移动目标时，禁用预判计算。默认为false。</t>
  </si>
  <si>
    <t>disableLeadTargeting:true</t>
  </si>
  <si>
    <t>leadTargetingSpeedCalculation</t>
  </si>
  <si>
    <t>预判计算</t>
  </si>
  <si>
    <t>用于使用targetGround时预判计算。目标计算的预期速度。默认为“targetSpeed”。如果设置则基于speed.</t>
  </si>
  <si>
    <t>leadTargetingSpeedCalculation:0.5</t>
  </si>
  <si>
    <t>initialUnguidedSpeedHeight</t>
  </si>
  <si>
    <t>初始非制导垂直速度</t>
  </si>
  <si>
    <t>设置抛射体和地面间的垂直速度，利用gravity制造出平滑的抛物线。比较迷，填1左右，重力可以不填。</t>
  </si>
  <si>
    <t>initialUnguidedSpeedHeight:1</t>
  </si>
  <si>
    <t>initialUnguidedSpeedX</t>
  </si>
  <si>
    <t>初始非相对制导速度X</t>
  </si>
  <si>
    <t>让抛射体以弧线形式移动,负数向左，正数向右。</t>
  </si>
  <si>
    <t>initialUnguidedSpeedX:3</t>
  </si>
  <si>
    <t>initialUnguidedSpeedY</t>
  </si>
  <si>
    <t>初始非相对制导速度Y</t>
  </si>
  <si>
    <t>修改抛射体的高度，正数向下，负数向上。</t>
  </si>
  <si>
    <t>initialUnguidedSpeedY:3</t>
  </si>
  <si>
    <t>gravity</t>
  </si>
  <si>
    <t>重力</t>
  </si>
  <si>
    <t>控制地面的抛射体丸的拉力。与initialUnguidedSpeedHeight一起使用。</t>
  </si>
  <si>
    <t>gravity:0.5</t>
  </si>
  <si>
    <t>trueGravity</t>
  </si>
  <si>
    <t>绝对向重力</t>
  </si>
  <si>
    <t>抛射体在靠近单位时因为有该key会低空飞行一段距离，但注意不要填的太大，否则会直接往屏幕下方飞走。</t>
  </si>
  <si>
    <t>trueGravity:0.5</t>
  </si>
  <si>
    <t>转弯速度</t>
  </si>
  <si>
    <t>限制抛射体的转弯速度，更好的做出弹道效果。</t>
  </si>
  <si>
    <t>turnSpeed:2</t>
  </si>
  <si>
    <t>turnSpeedWhenNear</t>
  </si>
  <si>
    <t>靠近时转弯速度</t>
  </si>
  <si>
    <t>用于当射抛射体非常接近目标时，默认禁用转弯速度以使其能够命中。</t>
  </si>
  <si>
    <t xml:space="preserve">turnSpeedWhenNear:1.25
</t>
  </si>
  <si>
    <t>wobbleAmplitude</t>
  </si>
  <si>
    <t>摆动幅度</t>
  </si>
  <si>
    <t>抛射体飞行中摆动的剧烈程度。</t>
  </si>
  <si>
    <t>wobbleAmplitude:0.2</t>
  </si>
  <si>
    <t>wobbleFrequency</t>
  </si>
  <si>
    <t>摆动频率</t>
  </si>
  <si>
    <t>抛射体飞行中摆动的频率。</t>
  </si>
  <si>
    <t>wobbleFrequency:0.8</t>
  </si>
  <si>
    <t>pushForce</t>
  </si>
  <si>
    <t>推动力量</t>
  </si>
  <si>
    <t>抛射体丸所携带的“重量”,质量越大，推力越大。推动（或以负值拉动）被击中的单位。除以目标质量</t>
  </si>
  <si>
    <t>pushForce:2</t>
  </si>
  <si>
    <t>pushVelocity</t>
  </si>
  <si>
    <t>推进速度</t>
  </si>
  <si>
    <t>抛射体爆炸后可用推动单位,推力相对于方向的速度，推动（或以负值拉动）被击中的单位。忽略目标质量</t>
  </si>
  <si>
    <t>pushVelocity:2</t>
  </si>
  <si>
    <t>moveWithParent</t>
  </si>
  <si>
    <t>随父物体移动</t>
  </si>
  <si>
    <t>当父单位移动时也移动抛射体。对光束效果武器很有用。</t>
  </si>
  <si>
    <t>moveWithParent:true</t>
  </si>
  <si>
    <t>sweepOffset</t>
  </si>
  <si>
    <t>扫描偏移</t>
  </si>
  <si>
    <t>扫描偏移，用于制作类似于两栖护盾坦克的激光武器。对光束效果很有用。</t>
  </si>
  <si>
    <t>sweepOffset:10</t>
  </si>
  <si>
    <t>sweepSpeed</t>
  </si>
  <si>
    <t>扫描速度</t>
  </si>
  <si>
    <t>扫描速度，用于制作类似于两栖护盾坦克的激光武器。对光束效果很有用。</t>
  </si>
  <si>
    <t>sweepSpeed:10</t>
  </si>
  <si>
    <t>sweepOffsetFromTargetRadius</t>
  </si>
  <si>
    <t>扫描偏移目标半径</t>
  </si>
  <si>
    <t>以目标半径作为扫描偏移量乘数，用于制作类似于两栖护盾坦克的激光武器。对光束效果很有用。</t>
  </si>
  <si>
    <t>sweepOffsetFromTargetRadius:0.4</t>
  </si>
  <si>
    <t>retargetingInFlight</t>
  </si>
  <si>
    <t>重新瞄准在飞行时</t>
  </si>
  <si>
    <t>在飞行过程中重新瞄准一个新的目标，非常适合投掷式武器和相互碰撞的抛射体</t>
  </si>
  <si>
    <t>retargetingInFlight:true</t>
  </si>
  <si>
    <t>retargetingInFlightSearchDelay</t>
  </si>
  <si>
    <t>重新瞄准在飞行时搜索延迟</t>
  </si>
  <si>
    <t>寻找新目标之间的时间。默认5</t>
  </si>
  <si>
    <t>retargetingInFlightSearchDelay:10</t>
  </si>
  <si>
    <t>float/time</t>
  </si>
  <si>
    <t>retargetingInFlightSearchRange</t>
  </si>
  <si>
    <t>重新瞄准在飞行时搜索范围</t>
  </si>
  <si>
    <t>重新选择目标的范围。默认值120</t>
  </si>
  <si>
    <t>retargetingInFlightSearchRange:45</t>
  </si>
  <si>
    <t>retargetingInFlightSearchLead</t>
  </si>
  <si>
    <t>重新瞄准在飞行时预判</t>
  </si>
  <si>
    <t>引导射抛射体试图击中目标。默认15</t>
  </si>
  <si>
    <t>retargetingInFlightSearchLead:1</t>
  </si>
  <si>
    <t>retargetingInFlightSearchOnlyTags</t>
  </si>
  <si>
    <t>重新瞄准在飞行时针对标签</t>
  </si>
  <si>
    <t>只针对具有这些标签的单位进行重定向。</t>
  </si>
  <si>
    <t>retargetingInFlightSearchOnlyTags:tg_project</t>
  </si>
  <si>
    <t>tag ref</t>
  </si>
  <si>
    <t>颜色</t>
  </si>
  <si>
    <t>使用十六进制值对该抛射体重新着色，它也决定了激光颜色，颜色格式为#AARRGGBB。</t>
  </si>
  <si>
    <t>color: #bebe50</t>
  </si>
  <si>
    <t>teamColorRatio</t>
  </si>
  <si>
    <t>将团队颜色混合到抛射体颜色中，填0-1。</t>
  </si>
  <si>
    <t>teamColorRatio:0.5</t>
  </si>
  <si>
    <t>teamColorRatio_sourceRatio</t>
  </si>
  <si>
    <t>阵营色色相比例</t>
  </si>
  <si>
    <t>将团队颜色混合到抛射体颜色中与原色比例，默认为(1-teamColorRatio)</t>
  </si>
  <si>
    <t>teamColorRatio_sourceRatio:0.5</t>
  </si>
  <si>
    <t>隐藏</t>
  </si>
  <si>
    <t>隐藏抛射体图像。</t>
  </si>
  <si>
    <t>使用自定义图片。覆盖drawType和frame</t>
  </si>
  <si>
    <t>image:233.png</t>
  </si>
  <si>
    <t>shadowFrame</t>
  </si>
  <si>
    <t>阴影帧</t>
  </si>
  <si>
    <t>定义哪一帧是单位的阴影</t>
  </si>
  <si>
    <t>shadowFrame:1</t>
  </si>
  <si>
    <t>shadowImage</t>
  </si>
  <si>
    <t>使用自定义图片给抛射体加阴影。</t>
  </si>
  <si>
    <t>shadowImage:SHADOW:PRO_fd.png</t>
  </si>
  <si>
    <t>drawType</t>
  </si>
  <si>
    <t>绘制类型</t>
  </si>
  <si>
    <t>使用内置抛射体图像。 0:projectiles.png 1:projectiles_large.png 2:projectiles2.png</t>
  </si>
  <si>
    <t>drawType:1</t>
  </si>
  <si>
    <t>drawSize</t>
  </si>
  <si>
    <t>绘制大小</t>
  </si>
  <si>
    <t>缩放抛射体大小。默认为1</t>
  </si>
  <si>
    <t>drawSize:0.5</t>
  </si>
  <si>
    <t>frame</t>
  </si>
  <si>
    <t>帧</t>
  </si>
  <si>
    <t>使用的内置图像帧，编号从零开始。和drawType结合使用。</t>
  </si>
  <si>
    <t>frame:1</t>
  </si>
  <si>
    <t>hitSound</t>
  </si>
  <si>
    <t>打击音效</t>
  </si>
  <si>
    <t>启用命中音效，默认true</t>
  </si>
  <si>
    <t>hitSound:true</t>
  </si>
  <si>
    <t>explodeEffect</t>
  </si>
  <si>
    <t>爆炸效果</t>
  </si>
  <si>
    <t>抛射体爆炸效果</t>
  </si>
  <si>
    <t>explodeEffect: smallExplosion, CUSTOM:myExplodeEffect</t>
  </si>
  <si>
    <t>effect ref list</t>
  </si>
  <si>
    <t>explodeEffectOnShield</t>
  </si>
  <si>
    <t>护盾上爆炸效果</t>
  </si>
  <si>
    <t>如果目标上有护盾，则使用此效果</t>
  </si>
  <si>
    <t>explodeEffectOnShield:small</t>
  </si>
  <si>
    <t>drawUnderUnits</t>
  </si>
  <si>
    <t>绘制与单位下</t>
  </si>
  <si>
    <t>绘制于单位下方。</t>
  </si>
  <si>
    <t>drawUnderUnits:true</t>
  </si>
  <si>
    <t>effectOnCreate</t>
  </si>
  <si>
    <t>创建时效果</t>
  </si>
  <si>
    <t>创建时效果，会追随抛射体。</t>
  </si>
  <si>
    <t>effectOnCreate:large</t>
  </si>
  <si>
    <t>shouldRevealFog</t>
  </si>
  <si>
    <t>揭开迷雾</t>
  </si>
  <si>
    <t>抛射体在爆炸时向玩家揭开迷雾。</t>
  </si>
  <si>
    <t>shouldRevealFog:true</t>
  </si>
  <si>
    <t>alwaysVisibleInFog</t>
  </si>
  <si>
    <t>迷雾中显示</t>
  </si>
  <si>
    <t>抛射体总是在迷雾中显示。</t>
  </si>
  <si>
    <t>alwaysVisibleInFog:true</t>
  </si>
  <si>
    <t>nukeWeapon</t>
  </si>
  <si>
    <t>核武器</t>
  </si>
  <si>
    <t>发射时在迷您地图上显示。还有其他一些效果。</t>
  </si>
  <si>
    <t>nukeWeapon:true</t>
  </si>
  <si>
    <t>trailEffect</t>
  </si>
  <si>
    <t>尾焰</t>
  </si>
  <si>
    <t>设置为true时为默认的尾焰。但也可以指向任何自定义效果，或使用内置效果。</t>
  </si>
  <si>
    <t>trailEffect:true</t>
  </si>
  <si>
    <t>bool/effect</t>
  </si>
  <si>
    <t>trailEffectRate</t>
  </si>
  <si>
    <t>尾焰频率</t>
  </si>
  <si>
    <t>尾焰产生频率，默认为3</t>
  </si>
  <si>
    <t>trailEffectRate:8</t>
  </si>
  <si>
    <t>lightSize</t>
  </si>
  <si>
    <t>闪光大小</t>
  </si>
  <si>
    <t>抛射体光照大小,单位半径是地块格子</t>
  </si>
  <si>
    <t>lightSize:2</t>
  </si>
  <si>
    <t>lightColor</t>
  </si>
  <si>
    <t>闪光颜色</t>
  </si>
  <si>
    <t>抛射体光照颜色,不决定激光颜色，激光由color决定。</t>
  </si>
  <si>
    <t>lightColor: #ffe92b</t>
  </si>
  <si>
    <t>lightCastOnGround</t>
  </si>
  <si>
    <t>闪光映射到地面</t>
  </si>
  <si>
    <t>将闪光效果映射到地面，如火炮的光和抛射体是分离的。</t>
  </si>
  <si>
    <t>lightCastOnGround:true</t>
  </si>
  <si>
    <t>largeHitEffect</t>
  </si>
  <si>
    <t>大的打击效果</t>
  </si>
  <si>
    <t>为true时会产生大的爆炸效果和声音（仅用于装饰），设为false时会禁用范围武器的冲击波效果。</t>
  </si>
  <si>
    <t>largeHitEffect:true</t>
  </si>
  <si>
    <t>lightingEffect</t>
  </si>
  <si>
    <t>闪电效果</t>
  </si>
  <si>
    <t>将抛射体图像修改为闪电，一般需要instant(瞬间命中)搭配.</t>
  </si>
  <si>
    <t>lightingEffect:true</t>
  </si>
  <si>
    <t>laserEffect</t>
  </si>
  <si>
    <t>激光效果</t>
  </si>
  <si>
    <t>将抛射体图像修改为激光。</t>
  </si>
  <si>
    <t>laserEffect:true</t>
  </si>
  <si>
    <t>beamImage</t>
  </si>
  <si>
    <t>波束图像</t>
  </si>
  <si>
    <t>用于激光效果的主体图像，图像会被复制为多份显示。例如可用于做红警中的正弦波状辐射武器。因为本质是图像拼接,所以长度限制不能小于20</t>
  </si>
  <si>
    <t>beamImage:shibaray.png</t>
  </si>
  <si>
    <t>beamImageOffsetRate</t>
  </si>
  <si>
    <t>波束偏移频率</t>
  </si>
  <si>
    <t>波束图像的移动频率。</t>
  </si>
  <si>
    <t>beamImageOffsetRate:0</t>
  </si>
  <si>
    <t>beamImageStart</t>
  </si>
  <si>
    <t>波束开始图像</t>
  </si>
  <si>
    <t>光束动画开火端效果图像</t>
  </si>
  <si>
    <t>beamImageStart:beam1_start.png</t>
  </si>
  <si>
    <t>beamImageEnd</t>
  </si>
  <si>
    <t>波束命中图像</t>
  </si>
  <si>
    <t>光束动画命中端效果图像</t>
  </si>
  <si>
    <t>beamImageEnd:beam1_end.png</t>
  </si>
  <si>
    <t>beamImageStartRotated</t>
  </si>
  <si>
    <t>波束始端旋转</t>
  </si>
  <si>
    <t>光束动画开火端效果图像是否以炮塔角度旋转旋转,默认false,不旋转.</t>
  </si>
  <si>
    <t>beamImageStartRotated:true</t>
  </si>
  <si>
    <t>beamImageEndRotated</t>
  </si>
  <si>
    <t>波束末端旋转</t>
  </si>
  <si>
    <t>光束动画命中端效果图像是否旋转,默认false.</t>
  </si>
  <si>
    <t>beamImageEndRotated:true</t>
  </si>
  <si>
    <t>[movement]</t>
  </si>
  <si>
    <t>movementType</t>
  </si>
  <si>
    <t>运动类型</t>
  </si>
  <si>
    <t>定义单位将能够通过的地形以及与单位类型相关的其他属性。类型：无、陆地、建筑、空中、水面、两栖、跨悬崖、跨水和悬崖
NONE、LAND、BUILDING、AIR、WATER、HOVER、OVER_CLIFF、OVER_CLIFF_WATER</t>
  </si>
  <si>
    <t>movementType: LAND</t>
  </si>
  <si>
    <t>moveSpeed</t>
  </si>
  <si>
    <t>移动速度</t>
  </si>
  <si>
    <t>单位的最大移动速度。</t>
  </si>
  <si>
    <t>moveSpeed: 1.2</t>
  </si>
  <si>
    <t>moveAccelerationSpeed</t>
  </si>
  <si>
    <t>定义单位加速到最大速度的加速度。</t>
  </si>
  <si>
    <t>moveAccelerationSpeed: 0.07</t>
  </si>
  <si>
    <t>moveDecelerationSpeed</t>
  </si>
  <si>
    <t>减速度</t>
  </si>
  <si>
    <t>与加速度相对应得减速度。不要设的太小。</t>
  </si>
  <si>
    <t>moveDecelerationSpeed: 0.17</t>
  </si>
  <si>
    <t>reverseSpeedPercentage</t>
  </si>
  <si>
    <t>倒车速度比率</t>
  </si>
  <si>
    <t>0.6默认值。超过0.4会在短距离（以40％的速度）时反转。 如果设置为1前进后退则不转弯。 填0时禁止倒退，必须旋转。</t>
  </si>
  <si>
    <t>reverseSpeedPercentage: 0</t>
  </si>
  <si>
    <t>landOnGround</t>
  </si>
  <si>
    <t>降落到地面</t>
  </si>
  <si>
    <t>闲置时使飞行器降落。可以填true/flase/onlyIdle</t>
  </si>
  <si>
    <t>landOnGround: false</t>
  </si>
  <si>
    <t>bool/onlyIdle</t>
  </si>
  <si>
    <t>targetHeight</t>
  </si>
  <si>
    <t>到达高度</t>
  </si>
  <si>
    <t>默认为0，但如果运动类型为空军则默认为35。</t>
  </si>
  <si>
    <t>targetHeight: 25</t>
  </si>
  <si>
    <t>targetHeightDrift</t>
  </si>
  <si>
    <t>高度浮动</t>
  </si>
  <si>
    <t>默认0，空军1.5.单位高度上下浮动高度。</t>
  </si>
  <si>
    <t>targetHeightDrift: 1</t>
  </si>
  <si>
    <t>startingHeightOffset</t>
  </si>
  <si>
    <t>创建时高度偏移</t>
  </si>
  <si>
    <t>单位在创建时高度。负数上升比较慢。</t>
  </si>
  <si>
    <t>startingHeightOffset:100</t>
  </si>
  <si>
    <t>maxTurnSpeed</t>
  </si>
  <si>
    <t>最大转弯速度。</t>
  </si>
  <si>
    <t>maxTurnSpeed:3</t>
  </si>
  <si>
    <t>turnAcceleration</t>
  </si>
  <si>
    <t>转弯加速度</t>
  </si>
  <si>
    <t>转弯加速度。</t>
  </si>
  <si>
    <t>turnAcceleration:1</t>
  </si>
  <si>
    <t>moveSlidingMode</t>
  </si>
  <si>
    <t>移动后滑动</t>
  </si>
  <si>
    <t>移动后滑动，相当于惯性。和单位的速度，加速度，转弯速度有关。True时受推力影响</t>
  </si>
  <si>
    <t>moveSlidingMode:true</t>
  </si>
  <si>
    <t>moveIgnoringBody</t>
  </si>
  <si>
    <t>移动忽略转向</t>
  </si>
  <si>
    <t>true效果即不必转弯便能运动，false效果即原地转弯完成才能运动</t>
  </si>
  <si>
    <t>moveIgnoringBody:true</t>
  </si>
  <si>
    <t>moveSlidingDir</t>
  </si>
  <si>
    <t>移动滑动角度</t>
  </si>
  <si>
    <t>移动滑动角度。无明显效果。</t>
  </si>
  <si>
    <t>moveSlidingDir:100</t>
  </si>
  <si>
    <t>joinsGroupFormations</t>
  </si>
  <si>
    <t>加入队形</t>
  </si>
  <si>
    <t>将单位组成小队。铁锈调集大量部队时将其组成方阵以降低运算压力，但队形可能影响速度或浪费时间。禁用后则不参与组队。</t>
  </si>
  <si>
    <t>joinsGroupFormations:false</t>
  </si>
  <si>
    <t>ignoreMoveOrders</t>
  </si>
  <si>
    <t>忽略移动指令</t>
  </si>
  <si>
    <t>忽略移动指令,此代码强制要求移动速度为0，适用例子：红警中单位部署忽略移动指令。</t>
  </si>
  <si>
    <t>ignoreMoveOrders:true</t>
  </si>
  <si>
    <t>moveYAxisScaling</t>
  </si>
  <si>
    <t>Y轴速度比例</t>
  </si>
  <si>
    <t>垂直方向单位移动速度乘数，适用于2.5D，也就是用铁锈模拟3D。典型如红警。</t>
  </si>
  <si>
    <t>moveYAxisScaling:15.1</t>
  </si>
  <si>
    <t>slowDeathFall</t>
  </si>
  <si>
    <t>死亡缓慢降落</t>
  </si>
  <si>
    <t>为"true"时，被击毁时降落速度减慢，并且向前滑行一段距离。注意，必须设置死亡图像，不然坠落后会显示生前图像，而不是直接炸掉。</t>
  </si>
  <si>
    <t>slowDeathFall: true</t>
  </si>
  <si>
    <t>slowDeathFallSmoke</t>
  </si>
  <si>
    <t>死亡降落烟</t>
  </si>
  <si>
    <t>在死亡坠落的时候添加烟作为尾迹</t>
  </si>
  <si>
    <t>slowDeathFallSmoke: true</t>
  </si>
  <si>
    <t>heightChangeRate</t>
  </si>
  <si>
    <t>高度改变速率</t>
  </si>
  <si>
    <t>单位改变高度的频率，无论是转换还是浮动</t>
  </si>
  <si>
    <t>heightChangeRate: 3</t>
  </si>
  <si>
    <t>fallingAcceleration</t>
  </si>
  <si>
    <t>降落加速度</t>
  </si>
  <si>
    <t>单位降落时的加速度</t>
  </si>
  <si>
    <t>fallingAcceleration:1</t>
  </si>
  <si>
    <t>fallingAccelerationDead</t>
  </si>
  <si>
    <t>坠毁加速度</t>
  </si>
  <si>
    <t>单位被摧毁时降落的加速度</t>
  </si>
  <si>
    <t>fallingAccelerationDead:1</t>
  </si>
  <si>
    <t>AI</t>
  </si>
  <si>
    <t>[ai]</t>
  </si>
  <si>
    <t>描述  这些代码不一定都有效</t>
  </si>
  <si>
    <t>useAsBuilder</t>
  </si>
  <si>
    <t>用作建造者</t>
  </si>
  <si>
    <t>作为建造者。如果单位可以建造或维修建筑物，则设置为true。 默认为[core] isBuilder。</t>
  </si>
  <si>
    <t>useAsBuilder:true</t>
  </si>
  <si>
    <t>useAsTransport</t>
  </si>
  <si>
    <t>用作运输</t>
  </si>
  <si>
    <t>作为载具。如果单位可以运输单位，则默认为true.如果您的单位可以运输又能攻击，则AI可能囤积起来而不攻击，则需要设置false.</t>
  </si>
  <si>
    <t>useAsTransport:true</t>
  </si>
  <si>
    <t>useAsAttacker</t>
  </si>
  <si>
    <t>用作攻击者</t>
  </si>
  <si>
    <t>是否作为攻击者。</t>
  </si>
  <si>
    <t>useAsAttacker:true</t>
  </si>
  <si>
    <t>useAsHarvester</t>
  </si>
  <si>
    <t>用作采集</t>
  </si>
  <si>
    <t>作为采集者。如果单位可以回收资源，则默认为true</t>
  </si>
  <si>
    <t>useAsHarvester:true</t>
  </si>
  <si>
    <t>disableUse</t>
  </si>
  <si>
    <t>禁用</t>
  </si>
  <si>
    <t>禁止AI建立这个单位或建筑物</t>
  </si>
  <si>
    <t>disableUse:true</t>
  </si>
  <si>
    <t>ai_upgradePriority</t>
  </si>
  <si>
    <t>AI升级优先级</t>
  </si>
  <si>
    <t>升级优先级。默认值为0.06。 设置在0-1之间，越高，表示AI更有可能先于其他升级该单位。</t>
  </si>
  <si>
    <t>ai_upgradePriority:0.1</t>
  </si>
  <si>
    <t>buildPriority</t>
  </si>
  <si>
    <t>建造优先级</t>
  </si>
  <si>
    <t>建造优先级，填0-1。 越大越AI越可能造。Luke的的第一座土地工厂使用0.8，空中工厂使用0.48，第一炮塔使用0.47。</t>
  </si>
  <si>
    <t>buildPriority:0.6</t>
  </si>
  <si>
    <t>noneInBaseExtraPriority</t>
  </si>
  <si>
    <t>基地内没有时优先级</t>
  </si>
  <si>
    <t>如果AI基地中不存在此单位，则增加其优先级。</t>
  </si>
  <si>
    <t>noneInBaseExtraPriority:0.2</t>
  </si>
  <si>
    <t>noneGlobalExtraPriority</t>
  </si>
  <si>
    <t>全图没有时优先级</t>
  </si>
  <si>
    <t>如果此单位在地图上的任何位置都不存在，则增加其优先级。</t>
  </si>
  <si>
    <t>noneGlobalExtraPriority:0.4</t>
  </si>
  <si>
    <t>nonInBaseExtraPriority</t>
  </si>
  <si>
    <t>基地内没有时的优先级</t>
  </si>
  <si>
    <t>nonGlobalExtraPriority</t>
  </si>
  <si>
    <t>全图没有时的优先级</t>
  </si>
  <si>
    <t>recommendedInEachBaseNum</t>
  </si>
  <si>
    <t>推荐在每个基地的数量</t>
  </si>
  <si>
    <t>推荐在每个基地中的数量。</t>
  </si>
  <si>
    <t>recommendedInEachBaseNum:5</t>
  </si>
  <si>
    <t>recommendedInEachBasePriorityIfUnmet</t>
  </si>
  <si>
    <t>推荐条件不满足时优先级</t>
  </si>
  <si>
    <t>如果未满足，推荐在基地中的优先级。</t>
  </si>
  <si>
    <t>recommendedInEachBasePriorityIfUnmet:0.2</t>
  </si>
  <si>
    <t>upgradedFrom</t>
  </si>
  <si>
    <t>升级自</t>
  </si>
  <si>
    <t>创建到另一个单位的链接，用于保留同一单位已升级和未升级的计数。</t>
  </si>
  <si>
    <t>upgradedFrom:炮塔</t>
  </si>
  <si>
    <t>maxGlobal</t>
  </si>
  <si>
    <t>全图最大数量</t>
  </si>
  <si>
    <t>全图最多拥有的数量。</t>
  </si>
  <si>
    <t>maxGlobal:10</t>
  </si>
  <si>
    <t>maxEachBase</t>
  </si>
  <si>
    <t>每个基地最大数量</t>
  </si>
  <si>
    <t>每个基地最多拥有的数量。</t>
  </si>
  <si>
    <t>maxEachBase:1</t>
  </si>
  <si>
    <t>notPassivelyTargetedByOtherUnits</t>
  </si>
  <si>
    <t>不被动地被其他单位瞄准</t>
  </si>
  <si>
    <t>允许更好的墙壁建筑物，默认情况下，这些建筑物不会瞄准目标。用于围墙（当canAttack=true时使用这条代码会报错）</t>
  </si>
  <si>
    <t>notPassivelyTargetedByOtherUnits:true</t>
  </si>
  <si>
    <t>lowPriorityTargetForOtherUnits</t>
  </si>
  <si>
    <t>低优先级目标</t>
  </si>
  <si>
    <t>其它单位不优先考虑此单位。用于围墙</t>
  </si>
  <si>
    <t>lowPriorityTargetForOtherUnits:true</t>
  </si>
  <si>
    <t>aiTags</t>
  </si>
  <si>
    <t>ai标签</t>
  </si>
  <si>
    <t>采集</t>
  </si>
  <si>
    <t>whenUsingAsHarvester_recommendedInEachBase</t>
  </si>
  <si>
    <t>每个基地此采集者数量</t>
  </si>
  <si>
    <t>当此单位用作采集者时，每个基地推荐的采集者数量。</t>
  </si>
  <si>
    <t>whenUsingAsHarvester_recommendedInEachBase:10</t>
  </si>
  <si>
    <t>whenUsingAsHarvester_recommendedGlobal</t>
  </si>
  <si>
    <t>全地图推荐采集者数量</t>
  </si>
  <si>
    <t>当此单位用作采集者时，全图推荐的采集者数量。</t>
  </si>
  <si>
    <t>whenUsingAsHarvester_recommendedGlobal:20</t>
  </si>
  <si>
    <t>whenUsingAsHarvester_includeOtherHarvesterCounts</t>
  </si>
  <si>
    <t>是否算在采集者计数中</t>
  </si>
  <si>
    <t>当此单位用作采集者时，是否算在其它采集者统计中。</t>
  </si>
  <si>
    <t>whenUsingAsHarvester_includeOtherHarvesterCounts:false</t>
  </si>
  <si>
    <t>onlyUseAsHarvester_ifBaseHasUnitTagged</t>
  </si>
  <si>
    <t>有此标签才作为采集者</t>
  </si>
  <si>
    <t>只有当基地有单位标记时才可以作为采集者使用.</t>
  </si>
  <si>
    <t>onlyUseAsHarvester_ifBaseHasUnitTagged:maplace</t>
  </si>
  <si>
    <t>腿脚/胳膊</t>
  </si>
  <si>
    <t>上限各20个</t>
  </si>
  <si>
    <t>[leg_#] / [arm_#]</t>
  </si>
  <si>
    <t>[leg_1]</t>
  </si>
  <si>
    <t>腿和胳膊有一个区别，腿可以自由活动，但是胳膊是天生就开了锁定运动的</t>
  </si>
  <si>
    <t>设置脚在X轴上的位置。</t>
  </si>
  <si>
    <t>x:15</t>
  </si>
  <si>
    <t>设置脚在Y轴上的位置。</t>
  </si>
  <si>
    <t>y:15</t>
  </si>
  <si>
    <t>alpha</t>
  </si>
  <si>
    <t>不透明度</t>
  </si>
  <si>
    <t>设置腿脚的透明度(建议0-1)</t>
  </si>
  <si>
    <t>alpha:0.2</t>
  </si>
  <si>
    <t>复制与</t>
  </si>
  <si>
    <t>从另一条腿复制。仅需设置一次腿部值时有用</t>
  </si>
  <si>
    <t>copyFrom:1</t>
  </si>
  <si>
    <t>attach_x</t>
  </si>
  <si>
    <t>x轴链接位置</t>
  </si>
  <si>
    <t>在X轴上设置腿部的附着点。</t>
  </si>
  <si>
    <t>attach_x: -15</t>
  </si>
  <si>
    <t>attach_y</t>
  </si>
  <si>
    <t>Y轴链接位置</t>
  </si>
  <si>
    <t>在Y轴上设置腿部的附着点。</t>
  </si>
  <si>
    <t>attach_y: 0</t>
  </si>
  <si>
    <t>rotateSpeed</t>
  </si>
  <si>
    <t>旋转速度</t>
  </si>
  <si>
    <t>设置脚旋转速度，非对称情况下很明显。</t>
  </si>
  <si>
    <t>rotateSpeed:30</t>
  </si>
  <si>
    <t>endDirOffset</t>
  </si>
  <si>
    <t>末端角度偏移值</t>
  </si>
  <si>
    <t>目标脚/末端相对于身体的旋转角度。</t>
  </si>
  <si>
    <t>endDirOffset:45</t>
  </si>
  <si>
    <t>lockMovement</t>
  </si>
  <si>
    <t>锁定运动</t>
  </si>
  <si>
    <t>禁止使用腿脚，将其锁定到主体。用于将行走单位转换为飞行单。</t>
  </si>
  <si>
    <t>lockMovement:true</t>
  </si>
  <si>
    <t>heightSpeed</t>
  </si>
  <si>
    <t>高度速度</t>
  </si>
  <si>
    <t>移动时脚抬高速度和高度。</t>
  </si>
  <si>
    <t>heightSpeed:2</t>
  </si>
  <si>
    <t>腿脚移动速度。</t>
  </si>
  <si>
    <t>moveSpeed:3</t>
  </si>
  <si>
    <t>moveWarmUp</t>
  </si>
  <si>
    <t>移动延迟</t>
  </si>
  <si>
    <t>腿脚移动延迟</t>
  </si>
  <si>
    <t>moveWarmUp:15</t>
  </si>
  <si>
    <t>holdDisMin</t>
  </si>
  <si>
    <t>最小移动距离</t>
  </si>
  <si>
    <t>默认值为7。如果相邻的腿还没有重新移动，则至少移动此距离。</t>
  </si>
  <si>
    <t>holdDisMin:10</t>
  </si>
  <si>
    <t>holdDisMax</t>
  </si>
  <si>
    <t>最大移动距离</t>
  </si>
  <si>
    <t>默认值为16。如果已经移动超过此距离则强制重新放置腿。</t>
  </si>
  <si>
    <t>holdDisMax:40</t>
  </si>
  <si>
    <t>holdDisMin_maxMovingLegs</t>
  </si>
  <si>
    <t>最大移动腿数目</t>
  </si>
  <si>
    <t>最多移动腿数目</t>
  </si>
  <si>
    <t>holdDisMin_maxMovingLegs:4</t>
  </si>
  <si>
    <t>hold_moveOnlyIfFurthest</t>
  </si>
  <si>
    <t>只在最远时保持移动</t>
  </si>
  <si>
    <t>保持移动仅在最远时候。</t>
  </si>
  <si>
    <t>hold_moveOnlyIfFurthest:true</t>
  </si>
  <si>
    <t>holdDisMin_checkNeighbours</t>
  </si>
  <si>
    <t>最小移动距离检查相邻</t>
  </si>
  <si>
    <t>移动最小距离时检查相邻的腿脚。</t>
  </si>
  <si>
    <t>holdDisMin_checkNeighbours:true</t>
  </si>
  <si>
    <t>hardLimit</t>
  </si>
  <si>
    <t>硬性限制</t>
  </si>
  <si>
    <t>默认值为50。强制腿部不要走的超过此数值。最好不要用到。</t>
  </si>
  <si>
    <t>hardLimit:99</t>
  </si>
  <si>
    <t>estimatingPositionMultiplier</t>
  </si>
  <si>
    <t>预测位置乘数</t>
  </si>
  <si>
    <t>默认值为1。根据单位速度预测单位可用的腿脚放置位置。</t>
  </si>
  <si>
    <t>estimatingPositionMultiplier:1</t>
  </si>
  <si>
    <t>hidden</t>
  </si>
  <si>
    <t>hidden:if self.isInWater()</t>
  </si>
  <si>
    <t>image_end</t>
  </si>
  <si>
    <t>末端图像</t>
  </si>
  <si>
    <t>末端图像，相当于脚。</t>
  </si>
  <si>
    <t>image_end:爪子.png</t>
  </si>
  <si>
    <t>image_end_shadow</t>
  </si>
  <si>
    <t>末端图像阴影</t>
  </si>
  <si>
    <t>末端图像阴影。</t>
  </si>
  <si>
    <t>image_end_shadow:SHADOW:爪子.png</t>
  </si>
  <si>
    <t>image_end_teamColors</t>
  </si>
  <si>
    <t>末端图像队伍色</t>
  </si>
  <si>
    <t>末端图像使用阵营色。</t>
  </si>
  <si>
    <t>image_end_teamColors:true</t>
  </si>
  <si>
    <t>image_foot</t>
  </si>
  <si>
    <t>脚图像</t>
  </si>
  <si>
    <t>脚图像，与image_end相同</t>
  </si>
  <si>
    <t>image_foot:爪子.png</t>
  </si>
  <si>
    <t>image_foot_shadow</t>
  </si>
  <si>
    <t>脚图像阴影</t>
  </si>
  <si>
    <t>脚图像阴影。</t>
  </si>
  <si>
    <t>image_foot_shadow:SHADOW:爪子.png</t>
  </si>
  <si>
    <t>image_middle</t>
  </si>
  <si>
    <t>中部图像</t>
  </si>
  <si>
    <t>中部图像，相当于腿。</t>
  </si>
  <si>
    <t>image_middle:腿.png</t>
  </si>
  <si>
    <t>image_leg</t>
  </si>
  <si>
    <t>腿图像</t>
  </si>
  <si>
    <t>腿图像，与image_middle相同</t>
  </si>
  <si>
    <t>image_leg:腿.png</t>
  </si>
  <si>
    <t>liftingHeightOffset</t>
  </si>
  <si>
    <t>离开高度偏移</t>
  </si>
  <si>
    <t>离开时的脚的高度</t>
  </si>
  <si>
    <t>liftingHeightOffset:1.2</t>
  </si>
  <si>
    <t>目标高度</t>
  </si>
  <si>
    <t>最终高度</t>
  </si>
  <si>
    <t>targetHeight:1.5</t>
  </si>
  <si>
    <t>targetHeightRelative</t>
  </si>
  <si>
    <t>相对目标高度</t>
  </si>
  <si>
    <t>相对自身的最终高度</t>
  </si>
  <si>
    <t>targetHeightRelative:1.2</t>
  </si>
  <si>
    <t>image_middle_teamColors</t>
  </si>
  <si>
    <t>腿图像阵营色</t>
  </si>
  <si>
    <t>给腿也用上队伍色</t>
  </si>
  <si>
    <t>image_middle_teamColors:false</t>
  </si>
  <si>
    <t>draw_foot_on_top</t>
  </si>
  <si>
    <t>绘制脚在顶层</t>
  </si>
  <si>
    <t>绘制脚在顶层。</t>
  </si>
  <si>
    <t>draw_foot_on_top:true</t>
  </si>
  <si>
    <t>drawOverBody</t>
  </si>
  <si>
    <t>绘制主体之上</t>
  </si>
  <si>
    <t>绘制在主体之上。</t>
  </si>
  <si>
    <t>drawOverBody:true</t>
  </si>
  <si>
    <t>drawUnderAllUnits</t>
  </si>
  <si>
    <t>绘制所有单位之下</t>
  </si>
  <si>
    <t>绘制所有单位之下。</t>
  </si>
  <si>
    <t>drawUnderAllUnits:true</t>
  </si>
  <si>
    <t>drawDirOffset</t>
  </si>
  <si>
    <t>绘制角度偏移</t>
  </si>
  <si>
    <t>绘制角度偏移。</t>
  </si>
  <si>
    <t>drawDirOffset:45</t>
  </si>
  <si>
    <t>dust_effect</t>
  </si>
  <si>
    <t>脚落地时产生灰尘。</t>
  </si>
  <si>
    <t>dust_effect:true</t>
  </si>
  <si>
    <t>spinRate</t>
  </si>
  <si>
    <t>自身自动旋转速度</t>
  </si>
  <si>
    <t>使手臂/腿脚一直旋转，像转塔的idleSpin。用处如直升机的螺旋桨。</t>
  </si>
  <si>
    <t>spinRate:3</t>
  </si>
  <si>
    <t>favourOppositeSideNeighbours</t>
  </si>
  <si>
    <t>偏向于临近一侧</t>
  </si>
  <si>
    <t>填true时，使得左右的腿脚拉开时间差，这样更好看。否则看起来顺拐。计算相邻的X比接近的Y查10倍时间。</t>
  </si>
  <si>
    <t>favourOppositeSideNeighbours:true</t>
  </si>
  <si>
    <t>drawLegWhenZoomedOut</t>
  </si>
  <si>
    <t>缩小时绘制腿</t>
  </si>
  <si>
    <t>在缩小显示倍数(看到东西更多)后绘制腿。False时不绘制。为了提高绘制腿性能，默认值根据单位大小而变化。</t>
  </si>
  <si>
    <t>drawLegWhenZoomedOut:true</t>
  </si>
  <si>
    <t>drawFootWhenZoomedOut</t>
  </si>
  <si>
    <t>缩小时绘制脚</t>
  </si>
  <si>
    <t>在缩小显示倍数(看到东西更多)后绘制脚。False时不绘制。为了提高绘制腿性能，默认值根据单位大小而变化。如果单独设置阴影则可能比较怪异。</t>
  </si>
  <si>
    <t>drawFootWhenZoomedOut:false</t>
  </si>
  <si>
    <t>explodeOnDeath</t>
  </si>
  <si>
    <t>死亡时爆炸</t>
  </si>
  <si>
    <t>单位死亡爆炸时腿脚跟着一起爆炸</t>
  </si>
  <si>
    <t>explodeOnDeath:false</t>
  </si>
  <si>
    <t>resetAngle</t>
  </si>
  <si>
    <t>复位角度</t>
  </si>
  <si>
    <t>复位角度。</t>
  </si>
  <si>
    <t>resetAngle:45</t>
  </si>
  <si>
    <t>附属</t>
  </si>
  <si>
    <t>[attachment_NAME]</t>
  </si>
  <si>
    <t>[attachment_wolf]</t>
  </si>
  <si>
    <t>子单位x轴位置</t>
  </si>
  <si>
    <t>子单位Y轴位置</t>
  </si>
  <si>
    <t>高度</t>
  </si>
  <si>
    <t>子单位高度。</t>
  </si>
  <si>
    <t>height:3</t>
  </si>
  <si>
    <t>lockDir</t>
  </si>
  <si>
    <t>锁定角度</t>
  </si>
  <si>
    <t>是否锁定角度</t>
  </si>
  <si>
    <t>lockDir:true</t>
  </si>
  <si>
    <t>闲置方向</t>
  </si>
  <si>
    <t>idleDir:45</t>
  </si>
  <si>
    <t>闲置方向反转</t>
  </si>
  <si>
    <t>允许朝向反转，比如重坦倒退移动时炮塔反转，而不需要整个单位转向。</t>
  </si>
  <si>
    <t>是可见</t>
  </si>
  <si>
    <t>是可见的。</t>
  </si>
  <si>
    <t>isVisible:true</t>
  </si>
  <si>
    <t>onCreateSpawnUnitOf</t>
  </si>
  <si>
    <t>创建时生成单位</t>
  </si>
  <si>
    <t>此创造时也产生此子单位。</t>
  </si>
  <si>
    <t>onCreateSpawnUnitOf:flydog</t>
  </si>
  <si>
    <t>canBeAttackedAndDamaged</t>
  </si>
  <si>
    <t>可被攻击或损坏</t>
  </si>
  <si>
    <t>可以被攻击或受到伤害。</t>
  </si>
  <si>
    <t>canBeAttackedAndDamaged:true</t>
  </si>
  <si>
    <t>isUnselectable</t>
  </si>
  <si>
    <t>不可选择</t>
  </si>
  <si>
    <t>是不可选择的。</t>
  </si>
  <si>
    <t>isUnselectable:true</t>
  </si>
  <si>
    <t>isUnselectableAsTarget</t>
  </si>
  <si>
    <t>禁止选择和作为目标</t>
  </si>
  <si>
    <t>默认效果为isUnselectable。可以用来创造不能被选择但是可以被攻击，回收的单位</t>
  </si>
  <si>
    <t>isUnselectableAsTarget:true</t>
  </si>
  <si>
    <t>lockLegMovement</t>
  </si>
  <si>
    <t>锁定腿脚运动</t>
  </si>
  <si>
    <t>锁定腿脚防止乱动。</t>
  </si>
  <si>
    <t>lockLegMovement:true</t>
  </si>
  <si>
    <t>freezeLegMovement</t>
  </si>
  <si>
    <t>冻结腿脚运动</t>
  </si>
  <si>
    <t>冻结腿脚防止乱动。</t>
  </si>
  <si>
    <t>freezeLegMovement:true</t>
  </si>
  <si>
    <t>showMiniHp</t>
  </si>
  <si>
    <t>显示迷你血条</t>
  </si>
  <si>
    <t>指附属单位下面那个又小又细的血条栏</t>
  </si>
  <si>
    <t>showMiniHp:false</t>
  </si>
  <si>
    <t>hideHp</t>
  </si>
  <si>
    <t>隐藏血量</t>
  </si>
  <si>
    <t>隐藏单位的血量并不显示</t>
  </si>
  <si>
    <t>hideHp:true</t>
  </si>
  <si>
    <t>隐藏整个单位</t>
  </si>
  <si>
    <t>hidden:true</t>
  </si>
  <si>
    <t>keepAliveWhenParentDies</t>
  </si>
  <si>
    <t>保持子存活</t>
  </si>
  <si>
    <t>当此单位死亡时，子单位保持存活。</t>
  </si>
  <si>
    <t>keepAliveWhenParentDies:true</t>
  </si>
  <si>
    <t>setDrawLayerOnTop</t>
  </si>
  <si>
    <t>绘制于顶层</t>
  </si>
  <si>
    <t>此子单位绘制于顶层。</t>
  </si>
  <si>
    <t>setDrawLayerOnTop:true</t>
  </si>
  <si>
    <t>setDrawLayerOnBottom</t>
  </si>
  <si>
    <t>绘制于底层</t>
  </si>
  <si>
    <t>此子单位绘制于底层。</t>
  </si>
  <si>
    <t>setDrawLayerOnBottom:true</t>
  </si>
  <si>
    <t>addTransportedUnits</t>
  </si>
  <si>
    <t>增加被运输单位</t>
  </si>
  <si>
    <t>添加到运输单位槽中。</t>
  </si>
  <si>
    <t>addTransportedUnits:true</t>
  </si>
  <si>
    <t>lockRotation</t>
  </si>
  <si>
    <t>锁定旋转</t>
  </si>
  <si>
    <t>锁定方向，禁止旋转。</t>
  </si>
  <si>
    <t>lockRotation:true</t>
  </si>
  <si>
    <t>rotateWithParent</t>
  </si>
  <si>
    <t>子单位一同旋转</t>
  </si>
  <si>
    <t>旋转时子单位是否一同旋转。</t>
  </si>
  <si>
    <t>rotateWithParent:true</t>
  </si>
  <si>
    <t>resetRotationWhenNotAttacking</t>
  </si>
  <si>
    <t>不攻击时重置角度</t>
  </si>
  <si>
    <t>不攻击时恢复到自身默认角度</t>
  </si>
  <si>
    <t>resetRotationWhenNotAttacking:true</t>
  </si>
  <si>
    <t>deattachIfWantingToMove</t>
  </si>
  <si>
    <t>移动时脱离</t>
  </si>
  <si>
    <t>若收到移动命令，子单位将自动分离。这包括来自action的路径点。可以用来制作机场。</t>
  </si>
  <si>
    <t>deattachIfWantingToMove:true</t>
  </si>
  <si>
    <t>unloadInCurrentPosition</t>
  </si>
  <si>
    <t>卸载于此位置</t>
  </si>
  <si>
    <t>卸载单位时在这个位置进行卸载</t>
  </si>
  <si>
    <t>unloadInCurrentPosition:true</t>
  </si>
  <si>
    <t>prioritizeParentsMainTarget</t>
  </si>
  <si>
    <t>优先考虑父单位的主要目标</t>
  </si>
  <si>
    <t>子单位优先考虑父单位当前的目标。</t>
  </si>
  <si>
    <t>prioritizeParentsMainTarget:true</t>
  </si>
  <si>
    <t>alwaysAllowedToAttackParentsMainTarget</t>
  </si>
  <si>
    <t>总是攻击父单位的主要目标</t>
  </si>
  <si>
    <t>子单位总是跟随攻击父单位的主要目标。</t>
  </si>
  <si>
    <t>alwaysAllowedToAttackParentsMainTarget:true</t>
  </si>
  <si>
    <t>onlyAttackParentsMainTarget</t>
  </si>
  <si>
    <t>只攻击父单位的主要目标</t>
  </si>
  <si>
    <t>子单位只会攻击父单位的攻击目标。</t>
  </si>
  <si>
    <t>onlyAttackParentsMainTarget:true</t>
  </si>
  <si>
    <t>可攻击</t>
  </si>
  <si>
    <t>默认值为true。设置为false以阻止子单位自动攻击。</t>
  </si>
  <si>
    <t>onParentTeamChangeKeepCurrentTeam</t>
  </si>
  <si>
    <t>改变队伍时子单位保持原队伍</t>
  </si>
  <si>
    <t>默认值为false。如果为true则父单位改变队伍时子单位不改变队伍。</t>
  </si>
  <si>
    <t>onParentTeamChangeKeepCurrentTeam:true</t>
  </si>
  <si>
    <t>smoothlyBlendPositionWhenExistingUnitAdded</t>
  </si>
  <si>
    <t>补充时平滑移动</t>
  </si>
  <si>
    <t>补充所装载单位至槽位时平滑移动。</t>
  </si>
  <si>
    <t>smoothlyBlendPositionWhenExistingUnitAdded:true</t>
  </si>
  <si>
    <t>keepWaypointsNeedingMovement</t>
  </si>
  <si>
    <t>保持需要移动路径点</t>
  </si>
  <si>
    <t>默认值为false。当为false时，队列中任何需要移动才能完成的队列路径点都会被移除。</t>
  </si>
  <si>
    <t>keepWaypointsNeedingMovement:false</t>
  </si>
  <si>
    <t>showAllActionsFrom</t>
  </si>
  <si>
    <t>显示所有操作来源</t>
  </si>
  <si>
    <t>当被选中时，在父单元列表中显示所有附加单位的动作</t>
  </si>
  <si>
    <t>showAllActionsFrom:if self.hasFlag(id=1)</t>
  </si>
  <si>
    <t>createIncompleteIfParentIs</t>
  </si>
  <si>
    <t>创建随父单位</t>
  </si>
  <si>
    <t>如果父节单位不完整，则创建子单位不完整</t>
  </si>
  <si>
    <t>createIncompleteIfParentIs:false</t>
  </si>
  <si>
    <t>onConvertKeepExistingUnitInSameSlot</t>
  </si>
  <si>
    <t>转换时附属仍然在同一槽位中</t>
  </si>
  <si>
    <t>转换单位时如果有相同ID的附属槽位则子单位就会在那个槽位中</t>
  </si>
  <si>
    <t>onConvertKeepExistingUnitInSameSlot:true</t>
  </si>
  <si>
    <t>redirectDamageToParent</t>
  </si>
  <si>
    <t>重定向伤害到父单位</t>
  </si>
  <si>
    <t>将对附属造成的伤害重定向到父单位，而不是伤害子单位自身。</t>
  </si>
  <si>
    <t>redirectDamageToParent:true</t>
  </si>
  <si>
    <t>redirectDamageToParent_shieldOnly</t>
  </si>
  <si>
    <t>重定向伤害到父单位护盾</t>
  </si>
  <si>
    <t>只将对附属造成的伤害重定向到父单位的护盾，而不是伤害子单位自身。如果盾没了那就伤害自身，如模块蜘蛛。</t>
  </si>
  <si>
    <t>redirectDamageToParent_shieldOnly:true</t>
  </si>
  <si>
    <t>效果</t>
  </si>
  <si>
    <t>[effect_NAME]</t>
  </si>
  <si>
    <t>[effect_XXX]</t>
  </si>
  <si>
    <t>效果存在时间</t>
  </si>
  <si>
    <t>默认值为200。到时间效果消失。 设置得尽可能低以减少效果开销。</t>
  </si>
  <si>
    <t>effect:custom:doge</t>
  </si>
  <si>
    <t>lifeRandom</t>
  </si>
  <si>
    <t>效果存在时间随机值</t>
  </si>
  <si>
    <t>效果存在时间的随机范围。</t>
  </si>
  <si>
    <t>lifeRandom: 12</t>
  </si>
  <si>
    <t>alsoEmitEffectsOnDeath</t>
  </si>
  <si>
    <t>死亡时创建效果</t>
  </si>
  <si>
    <t>在生命耗尽的时候创造这些效果。</t>
  </si>
  <si>
    <t>alsoEmitEffectsOnDeath:shibadie</t>
  </si>
  <si>
    <t>effect ref</t>
  </si>
  <si>
    <t>alsoEmitEffects</t>
  </si>
  <si>
    <t>也创造效果</t>
  </si>
  <si>
    <t>创建时创建更多效果，对于多效果很有用。 注意：创建的效果上的其他“ alsoEmitEffects”将被忽略，禁止套娃。</t>
  </si>
  <si>
    <t>alsoEmitEffects:custom:doge2</t>
  </si>
  <si>
    <t>ifSpawnFailsEmitEffects</t>
  </si>
  <si>
    <t>如果失败则创建效果</t>
  </si>
  <si>
    <t>如果此效果的“spawnChance”失败，则产生这些效果。</t>
  </si>
  <si>
    <t>ifSpawnFailsEmitEffects:custom:doge3</t>
  </si>
  <si>
    <t>alsoPlaySound</t>
  </si>
  <si>
    <t>也播放音效</t>
  </si>
  <si>
    <t>播放音效，填文件名或内置。</t>
  </si>
  <si>
    <t>alsoPlaySound:ao.ogg</t>
  </si>
  <si>
    <t>file(s) (ogg/wav)</t>
  </si>
  <si>
    <t>createWhenOffscreen</t>
  </si>
  <si>
    <t>可创建于画面之外</t>
  </si>
  <si>
    <t>允许在画面之外产生此效果，默认为false。</t>
  </si>
  <si>
    <t>createWhenOffscreen:true</t>
  </si>
  <si>
    <t>createWhenZoomedOut</t>
  </si>
  <si>
    <t>缩小时可产生效果</t>
  </si>
  <si>
    <t>允许缩小时产生此效果，默认值为true</t>
  </si>
  <si>
    <t>createWhenZoomedOut:true</t>
  </si>
  <si>
    <t>createWhenOverLiquid</t>
  </si>
  <si>
    <t>创建于液体上</t>
  </si>
  <si>
    <t>允许在液体上方产生此效果，默认值为true</t>
  </si>
  <si>
    <t>createWhenOverLiquid:true</t>
  </si>
  <si>
    <t>createWhenOverLand</t>
  </si>
  <si>
    <t>创建于陆地上</t>
  </si>
  <si>
    <t>允许在陆地上方产生此效果，默认值为true</t>
  </si>
  <si>
    <t>createWhenOverLand:true</t>
  </si>
  <si>
    <t>spawnChance</t>
  </si>
  <si>
    <t>产生几率</t>
  </si>
  <si>
    <t>默认值1.如果小于1，则效果随机被创建</t>
  </si>
  <si>
    <t>spawnChance:0.9</t>
  </si>
  <si>
    <t>showInFog</t>
  </si>
  <si>
    <t>在雾中显示</t>
  </si>
  <si>
    <t>默认为false</t>
  </si>
  <si>
    <t>showInFog:true</t>
  </si>
  <si>
    <t>boolean</t>
  </si>
  <si>
    <t>延迟创建</t>
  </si>
  <si>
    <t>等待这么久再播放此动画，单位为帧。</t>
  </si>
  <si>
    <t>delayedStartTimer:10</t>
  </si>
  <si>
    <t>delayedStartTimerRandom</t>
  </si>
  <si>
    <t>延迟创建随机时间</t>
  </si>
  <si>
    <t>等待时间随机变化</t>
  </si>
  <si>
    <t>delayedStartTimerRandom:10</t>
  </si>
  <si>
    <t>liveAfterAttachedDies</t>
  </si>
  <si>
    <t>目标死后存活</t>
  </si>
  <si>
    <t>目标死后动画继续存活,使用AttachedToUnit时默认为false.</t>
  </si>
  <si>
    <t>liveAfterAttachedDies:true</t>
  </si>
  <si>
    <t>priority</t>
  </si>
  <si>
    <t>优先级</t>
  </si>
  <si>
    <t>默认为high，填不同的值对应不同的效果数量上限，并且通用。verylow/low/high/veryhigh/critical(很低，低，高，很高，至关重要)（上限分别是311，321，331，341，350）</t>
  </si>
  <si>
    <t>priority:low</t>
  </si>
  <si>
    <t>移动</t>
  </si>
  <si>
    <t>attachedToUnit</t>
  </si>
  <si>
    <t>附着在单位上</t>
  </si>
  <si>
    <t>此效果产生时吸附到目标单位或抛射体。将与之一起移动。</t>
  </si>
  <si>
    <t>attachedToUnit:true</t>
  </si>
  <si>
    <t>alwayStartDirAtZero</t>
  </si>
  <si>
    <t>初始角度总是为零</t>
  </si>
  <si>
    <t>忽略附属单位或者产者的角度。</t>
  </si>
  <si>
    <t>alwayStartDirAtZero:true</t>
  </si>
  <si>
    <t>atmospheric</t>
  </si>
  <si>
    <t>空气效果</t>
  </si>
  <si>
    <t>添加阻力使此效果减慢速度，并添加随机移动。用于模拟尾焰。</t>
  </si>
  <si>
    <t>atmospheric:true</t>
  </si>
  <si>
    <t>physics</t>
  </si>
  <si>
    <t>物理效果</t>
  </si>
  <si>
    <t>撞击地面时反抛射体。需要高度才能生效。</t>
  </si>
  <si>
    <t>physics:true</t>
  </si>
  <si>
    <t>physicsGravity</t>
  </si>
  <si>
    <t>物理重力</t>
  </si>
  <si>
    <t>默认为1。physics:true时的垂直方向加速度。</t>
  </si>
  <si>
    <t>physicsGravity:1</t>
  </si>
  <si>
    <t>xOffsetRelative</t>
  </si>
  <si>
    <t>X相对偏移量</t>
  </si>
  <si>
    <t>效果起始时相对于炮塔，抛射体，单位的偏移的方向位置。正数向右，负数向左。</t>
  </si>
  <si>
    <t>xOffsetRelative:0</t>
  </si>
  <si>
    <t>yOffsetRelative</t>
  </si>
  <si>
    <t>Y相对偏移量</t>
  </si>
  <si>
    <t>效果起始时相对于炮塔，抛射体，单位的偏移的方向位置。正数向前，负数向后。</t>
  </si>
  <si>
    <t>yOffsetRelative:-25</t>
  </si>
  <si>
    <t>xOffsetRelativeRandom</t>
  </si>
  <si>
    <t>X相对随机偏移量</t>
  </si>
  <si>
    <t>X相对目标随机偏移量。随机增加或减少此值，用于偏移像素。</t>
  </si>
  <si>
    <t>xOffsetRelativeRandom:1</t>
  </si>
  <si>
    <t>yOffsetRelativeRandom</t>
  </si>
  <si>
    <t>Y相对随机偏移量</t>
  </si>
  <si>
    <t>Y相对目标随机偏移量。随机增加或减少此值，用于偏移像素。</t>
  </si>
  <si>
    <t>yOffsetRelativeRandom:10</t>
  </si>
  <si>
    <t>xOffsetAbsolute</t>
  </si>
  <si>
    <t>X绝对偏移量</t>
  </si>
  <si>
    <t>Absolute类为绝对偏移，它不像Relative那样考虑单位的方向。比如设置x向速度为1，绝对偏移则始终向右移动，相对偏移可以向任意方向移动。</t>
  </si>
  <si>
    <t>xOffsetAbsolute:0</t>
  </si>
  <si>
    <t>yOffsetAbsolute</t>
  </si>
  <si>
    <t>Y绝对偏移量</t>
  </si>
  <si>
    <t>按位置偏移起动效果，忽略附加炮塔单位等的方向。</t>
  </si>
  <si>
    <t>yOffsetAbsolute:10</t>
  </si>
  <si>
    <t>xOffsetAbsoluteRandom</t>
  </si>
  <si>
    <t>X绝对随机偏移量</t>
  </si>
  <si>
    <t>随机增加或减少此值，用于偏移像素。</t>
  </si>
  <si>
    <t>xOffsetAbsoluteRandom:2</t>
  </si>
  <si>
    <t>yOffsetAbsoluteRandom</t>
  </si>
  <si>
    <t>Y绝对随机偏移量</t>
  </si>
  <si>
    <t>yOffsetAbsoluteRandom:2</t>
  </si>
  <si>
    <t>xSpeedRelative</t>
  </si>
  <si>
    <t>X相对速度</t>
  </si>
  <si>
    <t>X轴相对于目标的移动速度。，正数向右，负数向左。</t>
  </si>
  <si>
    <t>xSpeedRelative:1</t>
  </si>
  <si>
    <t>ySpeedRelative</t>
  </si>
  <si>
    <t>Y相对速度</t>
  </si>
  <si>
    <t>Y轴相对于目标的移动速度。正数向前，负数向后。</t>
  </si>
  <si>
    <t>ySpeedRelative:1</t>
  </si>
  <si>
    <t>xSpeedRelativeRandom</t>
  </si>
  <si>
    <t>X随机相对速度</t>
  </si>
  <si>
    <t>xSpeedRelativeRandom:0.1</t>
  </si>
  <si>
    <t>ySpeedRelativeRandom</t>
  </si>
  <si>
    <t>Y随机相对速度</t>
  </si>
  <si>
    <t>ySpeedRelativeRandom:0.1</t>
  </si>
  <si>
    <t>xSpeedAbsolute</t>
  </si>
  <si>
    <t>X绝对速度</t>
  </si>
  <si>
    <t>X轴相对于起点的绝对移动速度。</t>
  </si>
  <si>
    <t>xSpeedAbsolute:0.1</t>
  </si>
  <si>
    <t>ySpeedAbsolute</t>
  </si>
  <si>
    <t>Y绝对速度</t>
  </si>
  <si>
    <t>Y轴相对于起点的绝对移动速度。</t>
  </si>
  <si>
    <t>ySpeedAbsolute:0.6</t>
  </si>
  <si>
    <t>xSpeedAbsoluteRandom</t>
  </si>
  <si>
    <t>X随机绝对速度</t>
  </si>
  <si>
    <t>按此值随机更改初始值。</t>
  </si>
  <si>
    <t>xSpeedAbsoluteRandom:0.1</t>
  </si>
  <si>
    <t>ySpeedAbsoluteRandom</t>
  </si>
  <si>
    <t>Y随机绝对速度</t>
  </si>
  <si>
    <t>ySpeedAbsoluteRandom:0.4</t>
  </si>
  <si>
    <t>hOffset</t>
  </si>
  <si>
    <t>高度偏移</t>
  </si>
  <si>
    <t>距目标的高度偏移。正数向上，负数向下。</t>
  </si>
  <si>
    <t>hOffset:5</t>
  </si>
  <si>
    <t>hOffsetRandom</t>
  </si>
  <si>
    <t>随机高度偏移</t>
  </si>
  <si>
    <t>hOffsetRandom:3</t>
  </si>
  <si>
    <t>hSpeed</t>
  </si>
  <si>
    <t>高度移动速度。正数向上，负数向下。</t>
  </si>
  <si>
    <t>hSpeed:1</t>
  </si>
  <si>
    <t>hSpeedRandom</t>
  </si>
  <si>
    <t>随机高度速度偏移</t>
  </si>
  <si>
    <t>hSpeedRandom:0.1</t>
  </si>
  <si>
    <t>dirOffset</t>
  </si>
  <si>
    <t>角度偏移</t>
  </si>
  <si>
    <t>角度偏移，修改初始朝向。注意,0度可能存在朝向问题。</t>
  </si>
  <si>
    <t>dirOffset:180</t>
  </si>
  <si>
    <t>dirOffsetRandom</t>
  </si>
  <si>
    <t>随机角度偏移量</t>
  </si>
  <si>
    <t>按此值随机更改偏移角度。</t>
  </si>
  <si>
    <t>dirOffsetRandom:180</t>
  </si>
  <si>
    <t>dirSpeed</t>
  </si>
  <si>
    <t>转速</t>
  </si>
  <si>
    <t>修改效果的旋转速度。</t>
  </si>
  <si>
    <t>dirSpeed:5</t>
  </si>
  <si>
    <t>dirSpeedRandom</t>
  </si>
  <si>
    <t>随机转速</t>
  </si>
  <si>
    <t>按此值随机更改旋转速度。</t>
  </si>
  <si>
    <t>dirSpeedRandom:2</t>
  </si>
  <si>
    <t>pivotOffset</t>
  </si>
  <si>
    <t>枢轴偏移</t>
  </si>
  <si>
    <t>整个效果的朝向偏移</t>
  </si>
  <si>
    <t>pivotOffset:1.2</t>
  </si>
  <si>
    <t>pivotOffsetRandom</t>
  </si>
  <si>
    <t>枢轴偏移随机</t>
  </si>
  <si>
    <t>按此值随机更改朝向。</t>
  </si>
  <si>
    <t>pivotOffsetRandom:1.2</t>
  </si>
  <si>
    <t>图形</t>
  </si>
  <si>
    <t>frameIndex</t>
  </si>
  <si>
    <t>帧索引</t>
  </si>
  <si>
    <t>使用内置效果时所取用的帧编号，0取第一帧。</t>
  </si>
  <si>
    <t>frameIndex:1</t>
  </si>
  <si>
    <t>frameIndexRandom</t>
  </si>
  <si>
    <t>帧随机</t>
  </si>
  <si>
    <t>随机增减索引值，用于随机使用同组内不同的图像。</t>
  </si>
  <si>
    <t>frameIndexRandom:1</t>
  </si>
  <si>
    <t>stripIndex</t>
  </si>
  <si>
    <t>图像集</t>
  </si>
  <si>
    <t>要使用的内置图像集。不能与自定义图像一起使用。如effects 效果1对应res内文件effects.png，以此类推。
explode_big爆炸效果图、light_50闪光贴花、flame开火图火焰、dust灰尘贴花、smoke_black黑烟、smoke_white白烟、shockwave冲击波、fire火焰图、lava_bubble岩浆泡、effects2效果2、plasma_shot等离子、shockwave2冲击波2、shockwave_large大冲击波、explode_bits碎片、explode_big2大爆炸、explode_bits_bug虫碎片、projectiles抛射体、projectiles2抛射体2、effects3效果3</t>
  </si>
  <si>
    <t>stripIndex:shockwave</t>
  </si>
  <si>
    <t>integer/string</t>
  </si>
  <si>
    <t>要使用的自定义图像文件。不能与stripIndex一起使用。</t>
  </si>
  <si>
    <t>Image:shibaing.png</t>
  </si>
  <si>
    <t>imageShadow</t>
  </si>
  <si>
    <t>用于自定义阴影的图像</t>
  </si>
  <si>
    <t>imageShadow:SHADOW:shibaing.png</t>
  </si>
  <si>
    <t>scaleTo</t>
  </si>
  <si>
    <t>结束缩放倍数</t>
  </si>
  <si>
    <t>效果结束时缩放倍数。</t>
  </si>
  <si>
    <t>scaleTo:2</t>
  </si>
  <si>
    <t>scaleFrom</t>
  </si>
  <si>
    <t>初始缩放倍数</t>
  </si>
  <si>
    <t>效果初始时缩放倍数，用于效果从小到大缩放，或者反向缩放。</t>
  </si>
  <si>
    <t>scaleFrom:0.5</t>
  </si>
  <si>
    <t>填16进制颜色值，给图像上叠加颜色。一般建议图像使用灰度图，然后叠加颜色。注意彩色图是无法叠加白色变白的。</t>
  </si>
  <si>
    <t>color:#FFFF0000</t>
  </si>
  <si>
    <t>队伍色相</t>
  </si>
  <si>
    <t>填0-1在图像上叠加阵营色，1为完全为阵营色。</t>
  </si>
  <si>
    <t>效果的绘制类型</t>
  </si>
  <si>
    <t>drawType:displacement/normal</t>
  </si>
  <si>
    <t>draw type</t>
  </si>
  <si>
    <t>绘制在单位下方</t>
  </si>
  <si>
    <t>将此效果绘制在单位下方。</t>
  </si>
  <si>
    <t>fadeInTime</t>
  </si>
  <si>
    <t>淡入时间</t>
  </si>
  <si>
    <t>设置淡入效果时间，从透明到不透明。透明度值从0%到100%。</t>
  </si>
  <si>
    <t>fadeInTime:15</t>
  </si>
  <si>
    <t>fadeOut</t>
  </si>
  <si>
    <t>淡出</t>
  </si>
  <si>
    <t>设置淡入效果时间，透明度从100%淡出到%0。把alpha设置为高于1可以延长淡出。</t>
  </si>
  <si>
    <t>fadeOut:true</t>
  </si>
  <si>
    <t>介于0-1之间。可以设置为大于1以延迟淡出效果</t>
  </si>
  <si>
    <t>alpha:1</t>
  </si>
  <si>
    <t>尾焰效果</t>
  </si>
  <si>
    <t>类似于抛射体的尾焰</t>
  </si>
  <si>
    <t>trailEffect:custom:trails</t>
  </si>
  <si>
    <t>尾焰效果频率</t>
  </si>
  <si>
    <t>产生频率</t>
  </si>
  <si>
    <t>trailEffectRate:0</t>
  </si>
  <si>
    <t>shadow</t>
  </si>
  <si>
    <t>true时绘制阴影。如果使用imageShadow则强制为true</t>
  </si>
  <si>
    <t>shadow:true</t>
  </si>
  <si>
    <t>动画</t>
  </si>
  <si>
    <t>单帧宽度</t>
  </si>
  <si>
    <t>规定单帧的宽度像素，如果值小于图像本体宽度则选取帧时采用换列方式进行处理。</t>
  </si>
  <si>
    <t>frame_width:1000</t>
  </si>
  <si>
    <t>单帧高度</t>
  </si>
  <si>
    <t>规定单帧的高度像素，如果值小于图像本体高度则选取帧时采用换行方式进行处理。</t>
  </si>
  <si>
    <t>frame_height:1000</t>
  </si>
  <si>
    <t>动画总帧数</t>
  </si>
  <si>
    <t>动画的总帧数，与图像(image)或frameIndex一起使用。</t>
  </si>
  <si>
    <t>animateFrameStart</t>
  </si>
  <si>
    <t>动画开始帧</t>
  </si>
  <si>
    <t>动画从哪一帧开始,第一帧编号为0</t>
  </si>
  <si>
    <t>animateFrameStart:0</t>
  </si>
  <si>
    <t>animateFrameEnd</t>
  </si>
  <si>
    <t>动画结束帧</t>
  </si>
  <si>
    <t>动画在哪一帧结束。</t>
  </si>
  <si>
    <t>animateFrameEnd:14</t>
  </si>
  <si>
    <t>animateFramePingPong</t>
  </si>
  <si>
    <t>动画帧重放</t>
  </si>
  <si>
    <t>动画正序播放完毕后再倒序播放一次。</t>
  </si>
  <si>
    <t>animateFramePingPong:true</t>
  </si>
  <si>
    <t>animateFrameSpeed</t>
  </si>
  <si>
    <t>动画帧速度</t>
  </si>
  <si>
    <t>动画播放速度，单位位游戏帧，一般动画帧数也不高，所以设置一般为0.x</t>
  </si>
  <si>
    <t>animateFrameSpeed:0.2</t>
  </si>
  <si>
    <t>animateFrameSpeedRandom</t>
  </si>
  <si>
    <t>动画帧随机速度</t>
  </si>
  <si>
    <t>按此值随机更改动画速度。</t>
  </si>
  <si>
    <t>animateFrameSpeedRandom0.1</t>
  </si>
  <si>
    <t>animateFrameLooping</t>
  </si>
  <si>
    <t>动画帧循环</t>
  </si>
  <si>
    <t>默认false。当为false时,效果被移除时，动画结束</t>
  </si>
  <si>
    <t>animateFrameLooping:false</t>
  </si>
  <si>
    <t>animateFrameStartRandomAdd</t>
  </si>
  <si>
    <t>动画帧随机开始添加</t>
  </si>
  <si>
    <t>以动画起始帧为基准，按照+/-所填数字内随机选取数字进行帧随机偏移（似乎无用）</t>
  </si>
  <si>
    <t>animateFrameStartRandomAdd:10（似乎无用）</t>
  </si>
  <si>
    <t>number</t>
  </si>
  <si>
    <t>[animation_NAME]</t>
  </si>
  <si>
    <t>[animation_ID]</t>
  </si>
  <si>
    <t>onActions</t>
  </si>
  <si>
    <t>动画条件</t>
  </si>
  <si>
    <t>动画触发条件：移动、攻击、闲置、在建造中、建造中并将动画拉伸至建造时长、生产中、未知、修复、回收、创建时
move, attack, idle, underConstruction, underConstructionWithLinkedBuiltTime, queuedUnits、Unknown, repair, reclaim, created</t>
  </si>
  <si>
    <t>onActions : Unknown
onActions : queuedUnits</t>
  </si>
  <si>
    <t>onActionsQueuedUnitPlayAt</t>
  </si>
  <si>
    <t>在队列中有单位播放</t>
  </si>
  <si>
    <t>当使用onAction:queueedUnits时，动画开始之前需要达到值，设置为0-1之间</t>
  </si>
  <si>
    <t>onActionsQueuedUnitPlayAt :1</t>
  </si>
  <si>
    <t>blendIn</t>
  </si>
  <si>
    <t>融入时间</t>
  </si>
  <si>
    <t>与上一个动画融合时间。</t>
  </si>
  <si>
    <t>blendIn : time</t>
  </si>
  <si>
    <t>blendOut</t>
  </si>
  <si>
    <t>融出时间</t>
  </si>
  <si>
    <t>与下一个动画融合时间。</t>
  </si>
  <si>
    <t>blendOut : time</t>
  </si>
  <si>
    <t>pingPong</t>
  </si>
  <si>
    <t>缩放效果</t>
  </si>
  <si>
    <t>结束后反向播放动画，它一般用来做生物的呼吸效果。</t>
  </si>
  <si>
    <t>pingPong:true</t>
  </si>
  <si>
    <t>playbackRate</t>
  </si>
  <si>
    <t>重复播放频率</t>
  </si>
  <si>
    <t>重复播放该动画的频率</t>
  </si>
  <si>
    <t>playbackRate:1</t>
  </si>
  <si>
    <t>KeyframeTimeScale</t>
  </si>
  <si>
    <t>帧时长缩放</t>
  </si>
  <si>
    <t>缩放所有关键帧时间，这有助于在不更改所有内容的情况下更快/更慢地制作动画</t>
  </si>
  <si>
    <t>KeyframeTimeScale : float</t>
  </si>
  <si>
    <t>关键帧-根据需要创建多个</t>
  </si>
  <si>
    <t>arm#_[time]</t>
  </si>
  <si>
    <t>胳膊关键帧</t>
  </si>
  <si>
    <t>添加一个关键帧。用来创建多个动作的动画。</t>
  </si>
  <si>
    <t>arm1_5s: {x: 5, dir: 90 }</t>
  </si>
  <si>
    <t>list</t>
  </si>
  <si>
    <t>leg#_[time]</t>
  </si>
  <si>
    <t>腿关键帧</t>
  </si>
  <si>
    <t>leg1_5s: {x: 5, dir: 90 , alpha: 0.6}</t>
  </si>
  <si>
    <t>body_[time]</t>
  </si>
  <si>
    <t>主体关键帧</t>
  </si>
  <si>
    <t>随时为主体添加关键帧。身体仅允许使用frame和scale</t>
  </si>
  <si>
    <t>body_4s: {frame: 4, scale: 0.5}</t>
  </si>
  <si>
    <t>effect_[time]</t>
  </si>
  <si>
    <t>效果关键帧</t>
  </si>
  <si>
    <t>在播放动画时产生效果</t>
  </si>
  <si>
    <t>eg: effect_2s: {x: 0,y: 5, name: explode}</t>
  </si>
  <si>
    <t>turret#_[time]</t>
  </si>
  <si>
    <t>炮塔关键帧</t>
  </si>
  <si>
    <t>添加一个关键帧。用来创建多个动作的动画。（没有明显效果）</t>
  </si>
  <si>
    <t>turret1_5s: {x: 5, y: 90 }</t>
  </si>
  <si>
    <t>多向动画（指单位转到特定角度所播放的动画）</t>
  </si>
  <si>
    <t>direction_units</t>
  </si>
  <si>
    <r>
      <rPr>
        <b/>
        <charset val="134"/>
        <sz val="10"/>
        <color rgb="FFFFFFFF"/>
        <rFont val="微软雅黑"/>
      </rPr>
      <t>播放此动画时，覆盖[graphics] animation_direction_units。多向动画度数</t>
    </r>
    <r>
      <rPr>
        <b/>
        <charset val="134"/>
        <sz val="10"/>
        <color rgb="FFFFFFFF"/>
        <rFont val="Arial"/>
      </rPr>
      <t xml:space="preserve">	</t>
    </r>
    <r>
      <rPr>
        <b/>
        <charset val="134"/>
        <sz val="10"/>
        <color rgb="FFFFFFFF"/>
        <rFont val="微软雅黑"/>
      </rPr>
      <t>45个代表8个方向，90个代表4个方向的动画。</t>
    </r>
  </si>
  <si>
    <t>direction_units:45</t>
  </si>
  <si>
    <t>direction_strideX</t>
  </si>
  <si>
    <t>覆盖[graphics] animation_direction_strideX，动画帧取值在方向改变时偏移。一般填0</t>
  </si>
  <si>
    <t>direction_strideX:0</t>
  </si>
  <si>
    <t>direction_strideY</t>
  </si>
  <si>
    <t>覆盖[graphics] animation_direction_strideY，动画帧在方向改变Y轴偏移偏移。与frame_height一起使用。一般填1</t>
  </si>
  <si>
    <t>direction_strideY:1</t>
  </si>
  <si>
    <t>direction_starting</t>
  </si>
  <si>
    <t>覆盖[graphics] animation_direction_starting，第一帧的方向，取决于您的素材。</t>
  </si>
  <si>
    <t>direction_starting:90</t>
  </si>
  <si>
    <t>start</t>
  </si>
  <si>
    <t>开始</t>
  </si>
  <si>
    <t>开始图像框。不推荐使用，用于类似此形式的动画。animation_TYPE_pingPong</t>
  </si>
  <si>
    <t>start:1</t>
  </si>
  <si>
    <t>end</t>
  </si>
  <si>
    <t>结束</t>
  </si>
  <si>
    <t>结束图像帧。不推荐使用</t>
  </si>
  <si>
    <t>end:3</t>
  </si>
  <si>
    <t>scale_start</t>
  </si>
  <si>
    <t>缩放开始</t>
  </si>
  <si>
    <t>开始规模。不推荐使用，而是使用主体关键帧。</t>
  </si>
  <si>
    <t>scale_start:2</t>
  </si>
  <si>
    <t>scale_end</t>
  </si>
  <si>
    <t>缩放结束</t>
  </si>
  <si>
    <t>最终规模。不推荐使用，而是使用主体关键帧。</t>
  </si>
  <si>
    <t>scale_end:2</t>
  </si>
  <si>
    <t>速度越小越快。仅效果开始，结束，scale_start，scale_end</t>
  </si>
  <si>
    <t>speed:1</t>
  </si>
  <si>
    <t>行动/隐藏行动</t>
  </si>
  <si>
    <t>[action_NAME] / [hiddenAction_NAME]</t>
  </si>
  <si>
    <t>[hiddenAction_ID]</t>
  </si>
  <si>
    <t>一个单位最多同时进行11个行动事件</t>
  </si>
  <si>
    <t>text</t>
  </si>
  <si>
    <t>文本</t>
  </si>
  <si>
    <t>界面中显示的文字</t>
  </si>
  <si>
    <t>text:chemms</t>
  </si>
  <si>
    <t>textPostFix</t>
  </si>
  <si>
    <t>文本后缀</t>
  </si>
  <si>
    <t>显示为后缀的文本，与textAddUnitName一起用于创建文本UI</t>
  </si>
  <si>
    <t>text: [ 
textPostFix: ] 
textAddUnitName: unitRef self.attachment(slot="${slotId}")</t>
  </si>
  <si>
    <t>text_[Language]</t>
  </si>
  <si>
    <t>文字多语言</t>
  </si>
  <si>
    <t>界面中显示的文字，多语言</t>
  </si>
  <si>
    <t>text_zh:chemms</t>
  </si>
  <si>
    <t>description</t>
  </si>
  <si>
    <t>选中时显示的文本，用于解释其用途。</t>
  </si>
  <si>
    <t>description:chemms翻译</t>
  </si>
  <si>
    <t>description_[Language]</t>
  </si>
  <si>
    <t>描述多语言。</t>
  </si>
  <si>
    <t>description_en:shibainu</t>
  </si>
  <si>
    <t>displayType</t>
  </si>
  <si>
    <t>显示类型</t>
  </si>
  <si>
    <t>行动的显示类型正常模式为无(绿色)、集结(白色R)、升级(蓝色U)、单位队列（绿色）、建筑(绿色)、行为(蓝色)、仅信息(灰色)、无框信息、仅信息库存（灰色）
none, rally, upgrade, queueUnit, building, action, infoOnly, infoOnlyNoBox,infoOnlyStockpile</t>
  </si>
  <si>
    <t>displayType:infoOnly</t>
  </si>
  <si>
    <t>displayRemainingStockpile</t>
  </si>
  <si>
    <t>显示剩余库存</t>
  </si>
  <si>
    <t>显示剩余库存,显示为根据资源计算可以触发操作的次数。</t>
  </si>
  <si>
    <t>displayRemainingStockpile:true</t>
  </si>
  <si>
    <t>pos</t>
  </si>
  <si>
    <t>位置</t>
  </si>
  <si>
    <t>此动作在用户界面排序。</t>
  </si>
  <si>
    <t>pos:0</t>
  </si>
  <si>
    <t>iconImage</t>
  </si>
  <si>
    <t>图标</t>
  </si>
  <si>
    <t>使用图像作为此动作图标。</t>
  </si>
  <si>
    <t>iconImage:shiba.png</t>
  </si>
  <si>
    <t>iconExtraImage</t>
  </si>
  <si>
    <t>额外图标图像</t>
  </si>
  <si>
    <t>使用图像作为此动作图标。和上一个一致,但显示更靠上。绘制在图标图像上方。对升级图标等有用</t>
  </si>
  <si>
    <t>iconExtraImage:shibaUPD.png</t>
  </si>
  <si>
    <t>iconExtraColor</t>
  </si>
  <si>
    <t>额外图标颜色</t>
  </si>
  <si>
    <t>将图标叠加上额外的颜色。默认为#64FFFFFF</t>
  </si>
  <si>
    <t>iconExtraColor:#FFAAAAAA</t>
  </si>
  <si>
    <t>iconExtraIsVisible</t>
  </si>
  <si>
    <t>额外图标显示条件</t>
  </si>
  <si>
    <t>设置图标什么时候可显示。</t>
  </si>
  <si>
    <t>iconExtraIsVisible:if self.hasFlag(id=${slotid})</t>
  </si>
  <si>
    <t>unitShownInUI</t>
  </si>
  <si>
    <t>UI中显示的单位</t>
  </si>
  <si>
    <t>使用此单位作为动作图标。</t>
  </si>
  <si>
    <t>unitShownInUI: unitRef self.transporting(slot=0)
unitShownInUI:shibainu</t>
  </si>
  <si>
    <t>unit</t>
  </si>
  <si>
    <t>setBuilt</t>
  </si>
  <si>
    <t>设置完成度</t>
  </si>
  <si>
    <t>默认为1。填0-1之间的数字，将指定单位建造完成度。比如填0.5，执行完操作后单位自身建造完成度就成了50%</t>
  </si>
  <si>
    <t>setBuilt:1</t>
  </si>
  <si>
    <t>guiBuildUnit</t>
  </si>
  <si>
    <t>界面显示单位</t>
  </si>
  <si>
    <t>将action图标和鼠标指针改为指定单位，这就像您用建造者去造建筑，会受地形影响，可为action或路径点提供坐标。</t>
  </si>
  <si>
    <t>guiBuildUnit:turret_artillery</t>
  </si>
  <si>
    <t>(在使用队列大小时可以用withActionTag=x来获取数量)
Used with queueSize(withActionTag=x) and queueItemAdded(withActionTag=x)</t>
  </si>
  <si>
    <t>tags:customTag1,customTag2</t>
  </si>
  <si>
    <t>string(s)</t>
  </si>
  <si>
    <t>id</t>
  </si>
  <si>
    <t>编号</t>
  </si>
  <si>
    <t>允许在单位之间转换时更容易的连接动作（action的id，应该有对应的引用词）</t>
  </si>
  <si>
    <t>id:1</t>
  </si>
  <si>
    <t>AI的标签</t>
  </si>
  <si>
    <t>随便填一个得了(专门给AI用的)</t>
  </si>
  <si>
    <t>aiTags:doge</t>
  </si>
  <si>
    <t>单位参考-从已经存在的单位动态的组成部分，有用的/也可以被敌人看到</t>
  </si>
  <si>
    <t>self, self.parent(), self.transporting(slot=S), self.attachment(slot=S)</t>
  </si>
  <si>
    <t>textAddUnitName</t>
  </si>
  <si>
    <t>从单元添加名称</t>
  </si>
  <si>
    <t>从指定单位添加名称。</t>
  </si>
  <si>
    <t>textAddUnitName:$(section.convertTo)</t>
  </si>
  <si>
    <t>unit ref/unit</t>
  </si>
  <si>
    <t>descriptionAddFromUnit</t>
  </si>
  <si>
    <t>从单元添加描述</t>
  </si>
  <si>
    <t>从指定单位添加单位描述。</t>
  </si>
  <si>
    <t>descriptionAddFromUnit:unitRef self.attachment(slot="unitSlot${slotId}")</t>
  </si>
  <si>
    <t>descriptionAddUnitStats</t>
  </si>
  <si>
    <t>从单元添加属性</t>
  </si>
  <si>
    <t>从指定单位添加详细信息描述，比如攻击力，攻击范围。</t>
  </si>
  <si>
    <t>descriptionAddUnitStats:unitRef self.attachment(slot="unitSlot${slotId}")</t>
  </si>
  <si>
    <t>unitShownInUIWithHpBar</t>
  </si>
  <si>
    <t>单元在UI显示Hp条</t>
  </si>
  <si>
    <t>在ui中显示单位血条。默认true,仅当unitShownInUI是unitRef时使用</t>
  </si>
  <si>
    <t>unitShownInUIWithHpBar:true</t>
  </si>
  <si>
    <t>unitShownInUIWithProgressBar</t>
  </si>
  <si>
    <t>单元在UI显示进度条</t>
  </si>
  <si>
    <t>在ui中显示单位进度条。默认true,仅当unitShownInUI是unitRef时使用。如果激活，则替换HP bar</t>
  </si>
  <si>
    <t>unitShownInUIWithProgressBar:true</t>
  </si>
  <si>
    <t>在UI中显示/ AI的要求</t>
  </si>
  <si>
    <t>价格</t>
  </si>
  <si>
    <t>此行为需要的价格，可以是多种资源或自定义资源。如果不满足则行为不可用。如果没设定资源类型则默认为资金。如果价格为0，AI可能很少甚至不会使用。</t>
  </si>
  <si>
    <t>price: credits=5, energy=5, hp=100, shield=5, ammo=1</t>
  </si>
  <si>
    <t>resources</t>
  </si>
  <si>
    <t>isActive</t>
  </si>
  <si>
    <t>可用</t>
  </si>
  <si>
    <t>默认为true。如果为false，则会禁用操作，并在用户界面中以红色显示。</t>
  </si>
  <si>
    <t>isActive:true</t>
  </si>
  <si>
    <t>默认为true。如果false则从UI中隐藏并被禁用。</t>
  </si>
  <si>
    <t>isLocked</t>
  </si>
  <si>
    <t>锁定</t>
  </si>
  <si>
    <t>默认为false。如果true则禁用操作，则会显示一个锁定文本。可用作禁核或者科技树，或是条件限制。</t>
  </si>
  <si>
    <t>isLocked:true</t>
  </si>
  <si>
    <t>isLockedMessage</t>
  </si>
  <si>
    <t>锁定消息</t>
  </si>
  <si>
    <t>显示锁定的原因。</t>
  </si>
  <si>
    <t>isLockedMessage:您不够可爱</t>
  </si>
  <si>
    <t>isLockedAlt</t>
  </si>
  <si>
    <t>更多锁定</t>
  </si>
  <si>
    <t>另一个原因被锁定。用于显示不同的消息。</t>
  </si>
  <si>
    <t>isLockedAlt:if not self.isFlying()</t>
  </si>
  <si>
    <t>isLockedAltMessage</t>
  </si>
  <si>
    <t>更多锁定消息</t>
  </si>
  <si>
    <t>显示更多锁定的原因。</t>
  </si>
  <si>
    <t>isLockedAltMessage:上天才给您施展。</t>
  </si>
  <si>
    <t>isLockedAlt2</t>
  </si>
  <si>
    <t>更多锁定2</t>
  </si>
  <si>
    <t>另一个原因被锁定。用于显示更多锁定的原因。</t>
  </si>
  <si>
    <t>isLockedAlt2:if self.isInWater()</t>
  </si>
  <si>
    <t>isLockedAlt2Message</t>
  </si>
  <si>
    <t>更多锁定消息2</t>
  </si>
  <si>
    <t>isLockedAlt2Message:水中自然要划水了~</t>
  </si>
  <si>
    <t>allowMultipleInQueue</t>
  </si>
  <si>
    <t>允许多个队列</t>
  </si>
  <si>
    <t>允许多次点击此行为形成队列，false时则只能点一次，不能累加。</t>
  </si>
  <si>
    <t>allowMultipleInQueue:true</t>
  </si>
  <si>
    <t>onlyOneUnitAtATime</t>
  </si>
  <si>
    <t>一次只有一个单位</t>
  </si>
  <si>
    <t>填true时选中多个同类单位时，只有一个执行此行为。</t>
  </si>
  <si>
    <t>onlyOneUnitAtATime:true</t>
  </si>
  <si>
    <t>isGuiBlinking</t>
  </si>
  <si>
    <t>界面闪烁</t>
  </si>
  <si>
    <t>此行为在界面中闪烁。</t>
  </si>
  <si>
    <t>isGuiBlinking:true</t>
  </si>
  <si>
    <t>alwaysSinglePress</t>
  </si>
  <si>
    <t>总是按一次</t>
  </si>
  <si>
    <t>点击就执行，不需要确认。默认false,不需要在手机上确认，使用canPlayerCancel: false和allowMultipleInQueue: false也隐藏队列接口。</t>
  </si>
  <si>
    <t>isAlsoViewableByAllies</t>
  </si>
  <si>
    <t>显示给盟友</t>
  </si>
  <si>
    <t>允许盟友玩家看到这个单位的动作，对显示其他玩家有用(例如导抛射体数量，收集的物品)</t>
  </si>
  <si>
    <t>isAlsoViewableByAllies:false</t>
  </si>
  <si>
    <t>isAlsoViewableByEnemies</t>
  </si>
  <si>
    <t>显示给敌人</t>
  </si>
  <si>
    <t>允许敌方玩家看到这个单位的动作，对显示其他玩家有用(例如导抛射体数量，收集的物品)</t>
  </si>
  <si>
    <t>isAlsoViewableByEnemies:false</t>
  </si>
  <si>
    <t>extraLagHidingInUI</t>
  </si>
  <si>
    <t>消除ui额外延迟</t>
  </si>
  <si>
    <t>用于联机，在UI中立即更新而不需要从服务器确认的等待时间。</t>
  </si>
  <si>
    <t>extraLagHidingInUI:true</t>
  </si>
  <si>
    <t>streamingCost</t>
  </si>
  <si>
    <t>流式造价</t>
  </si>
  <si>
    <t>就像价格，但在建造时逐渐消耗资金，如果在构建过程中资源耗尽，建造或生产队列将暂停。就像是红警中那样。铁锈默认是预先扣除资金。</t>
  </si>
  <si>
    <t>streamingCos:100</t>
  </si>
  <si>
    <t>switchPriceWithStreamingCost</t>
  </si>
  <si>
    <t>切换价格为流造价</t>
  </si>
  <si>
    <t>快捷设置为默认资金消耗方式或为流式建造方式。建议使用模板快速将一个模组为所有单位切换流资源。</t>
  </si>
  <si>
    <t>switchPriceWithStreamingCost:true</t>
  </si>
  <si>
    <t>AI使用方式</t>
  </si>
  <si>
    <t>ai_isDisabled</t>
  </si>
  <si>
    <t>AI被禁用</t>
  </si>
  <si>
    <t>默认为false。使用此操作停止AI使用此动作。</t>
  </si>
  <si>
    <t>ai_isDisabled:true</t>
  </si>
  <si>
    <t>ai_isHighPriority</t>
  </si>
  <si>
    <t>AI高优先级</t>
  </si>
  <si>
    <t>AI将优先执行此动作。</t>
  </si>
  <si>
    <t>ai_isHighPriority:true</t>
  </si>
  <si>
    <t>ai_considerSameAsBuilding</t>
  </si>
  <si>
    <t>AI作为建筑</t>
  </si>
  <si>
    <t>填建筑。考虑动作的优先级将会跟建筑物建优先级一样。</t>
  </si>
  <si>
    <t>ai_considerSameAsBuilding:BU_cq</t>
  </si>
  <si>
    <t>触发器-这些触发器跳过队列并且不使用价格，忽略isLocked，buildTime等</t>
  </si>
  <si>
    <t>autoTriggerOnEvent</t>
  </si>
  <si>
    <t>自动触发事件</t>
  </si>
  <si>
    <t>满足此条件则自动触发。参数表：
创建，完成且激活，销毁，杀死任何单位，队列中单位完成，队列添加项目，队列项目取消，传送，接触目标成功，玩家指定路径，队伍变更，运输新单位，卸载或移除单位，受到伤害[支持可选的(withTag=x)]，进入载具，离开载具，新消息（withTag=x），移除附属，无
created, completeAndActive, destroyed, killedAnyUnit, queuedUnitFinished, queueItemAdded(1,15p9中添加了withActionTag和queueItemCancelled两个参数,用于触发动作时检测标签.), queueItemCancelled, teleported, touchTargetSuccess, newWaypointGivenByPlayer, teamChanged, transportingNewUnit，transportUnloadedOrRemovedUnit，tookDamage[支持可选的(withTag=x)],enteredTransport,leftTransport,newMessage(withTag=x),attachmentRemoved，NONE</t>
  </si>
  <si>
    <t>autoTriggerOnEvent:destroyed</t>
  </si>
  <si>
    <t>event type</t>
  </si>
  <si>
    <t>alsoTriggerOrQueueActionWithTarget</t>
  </si>
  <si>
    <t>也可以使用单位参考触发或队列操作</t>
  </si>
  <si>
    <t>更改其他触发动作的目标，默认为当前动作的目标。影响诸如 fireTurretXAtGround、spawnUnits、thisActionTarget()等。</t>
  </si>
  <si>
    <t>alsoTriggerOrQueueActionWithTarget:nearestUnit()</t>
  </si>
  <si>
    <t>unit ref</t>
  </si>
  <si>
    <t>autoTriggerOnEventRecursionLimit</t>
  </si>
  <si>
    <t>自动触发事件递归限制(默认为1)</t>
  </si>
  <si>
    <t>自己触发自己的限制次数，默认为1</t>
  </si>
  <si>
    <t>autoTriggerOnEventRecursionLimit:1</t>
  </si>
  <si>
    <t>alsoTriggerActionRepeat</t>
  </si>
  <si>
    <t>重复"也触发行动(alsoTriggerAction)"调用</t>
  </si>
  <si>
    <t>logic number (Repeats the alsoTriggerAction call, index changed on each repeat) - Useful to create loops or work with arrays
（动态数字）（每次重复时改变索引 用于创建循环或处理数组）</t>
  </si>
  <si>
    <t>alsoTriggerActionRepeat:self.hp</t>
  </si>
  <si>
    <t>logicNumber</t>
  </si>
  <si>
    <t>autoTrigger</t>
  </si>
  <si>
    <t>自动触发</t>
  </si>
  <si>
    <t>如果为true，则立即触发此操作的效果（忽略价格，isActive，isVisible，buildSpeed等）</t>
  </si>
  <si>
    <t>autoTrigger: if self.overWater()</t>
  </si>
  <si>
    <t>aiUse</t>
  </si>
  <si>
    <t>AI对该行动的使用方式</t>
  </si>
  <si>
    <t>可填：auto(自动)，launch（发射），launchAmmo（发射弹药），disabled（残缺），upGrade(升级)，movementChange(运动改变)，sameAsBuilding（与建筑物相同）</t>
  </si>
  <si>
    <t>aiUse:launch</t>
  </si>
  <si>
    <t>use type</t>
  </si>
  <si>
    <t>当在队列时(准备)时</t>
  </si>
  <si>
    <t>buildSpeed</t>
  </si>
  <si>
    <t>建造速度</t>
  </si>
  <si>
    <t>建造此动作所需要的时间，这个读条过程下面称之为准备以区分建造，机翻或是多个动作称之为队列。完成时的效果称为结果。</t>
  </si>
  <si>
    <t>buildSpeed:1s</t>
  </si>
  <si>
    <t>buildSpeed_ignoreFactorySpeedModifiers</t>
  </si>
  <si>
    <t>建造速度忽略工厂乘数</t>
  </si>
  <si>
    <t>建造此动作所需要的时间忽略[core]的工厂速度乘数以及工厂倍数</t>
  </si>
  <si>
    <t>buildSpeed_ignoreFactorySpeedModifiers:true</t>
  </si>
  <si>
    <t>refundAllQueuedItems</t>
  </si>
  <si>
    <t>取消所有队列项目</t>
  </si>
  <si>
    <t>并返还资源</t>
  </si>
  <si>
    <t>refundAllQueuedItems:true</t>
  </si>
  <si>
    <t>removeAllQueuedItemsWithoutRefund</t>
  </si>
  <si>
    <t>移除所有未建造完成的队列项目</t>
  </si>
  <si>
    <t>不返还资源</t>
  </si>
  <si>
    <t>removeAllQueuedItemsWithoutRefund:true</t>
  </si>
  <si>
    <t>highPriorityQueue</t>
  </si>
  <si>
    <t>高优先级队列</t>
  </si>
  <si>
    <t>默认为false。如果为true，则此操作将跳过队列中的所有其他低优先级操作。适用于fireTurret类动作。</t>
  </si>
  <si>
    <t>highPriorityQueue:true</t>
  </si>
  <si>
    <t>canPlayerCancel</t>
  </si>
  <si>
    <t>玩家可以取消</t>
  </si>
  <si>
    <t>玩家可以取消此动作。</t>
  </si>
  <si>
    <t>canPlayerCancel:true</t>
  </si>
  <si>
    <t>whenBuilding_cannotMove</t>
  </si>
  <si>
    <t>建造时无法移动</t>
  </si>
  <si>
    <t>执行操作准备时停止单位移动。适用于类似部署类动作。</t>
  </si>
  <si>
    <t>whenBuilding_cannotMove:true</t>
  </si>
  <si>
    <t>whenBuilding_playAnimation</t>
  </si>
  <si>
    <t>建造时播放动画</t>
  </si>
  <si>
    <t>准备此动作时，播放[animation]中自定义的动画。</t>
  </si>
  <si>
    <t>whenBuilding_playAnimation:AM_shiba</t>
  </si>
  <si>
    <t>whenBuilding_rotateTo</t>
  </si>
  <si>
    <t>建造时旋转</t>
  </si>
  <si>
    <t>准备此动作时，将单位主体旋转到该方向</t>
  </si>
  <si>
    <t>whenBuilding_rotateTo:-180</t>
  </si>
  <si>
    <t>whenBuilding_rotateTo_orBackwards</t>
  </si>
  <si>
    <t>建造时旋转或反转</t>
  </si>
  <si>
    <t>如果为true，则当角度较小时，允许从whenBuilding_rotateTo旋转180度。</t>
  </si>
  <si>
    <t>whenBuilding_rotateTo_orBackwards:true</t>
  </si>
  <si>
    <t>whenBuilding_rotateTo_waitTillRotated</t>
  </si>
  <si>
    <t>建造时需等待旋转完成</t>
  </si>
  <si>
    <t>暂停准备的行为，直到旋转完成再继续。</t>
  </si>
  <si>
    <t>whenBuilding_rotateTo_waitTillRotated:true</t>
  </si>
  <si>
    <t>whenBuilding_temporarilyConvertTo</t>
  </si>
  <si>
    <t>建造时临时转换为</t>
  </si>
  <si>
    <t>准备此操作时临时转换为另一个单位。原始单位的操作将保留。</t>
  </si>
  <si>
    <t>whenBuilding_temporarilyConvertTo:TEM_shiba</t>
  </si>
  <si>
    <t>whenBuilding_temporarilyConvertTo_keepFields</t>
  </si>
  <si>
    <t>建造时保留字段</t>
  </si>
  <si>
    <t>不要在使用whenbuilding_temporaryconvertto时更改这些字段(无论是从或到)，这对setUnitStats很有用</t>
  </si>
  <si>
    <t>whenBuilding_temporarilyConvertTo_keepFields:maxHp</t>
  </si>
  <si>
    <t>fields</t>
  </si>
  <si>
    <t>whenBuilding_triggerAction</t>
  </si>
  <si>
    <t>建造时触发动作</t>
  </si>
  <si>
    <t>准备时触发另一个动作</t>
  </si>
  <si>
    <t>whenBuilding_triggerAction:ACT_shiba</t>
  </si>
  <si>
    <t>action</t>
  </si>
  <si>
    <t>whenBuilding_rotateTo_aimAtActionTarget</t>
  </si>
  <si>
    <t>建造时转向直至瞄准目标</t>
  </si>
  <si>
    <t>准备时转向瞄准目标,luke:测试版注意:在某些情况下是坏的</t>
  </si>
  <si>
    <t>whenBuilding_rotateTo_aimAtActionTarget:true</t>
  </si>
  <si>
    <t>whenBuilding_rotateTo_rotateTurretX</t>
  </si>
  <si>
    <t>建造时转向指定炮塔</t>
  </si>
  <si>
    <t>准备此操作时转向指定炮塔。</t>
  </si>
  <si>
    <t>whenBuilding_rotateTo_rotateTurretX:shi</t>
  </si>
  <si>
    <t>spawnEffectsOnQueue</t>
  </si>
  <si>
    <t>队列产生效果</t>
  </si>
  <si>
    <t>动作准备开始时产生的效果。</t>
  </si>
  <si>
    <t>spawnEffectsOnQueue:custom:shiba</t>
  </si>
  <si>
    <t>playSoundToPlayerOnQueue</t>
  </si>
  <si>
    <t>队列播放声音</t>
  </si>
  <si>
    <t>动作准备时播放给玩家的声音。</t>
  </si>
  <si>
    <t>playSoundToPlayerOnQueue:shiba.ogg</t>
  </si>
  <si>
    <t>杂项结果/结果（发生的情况）
（注意：要显示的动作必须至少有一项结果，或者有isVisible:true）</t>
  </si>
  <si>
    <t>requireConditional</t>
  </si>
  <si>
    <t>需要条件</t>
  </si>
  <si>
    <t>如果结果为false，则跳过此操作所有结果。</t>
  </si>
  <si>
    <t>requireConditional:if not numberOfUnitsInTeam(withTag='shiba',withinRange=233,greaterThan=0)</t>
  </si>
  <si>
    <t>convertTo</t>
  </si>
  <si>
    <t>转换成</t>
  </si>
  <si>
    <t>将您的单位转换为另一个单位。许多属性被保留。</t>
  </si>
  <si>
    <t>convertTo:SC_shiba</t>
  </si>
  <si>
    <t>convertTo_keepCurrentTags</t>
  </si>
  <si>
    <t>转换时保留标签</t>
  </si>
  <si>
    <t>将单位转换为另一个单位。并且保留拥有的标签。</t>
  </si>
  <si>
    <t>convertTo_keepCurrentTags:true</t>
  </si>
  <si>
    <t>convertTo_keepCurrentFields</t>
  </si>
  <si>
    <t>转换时保留字段</t>
  </si>
  <si>
    <t>转换时不要更改这些字段，这在setUnitStats中很有用</t>
  </si>
  <si>
    <t>convertTo_keepCurrentFields:maxHp</t>
  </si>
  <si>
    <t>addEnergy</t>
  </si>
  <si>
    <t>增加能量</t>
  </si>
  <si>
    <t>为单位增加能量。需要设置了energyMax，否则不起作用。（与addResources相同：energy = X）</t>
  </si>
  <si>
    <t>addEnergy:1</t>
  </si>
  <si>
    <t>addResources</t>
  </si>
  <si>
    <t>添加资源</t>
  </si>
  <si>
    <t>操作完成后，添加这些资源。</t>
  </si>
  <si>
    <t>addResources: credits=5, energy=-5, hp=-100, shield=5, ammo=1</t>
  </si>
  <si>
    <t>addResourcesScaledByAIHandicaps</t>
  </si>
  <si>
    <t>根据AI难度添加资源。</t>
  </si>
  <si>
    <t>与addResources类似，但根据AI难度级别增加或减少。比例：最简单40%、简单70%、中等100%、困难140%、很困难180%、不可能370%</t>
  </si>
  <si>
    <t>addResourcesScaledByAIHandicaps:true/[resource]</t>
  </si>
  <si>
    <t>bool/resource</t>
  </si>
  <si>
    <t>addResourcesWithLogic</t>
  </si>
  <si>
    <t>用逻辑添加资源</t>
  </si>
  <si>
    <t>与addResources类似，但允许对资源值使用逻辑</t>
  </si>
  <si>
    <t>addResourcesWithLogic: hp = select( self.parent.energy&gt;5, 10, 20 )</t>
  </si>
  <si>
    <t>LogicOperation</t>
  </si>
  <si>
    <t>setResourcesWithLogic</t>
  </si>
  <si>
    <t>用逻辑设置资源</t>
  </si>
  <si>
    <t>将目标资源设置为此值，而不是添加。小心对全局资源使用。</t>
  </si>
  <si>
    <t>setResourcesWithLogic: hp=self.parent.hp - 10, energy = self.energy / 2</t>
  </si>
  <si>
    <t>deleteSelf</t>
  </si>
  <si>
    <t>删除自身</t>
  </si>
  <si>
    <t>删除执行此操作的单位，没有死亡效果，不执行死亡触发。</t>
  </si>
  <si>
    <t>deleteSelf:true</t>
  </si>
  <si>
    <t>resetCustomTimer</t>
  </si>
  <si>
    <t>重置自定义计时器</t>
  </si>
  <si>
    <t>重置自定义计时器，与self.customTimer()</t>
  </si>
  <si>
    <t>resetCustomTimer:if self.customTimer(laterThanSeconds=5)</t>
  </si>
  <si>
    <t>setBodyRotation</t>
  </si>
  <si>
    <t>设置躯干旋转</t>
  </si>
  <si>
    <t>设置单位旋转度数。单位朝右为0度。因为是结果而不是准备过程，所以很突然。（支持动态数字比如memory）</t>
  </si>
  <si>
    <t>setBodyRotation:memory.dir</t>
  </si>
  <si>
    <t>LogicNumber</t>
  </si>
  <si>
    <t>setHeight</t>
  </si>
  <si>
    <t>设置高度</t>
  </si>
  <si>
    <t>新增设置高度，可以使用逻辑</t>
  </si>
  <si>
    <t>setHeight:self.hp</t>
  </si>
  <si>
    <t>setUnitStats</t>
  </si>
  <si>
    <t>设置单位状态</t>
  </si>
  <si>
    <t>字段值。允许在不转换的情况下动态更改选定的字段数量。支持=/+=/-=，动态数学/逻辑。可以改变的领域:maxHp(血量上限)，hp(血量)，selfRegenRate(自身回血速度)，maxShield(护盾上限)，shield(护盾)，shieldRegen(护盾恢复速度)，maxEnergy(能量上限)，energy(能量)，armour(装甲)，mass(质量)，shootDelayMultiplier(开火间隔倍数)，shootDamageMultiplier(开火伤害倍数)，movespeed(最大移动速度)，maxTurnSpeed(最大转弯速度)，maxAttackRange(最大攻击距离)，nanoRange(修复范围)，fogOfWarSightRange(迷雾视野)，nanoFactorySpeed(工厂制造速度倍数)，targetHeight(单位最终高度)</t>
  </si>
  <si>
    <t>setUnitStats: maxHp+=self.energy+100, hp+=50, shieldRegen=0.5</t>
  </si>
  <si>
    <t>fields values</t>
  </si>
  <si>
    <t>resetUnitStats</t>
  </si>
  <si>
    <t>重置单位状态</t>
  </si>
  <si>
    <t>将setUnitStats所做的更改重置为基本值</t>
  </si>
  <si>
    <t>resetUnitStats:true</t>
  </si>
  <si>
    <t>shrinkArrays</t>
  </si>
  <si>
    <t>简化数组</t>
  </si>
  <si>
    <t>去掉null项或死亡单位项还有为零的项，然后向前压缩</t>
  </si>
  <si>
    <t>shrinkArrays:&lt;array memory:name&gt;</t>
  </si>
  <si>
    <t>array memory name</t>
  </si>
  <si>
    <t>setUnitMemory</t>
  </si>
  <si>
    <t>设置单位内存</t>
  </si>
  <si>
    <t>键值对。改变此单元的内存，值可以用逻辑设定。内存必须首先用defineUnitMemory或@memory定义。
注：
设置内存时 需要加上数组下标
eg. setUnitMemory: numArray[0]=2
数组下标从0开始</t>
  </si>
  <si>
    <t>setUnitMemory: """
customText=memory.customText+'hello',
nukeActive=true, 
nextTarget=self.attacking.nearestUnit(withinRange=300, withTag='x', relation='enemy')
"""</t>
  </si>
  <si>
    <t>key value pairs</t>
  </si>
  <si>
    <t>结果-连锁动作</t>
  </si>
  <si>
    <t>alsoTriggerAction</t>
  </si>
  <si>
    <t>也执行动作</t>
  </si>
  <si>
    <t>触发其他动作的结果。忽略行动的要求。</t>
  </si>
  <si>
    <t>alsoTriggerAction: addCredits, playSound</t>
  </si>
  <si>
    <t>alsoQueueAction</t>
  </si>
  <si>
    <t>也添加进队列</t>
  </si>
  <si>
    <t>将另一个动作添加到序列中。忽略行动的要求</t>
  </si>
  <si>
    <t>alsoTriggerOrQueueActionConditional</t>
  </si>
  <si>
    <t>也执行队列或需执行条件</t>
  </si>
  <si>
    <t>将此操作添加到序列。如果条件不满足(false)则忽略alsoQueueAction。默认true.</t>
  </si>
  <si>
    <t>alsoTriggerOrQueueActionConditional:if not self.isFlying()</t>
  </si>
  <si>
    <t>结果-声音</t>
  </si>
  <si>
    <t>playSoundAtUnit</t>
  </si>
  <si>
    <t>播放声音至单位</t>
  </si>
  <si>
    <t>动作结束时在当前位置播放声音。</t>
  </si>
  <si>
    <t>playSoundAtUnit:shiba.ogg</t>
  </si>
  <si>
    <t>playSoundGlobally</t>
  </si>
  <si>
    <t>播放声音至全图</t>
  </si>
  <si>
    <t>播放全局声音，所有玩家都能听到。</t>
  </si>
  <si>
    <t>playSoundGlobally:shiba.ogg:0.5</t>
  </si>
  <si>
    <t>playSoundToPlayer</t>
  </si>
  <si>
    <t>播放声音至玩家</t>
  </si>
  <si>
    <t>播放声音，只有自己能听到。</t>
  </si>
  <si>
    <t>playSoundToPlayer:shiba.ogg:999</t>
  </si>
  <si>
    <t>结果-炮塔发射抛射体</t>
  </si>
  <si>
    <t>fireTurretXAtGround</t>
  </si>
  <si>
    <t>指定攻击地面炮塔</t>
  </si>
  <si>
    <t>使用此炮塔攻击玩家所指定的地面。</t>
  </si>
  <si>
    <t>fireTurretXAtGround: nukeSilo</t>
  </si>
  <si>
    <t>fireTurretXAtGround_withOffset</t>
  </si>
  <si>
    <t>指定攻击地面坐标</t>
  </si>
  <si>
    <t>攻击指定坐标所在地面，不需要手动选择，</t>
  </si>
  <si>
    <t>fireTurretXAtGround_withOffset: 0,0</t>
  </si>
  <si>
    <t>pointeger</t>
  </si>
  <si>
    <t>fireTurretXAtGround_withProjectile</t>
  </si>
  <si>
    <t>指定攻击地面抛射体</t>
  </si>
  <si>
    <t>设定使用的抛射体，如果不设置则为炮塔默认的抛射体。</t>
  </si>
  <si>
    <t>fireTurretXAtGround_withProjectile:PRO_1</t>
  </si>
  <si>
    <t>fireTurretXAtGround_showGuideDecals</t>
  </si>
  <si>
    <t>指定攻击地面时显示贴花</t>
  </si>
  <si>
    <t>当选择发射位置时显示贴花(参考核抛射体选择发射地点时长按显示)</t>
  </si>
  <si>
    <t>fireTurretXAtGround_showGuideDecals:&lt;decal:name&gt;</t>
  </si>
  <si>
    <t>decal name(贴花名称)</t>
  </si>
  <si>
    <t>fireTurretXAtGround_withTarget</t>
  </si>
  <si>
    <t>指定攻击目标</t>
  </si>
  <si>
    <t>炮塔瞄准指示的单位或标记的位置发射</t>
  </si>
  <si>
    <t>fireTurretXAtGround_withTarget:self.lastDamagedBy</t>
  </si>
  <si>
    <t>unitref</t>
  </si>
  <si>
    <t>fireTurretXAtGround_count</t>
  </si>
  <si>
    <t>指定攻击地面数量</t>
  </si>
  <si>
    <t>设置发射的抛射体数量，默认为1</t>
  </si>
  <si>
    <t>fireTurretXAtGround_count:9</t>
  </si>
  <si>
    <t>fireTurretXAtGround_onlyOverPassableTileOf</t>
  </si>
  <si>
    <t>指定攻击地面类型</t>
  </si>
  <si>
    <t>设置手动选择的地面需要满足这种运动方式。列表：无，陆地，建筑，空军，水。两栖，跨悬崖，跨悬崖和度水。
NONE LAND BUILDING AIR WATER HOVER OVER_CLIFF OVER_CLIFF_WATER</t>
  </si>
  <si>
    <t>fireTurretXAtGround_onlyOverPassableTileOf:LAND</t>
  </si>
  <si>
    <t>结果-生成单位</t>
  </si>
  <si>
    <t>spawnUnits</t>
  </si>
  <si>
    <t>产生指定单位，可用是多种。</t>
  </si>
  <si>
    <t>eg: spawnUnits: heavyTank, tank*5, hoverTank(offsetX=10)</t>
  </si>
  <si>
    <t>spawnEffects</t>
  </si>
  <si>
    <t>产生效果</t>
  </si>
  <si>
    <t>产生指定效果</t>
  </si>
  <si>
    <t>spawnEffects:custom:shiba</t>
  </si>
  <si>
    <t>produceUnits</t>
  </si>
  <si>
    <t>生产单位</t>
  </si>
  <si>
    <t>类似spawnUnits，但是单位像正常生产一样，并获得路径的移动。1.13只对非建筑物生成的单位有效。</t>
  </si>
  <si>
    <t>produceUnits:bigshibainu</t>
  </si>
  <si>
    <t>结果-位置</t>
  </si>
  <si>
    <t>offsetSelfAbsolute</t>
  </si>
  <si>
    <t>自身位置偏移</t>
  </si>
  <si>
    <t>使用时将修改单位当前位置，以单位为中心的绝对坐标。</t>
  </si>
  <si>
    <t>offsetSelfAbsolute: 0, 0, 40 [x,y,height]</t>
  </si>
  <si>
    <t>integer list</t>
  </si>
  <si>
    <t>teleportTo</t>
  </si>
  <si>
    <t>传送到</t>
  </si>
  <si>
    <t>传送到(填单位参考)</t>
  </si>
  <si>
    <t>teleportTo:nearestUnit</t>
  </si>
  <si>
    <t>成果-运输变化</t>
  </si>
  <si>
    <t>transportTargetNow</t>
  </si>
  <si>
    <t>主动装运目标</t>
  </si>
  <si>
    <t>主动装运目标(填单位参考)</t>
  </si>
  <si>
    <t>transportTargetNow:nearestUnit</t>
  </si>
  <si>
    <t>addUnitsIntoTransport</t>
  </si>
  <si>
    <t>添加单位到载具</t>
  </si>
  <si>
    <t>将单位添加到运输槽中，在添加之前会检查空间是否够。</t>
  </si>
  <si>
    <t>addUnitsIntoTransport: tank*3, heavyTank</t>
  </si>
  <si>
    <t>unit list</t>
  </si>
  <si>
    <t>deleteNumUnitsFromTransport</t>
  </si>
  <si>
    <t>从载具中删除单位数</t>
  </si>
  <si>
    <t>从载具中删除指定数量单位。</t>
  </si>
  <si>
    <t>deleteNumUnitsFromTransport:3</t>
  </si>
  <si>
    <t>deleteNumUnitsFromTransport_onlyWithTags</t>
  </si>
  <si>
    <t>从载具删除带标签单位</t>
  </si>
  <si>
    <t>从载具中删除具有此标签的指定数量单位。</t>
  </si>
  <si>
    <t>deleteNumUnitsFromTransport_onlyWithTags:cat</t>
  </si>
  <si>
    <t>startUnloadingTransport</t>
  </si>
  <si>
    <t>开始卸载单位</t>
  </si>
  <si>
    <t>startUnloadingTransport:true</t>
  </si>
  <si>
    <t>forceUnloadTransportNow</t>
  </si>
  <si>
    <t>强制卸载单位</t>
  </si>
  <si>
    <t>立即强制卸载单位</t>
  </si>
  <si>
    <t>forceUnloadTransportNow:true</t>
  </si>
  <si>
    <t>forceUnloadTransportNow_onlyOnSlot</t>
  </si>
  <si>
    <t>强制卸载指定槽位单位</t>
  </si>
  <si>
    <t>forceUnloadTransportNow_onlyOnSlot:1</t>
  </si>
  <si>
    <t>结果-路径点</t>
  </si>
  <si>
    <t>clearAllWaypoints</t>
  </si>
  <si>
    <t>清除所有路径点</t>
  </si>
  <si>
    <t>清除当前所有路径。</t>
  </si>
  <si>
    <t>clearAllWaypoints:true</t>
  </si>
  <si>
    <t>clearActiveWaypoint</t>
  </si>
  <si>
    <t>清除当前路径点</t>
  </si>
  <si>
    <t>清除当前路径，也就是停止当前动作，执行下一个路径点。</t>
  </si>
  <si>
    <t>clearActiveWaypoint:true</t>
  </si>
  <si>
    <t>addWaypoint_type</t>
  </si>
  <si>
    <t>添加路径点类型</t>
  </si>
  <si>
    <t>添加的路径点类型。值列表：移动，移动攻击，防守，进入载具，主动装载，攻击，回收，维修，靠近目标，建造，跟随，设置被动目标，卸载至，巡逻，防守至，触发行动，在范围内时触发行动
move, attackMove, guard, loadInto, loadUp, attack, reclaim, repair, touchTarget, build, follow，setPassiveTarget，unloadAt，patrol，guardAt，triggerAction，triggerActionWhenInRange</t>
  </si>
  <si>
    <t>addWaypoint_type:move</t>
  </si>
  <si>
    <t>waypostatic type</t>
  </si>
  <si>
    <t>addWaypoint_unitType</t>
  </si>
  <si>
    <t>添加路径点所建造的单位类型</t>
  </si>
  <si>
    <t>用于让当前单位去建造指定单位。仅用于addWaypoint_type:build</t>
  </si>
  <si>
    <t>addWaypoint_unitType:BU_shiba</t>
  </si>
  <si>
    <t>addWaypoint_prepend</t>
  </si>
  <si>
    <t>添加路径点序列位置</t>
  </si>
  <si>
    <t>添加到路径点的开头或结尾</t>
  </si>
  <si>
    <t>addWaypoint_prepend:true</t>
  </si>
  <si>
    <t>addWaypoint_triggerActionIfFailed</t>
  </si>
  <si>
    <t>添加路径点失败触发</t>
  </si>
  <si>
    <t>如果target_nearestUnit找不到匹配项，因此无法添加路径点，则触发此操作</t>
  </si>
  <si>
    <t>addWaypoint_triggerActionIfFailed:act_fail</t>
  </si>
  <si>
    <t>actions</t>
  </si>
  <si>
    <t>addWaypoint_triggerActionIfMatched</t>
  </si>
  <si>
    <t>添加路径点匹配触发</t>
  </si>
  <si>
    <t>如果操作添加的路径点是有效的，则执行指定操作。</t>
  </si>
  <si>
    <t>addWaypoint_triggerActionIfMatched:act_suc</t>
  </si>
  <si>
    <t>addWaypoint_maxTime</t>
  </si>
  <si>
    <t>添加路径点检索时间</t>
  </si>
  <si>
    <t>如果此路径点这么久还无法执行完成，则取消。</t>
  </si>
  <si>
    <t>addWaypoint_maxTime:10s</t>
  </si>
  <si>
    <t>addWaypoint_target_nearestUnit_tagged</t>
  </si>
  <si>
    <t>添加路径点检索标签</t>
  </si>
  <si>
    <t>添加的路径点目标为靠近有此标签的单位。</t>
  </si>
  <si>
    <t>addWaypoint_target_nearestUnit_tagged:tag_shiba</t>
  </si>
  <si>
    <t>addWaypoint_target_nearestUnit_team</t>
  </si>
  <si>
    <t>添加路径点靠近队伍</t>
  </si>
  <si>
    <t>添加的路径点目标需要的所属方：己方|除自己外任何|中立|除自己外盟友|盟友|敌人|任何，own|notOwn|neutral|allyNotOwn|ally|enemy|any</t>
  </si>
  <si>
    <t>addWaypoint_target_nearestUnit_team:own</t>
  </si>
  <si>
    <t>relation</t>
  </si>
  <si>
    <t>addWaypoint_target_nearestUnit_maxRange</t>
  </si>
  <si>
    <t>添加路径点检索范围</t>
  </si>
  <si>
    <t>添加的路径点靠近某目标时考虑的最大范围。</t>
  </si>
  <si>
    <t>addWaypoint_target_nearestUnit_maxRange:999</t>
  </si>
  <si>
    <t>addWaypoint_target_mapMustBeReachable</t>
  </si>
  <si>
    <t>添加路径点路径可达</t>
  </si>
  <si>
    <t>添加的路径点靠近某目标时必须是有可到达路径的。</t>
  </si>
  <si>
    <t>addWaypoint_target_mapMustBeReachable:true</t>
  </si>
  <si>
    <t>addWaypoint_target_fromReference</t>
  </si>
  <si>
    <t>添加路径点来自参考</t>
  </si>
  <si>
    <t>添加路径点来自单位信息引用。</t>
  </si>
  <si>
    <t>addWaypoint_target_fromReference: self.memory.lastDock</t>
  </si>
  <si>
    <t>addWaypoint_position_offsetFromSelf</t>
  </si>
  <si>
    <t>添加路径点坐标偏移</t>
  </si>
  <si>
    <t>添加的路径点相对于自身偏移的坐标。</t>
  </si>
  <si>
    <t>addWaypoint_position_offsetFromSelf:10,10</t>
  </si>
  <si>
    <t>addWaypoint_position_fromAction</t>
  </si>
  <si>
    <t>添加路径点动作坐标</t>
  </si>
  <si>
    <t>将当前动作指定的坐标添加进路径序列中。</t>
  </si>
  <si>
    <t>addWaypoint_position_fromAction:true</t>
  </si>
  <si>
    <t>addWaypoint_position_randomOffsetFromSelf</t>
  </si>
  <si>
    <t>添加路径点随机偏移</t>
  </si>
  <si>
    <t>添加坐标进路径点时的随机值。</t>
  </si>
  <si>
    <t>addWaypoint_position_randomOffsetFromSelf:5,5</t>
  </si>
  <si>
    <t>integer(s)</t>
  </si>
  <si>
    <t>addWaypoint_position_relativeOffsetFromSelf</t>
  </si>
  <si>
    <t>添加路径点相对偏移</t>
  </si>
  <si>
    <t>添加路径点位置相对自身偏移量。</t>
  </si>
  <si>
    <t>addWaypoint_position_relativeOffsetFromSelf:10,10</t>
  </si>
  <si>
    <t>addWaypoint_target_randomUnit_tagged</t>
  </si>
  <si>
    <t>添加指定标签的随机单位</t>
  </si>
  <si>
    <t>添加路径点单位为指定标签的随机单位</t>
  </si>
  <si>
    <t>addWaypoint_target_randomUnit_tagged:shibaInu</t>
  </si>
  <si>
    <t>addWaypoint_target_randomUnit_team</t>
  </si>
  <si>
    <t>添加指定队伍的随机单位</t>
  </si>
  <si>
    <t>添加路径点单位为指定队伍的随机单位</t>
  </si>
  <si>
    <t>addWaypoint_target_randomUnit_team:own</t>
  </si>
  <si>
    <t>addWaypoint_target_randomUnit_maxRange</t>
  </si>
  <si>
    <t>添加指定范围的随机单位</t>
  </si>
  <si>
    <t>添加路径点单位为指定范围的随机单位</t>
  </si>
  <si>
    <t>addWaypoint_target_randomUnit_maxRange:999</t>
  </si>
  <si>
    <t>结果-冷却</t>
  </si>
  <si>
    <t>addAllActionCooldownsTime</t>
  </si>
  <si>
    <t>增加所有动作冷却时间</t>
  </si>
  <si>
    <t>增加所有action的冷却时间。</t>
  </si>
  <si>
    <t>addAllActionCooldownsTime:10s</t>
  </si>
  <si>
    <t>addAllActionCooldownsFor</t>
  </si>
  <si>
    <t>对于所有动作而言增加冷却时间</t>
  </si>
  <si>
    <t>addAllActionCooldownsFor:10s</t>
  </si>
  <si>
    <t>addActionCooldownTime</t>
  </si>
  <si>
    <t>增加动作冷却时间</t>
  </si>
  <si>
    <t>增加动作冷却时间，制作先充能再使用的action更加容易了。</t>
  </si>
  <si>
    <t>addActionCooldownTime:10s</t>
  </si>
  <si>
    <t>addActionCooldownFor</t>
  </si>
  <si>
    <t>对于动作而言增加冷却时间</t>
  </si>
  <si>
    <t>addActionCooldownFor:10s</t>
  </si>
  <si>
    <t>addActionCooldownsFor</t>
  </si>
  <si>
    <t>addActionCooldownsFor:10s</t>
  </si>
  <si>
    <t>addActionCooldownApplyToActions</t>
  </si>
  <si>
    <t>添加指定动作冷却时间</t>
  </si>
  <si>
    <t>action id，设置addActionCooldownTime的目标。默认情况下是当前操作本身。</t>
  </si>
  <si>
    <t>addActionCooldownApplyToActions:</t>
  </si>
  <si>
    <t>clearAllActionCooldowns</t>
  </si>
  <si>
    <t>清除所有动作冷却时间</t>
  </si>
  <si>
    <t>清除所有动作冷却时间，使其立即可用。</t>
  </si>
  <si>
    <t>clearAllActionCooldowns:true</t>
  </si>
  <si>
    <t>结果-动画</t>
  </si>
  <si>
    <t>playAnimation</t>
  </si>
  <si>
    <t>播放动画</t>
  </si>
  <si>
    <t>播放[animation_xx]类型动画。</t>
  </si>
  <si>
    <t>playAnimation:shiba</t>
  </si>
  <si>
    <t>playAnimationIfNotPlaying</t>
  </si>
  <si>
    <t>如果未播放动画则播放动画</t>
  </si>
  <si>
    <t>如果没有播放该动画，就播放该动画</t>
  </si>
  <si>
    <t>playAnimationIfNotPlaying:shiba</t>
  </si>
  <si>
    <t>finishPlayingLastAnimation</t>
  </si>
  <si>
    <t>完成最后一个动画</t>
  </si>
  <si>
    <t>完成最后一个动画，包括融合</t>
  </si>
  <si>
    <t>finishPlayingLastAnimation:true</t>
  </si>
  <si>
    <t>stopLastAnimation</t>
  </si>
  <si>
    <t>停止最后一个动画</t>
  </si>
  <si>
    <t>停止最后一个动画，跳过融合</t>
  </si>
  <si>
    <t>stopLastAnimation:true</t>
  </si>
  <si>
    <t>结果-中立</t>
  </si>
  <si>
    <t>switchToNeutralTeam</t>
  </si>
  <si>
    <t>切换至中立队伍</t>
  </si>
  <si>
    <t>将队伍更改为中立。该队伍与其他所有队伍结盟。除非使用[core]stayNeutral:true，否则它将被附近的单位捕获。</t>
  </si>
  <si>
    <t>switchToNeutralTeam:true</t>
  </si>
  <si>
    <t>switchToAggressiveTeam</t>
  </si>
  <si>
    <t>切换至侵略性队伍</t>
  </si>
  <si>
    <t>将此单位队伍更改为侵略性的内置队伍。不能被其它单位捕获。</t>
  </si>
  <si>
    <t>switchToAggressiveTeam:true</t>
  </si>
  <si>
    <t>switchToTeam</t>
  </si>
  <si>
    <t>切换至特定队伍</t>
  </si>
  <si>
    <t>切换到小队id。从0开始。(中立-1，敌对中立-2)</t>
  </si>
  <si>
    <t>switchtoteam:-1</t>
  </si>
  <si>
    <t>Logicinteger</t>
  </si>
  <si>
    <t>结果-从其他单位获取资源，多数代码我并没有实验。</t>
  </si>
  <si>
    <t>takeResources</t>
  </si>
  <si>
    <t>提取资源</t>
  </si>
  <si>
    <t>提取资源，至少写一种资源。</t>
  </si>
  <si>
    <t>takeResources: hp=5, gold=10</t>
  </si>
  <si>
    <t>customPrice</t>
  </si>
  <si>
    <t>takeResources_includeUnitsInTransport</t>
  </si>
  <si>
    <t>提取资源包括载具内</t>
  </si>
  <si>
    <t>提取资源，包括载具内单位。</t>
  </si>
  <si>
    <t>takeResources_includeUnitsInTransport:true</t>
  </si>
  <si>
    <t>takeResources_includeParent</t>
  </si>
  <si>
    <t>提取资源包括父单位或载具</t>
  </si>
  <si>
    <t>提取资源，包括父单位和运输载具。</t>
  </si>
  <si>
    <t>takeResources_includeParent:true</t>
  </si>
  <si>
    <t>takeResources_includeReference</t>
  </si>
  <si>
    <t>提取资源包括引用</t>
  </si>
  <si>
    <t>提取资源包括指定单位。</t>
  </si>
  <si>
    <t>[action]takeResources_includeReference: self.lastDamagedBy</t>
  </si>
  <si>
    <t>takeResources_triggerActionForEach</t>
  </si>
  <si>
    <t>每找到一个提取目标触发行动</t>
  </si>
  <si>
    <t>引用动作(找到带有资源的目标单位并提取时)</t>
  </si>
  <si>
    <t>takeResources_triggerActionForEach:&lt;action:name&gt;</t>
  </si>
  <si>
    <t>action name(行动名称)</t>
  </si>
  <si>
    <t>takeResources_includeUnitsWithinRange</t>
  </si>
  <si>
    <t>提取资源范围</t>
  </si>
  <si>
    <t>提取资源，在此范围内。</t>
  </si>
  <si>
    <t>takeResources_includeUnitsWithinRange:350</t>
  </si>
  <si>
    <t>takeResources_includeUnitsWithinRange_team</t>
  </si>
  <si>
    <t>提取资源队伍</t>
  </si>
  <si>
    <t>提取在此范围内队伍的资源。与“includeUnitsWithinRange”一起使用，默认为own。可以是：
己方|除自己外任何|中立|除自己外盟友|盟友|敌人|任何，own|notOwn|neutral|allyNotOwn|ally|enemy|any</t>
  </si>
  <si>
    <t>takeResources_includeUnitsWithinRange_team:own</t>
  </si>
  <si>
    <t>TeamRelation</t>
  </si>
  <si>
    <t>takeResources_excludeUnitsWithoutTags</t>
  </si>
  <si>
    <t>提取资源标签</t>
  </si>
  <si>
    <t>提取资源，但排除没有此标签的单位。</t>
  </si>
  <si>
    <t>takeResources_excludeUnitsWithoutTags:TAG_shiba</t>
  </si>
  <si>
    <t>takeResources_excludeUnitsWithTheseResources</t>
  </si>
  <si>
    <t>提取资源排除资源</t>
  </si>
  <si>
    <t>提取资源，不包括拥有这些资源的单位。</t>
  </si>
  <si>
    <t>takeResources_excludeUnitsWithTheseResources:CP_shiba</t>
  </si>
  <si>
    <t>takeResources_excludeUnitsWithoutAllResources</t>
  </si>
  <si>
    <t>提取资源排除不足</t>
  </si>
  <si>
    <t>提取资源，排除缺乏资源者。默认为true.</t>
  </si>
  <si>
    <t>takeResources_excludeUnitsWithoutAllResources:true</t>
  </si>
  <si>
    <t>takeResources_triggerActionIfAnyCollected</t>
  </si>
  <si>
    <t>提取资源成功触发</t>
  </si>
  <si>
    <t>如果有任何收集，则触发动作。</t>
  </si>
  <si>
    <t>takeResources_triggerActionIfAnyCollected:ACT_shiba</t>
  </si>
  <si>
    <t>takeResources_triggerActionIfNoneCollected</t>
  </si>
  <si>
    <t>提取资源失败触发</t>
  </si>
  <si>
    <t>如果没有收集，则触发操作。</t>
  </si>
  <si>
    <t>takeResources_triggerActionIfNoneCollected:act_shibainu</t>
  </si>
  <si>
    <t>takeResources_discardCollected</t>
  </si>
  <si>
    <t>提取资源删除</t>
  </si>
  <si>
    <t>从目标中获取资源，但不向自身添加也就是删除。</t>
  </si>
  <si>
    <t>takeResources_discardCollected:true</t>
  </si>
  <si>
    <t>takeResources_keepResourcesOnTarget</t>
  </si>
  <si>
    <t>提取资源克隆</t>
  </si>
  <si>
    <t>不从目标添加或删除资源。但克隆资源。与takeResources_discardCollected和takeResources_triggerActionIfAnyCollected一起使用以创建资源检测器。</t>
  </si>
  <si>
    <t>takeResources_keepResourcesOnTarget:true</t>
  </si>
  <si>
    <t>takeResources_maxUnits</t>
  </si>
  <si>
    <t>提取资源目标量</t>
  </si>
  <si>
    <t>最多从多少单位提取资源，默认为1。</t>
  </si>
  <si>
    <t>takeResources_maxUnits:1</t>
  </si>
  <si>
    <t>takeResources_directTransferStoppingAtZero</t>
  </si>
  <si>
    <t>提取资源直接转换至零</t>
  </si>
  <si>
    <t>提取资源直接转换至0,用于完全转换。如果目标上的资源少于转帐金额，则只有剩余的资源将被转帐。不支持使用其他一些takeResources_*代码</t>
  </si>
  <si>
    <t>takeResources_directTransferStoppingAtZero:true</t>
  </si>
  <si>
    <t>takeResources_searchOnly</t>
  </si>
  <si>
    <t>获取资源仅供搜索</t>
  </si>
  <si>
    <t>#新增快捷方式 eg. (
takeResources_maxUnits=200
takeResources_discardCollected=true
takeResources_keepResourcesOnTarget=true
)
注意:填写本代码时必须包含至少一下的其中一个代码
takeResources_includeUnitsWithinRange:#</t>
  </si>
  <si>
    <t>takeResources_searchOnly:true</t>
  </si>
  <si>
    <t>takeResources_saveFirstUnitToCustomTarget1</t>
  </si>
  <si>
    <t>提取资源保存第一个单元自定义目标1</t>
  </si>
  <si>
    <t>提取资源保存第一个单元一定是自定义目标1</t>
  </si>
  <si>
    <t>takeResources_saveFirstUnitToCustomTarget1:trur</t>
  </si>
  <si>
    <t>takeResources_saveFirstUnitToCustomTarget2</t>
  </si>
  <si>
    <t>提取资源保存第一个单元自定义目标2</t>
  </si>
  <si>
    <t>提取资源保存第一个单元一定是自定义目标2</t>
  </si>
  <si>
    <t>takeResources_saveFirstUnitToCustomTarget2:true</t>
  </si>
  <si>
    <t>结果-转换资源</t>
  </si>
  <si>
    <t>convertResource_from</t>
  </si>
  <si>
    <t>转换资源来源</t>
  </si>
  <si>
    <t>将此资源转换资源为别的资源。</t>
  </si>
  <si>
    <t>convertResource_from:SP_cat</t>
  </si>
  <si>
    <t>customResource</t>
  </si>
  <si>
    <t>convertResource_to</t>
  </si>
  <si>
    <t>转换资源至</t>
  </si>
  <si>
    <t>将资源转后为此资源，要提供的自定义资源的名称</t>
  </si>
  <si>
    <t>convertResource_to:SP_shiba</t>
  </si>
  <si>
    <t>convertResource_minAmount</t>
  </si>
  <si>
    <t>转换资源至少</t>
  </si>
  <si>
    <t>如果来源中资源小于该数量，则跳过。默认为0。在大多数情况下可能不需要。</t>
  </si>
  <si>
    <t>convertResource_minAmount:0</t>
  </si>
  <si>
    <t>convertResource_maxAmount</t>
  </si>
  <si>
    <t>转换资源至多</t>
  </si>
  <si>
    <t>“来源资源”和“转换后资源”之间的最大转化量</t>
  </si>
  <si>
    <t>convertResource_maxAmount:999</t>
  </si>
  <si>
    <t>convertResource_multiplyAmountBy</t>
  </si>
  <si>
    <t>转换资源倍率</t>
  </si>
  <si>
    <t>资源转换倍率，不影响提取的数量。默认值为1。</t>
  </si>
  <si>
    <t>convertResource_multiplyAmountBy:0.1</t>
  </si>
  <si>
    <t>结果-设置资源</t>
  </si>
  <si>
    <t>resourceAmount</t>
  </si>
  <si>
    <t>资源类型</t>
  </si>
  <si>
    <t>自定义资源的名称，使用以下3个键进行设置。所有键都是可选的，可以一起使用。</t>
  </si>
  <si>
    <t>resourceAmount:SP_cat</t>
  </si>
  <si>
    <t>resourceAmount_setValue</t>
  </si>
  <si>
    <t>资源类型设置数值</t>
  </si>
  <si>
    <t>设置此资源的绝对值，忽略资源的当前值。默认忽略。</t>
  </si>
  <si>
    <t>resourceAmount_setValue:99</t>
  </si>
  <si>
    <t>resourceAmount_addOtherResource</t>
  </si>
  <si>
    <t>资源类型添加至</t>
  </si>
  <si>
    <t>添加到其中的另一个自定义资源的名称。可以不使用resourceAmount_setValue，只是添加资源。或者使用resourceAmount_setValue:0复制一个资源值。</t>
  </si>
  <si>
    <t>resourceAmount_addOtherResource:SP_shiba</t>
  </si>
  <si>
    <t>resourceAmount_multiplyBy</t>
  </si>
  <si>
    <t>资源类型乘数</t>
  </si>
  <si>
    <t>默认值为1。将当前资源值乘上此值。</t>
  </si>
  <si>
    <t>resourceAmount_multiplyBy:1</t>
  </si>
  <si>
    <t>结果-附件(附属，子单位)更改</t>
  </si>
  <si>
    <t>attachments_addNewUnits</t>
  </si>
  <si>
    <t>附属添加单位</t>
  </si>
  <si>
    <t>添加单位作为其子单位，需要定义附属位置。</t>
  </si>
  <si>
    <t>attachments_addNewUnits:shiba</t>
  </si>
  <si>
    <t>attachments_deleteNumUnits</t>
  </si>
  <si>
    <t>附属删除单位数</t>
  </si>
  <si>
    <t>删除单位数量</t>
  </si>
  <si>
    <t>attachments_deleteNumUnits:1</t>
  </si>
  <si>
    <t>attachments_onlyOnSlots</t>
  </si>
  <si>
    <t>附属添加于槽位</t>
  </si>
  <si>
    <t>只将附属物添加于特定的槽位</t>
  </si>
  <si>
    <t>attachments_onlyOnSlots:SL_shiba</t>
  </si>
  <si>
    <t>disconnectFromParent</t>
  </si>
  <si>
    <t>脱离父单位</t>
  </si>
  <si>
    <t>用于子单位脱离父单位</t>
  </si>
  <si>
    <t>disconnectFromParent:true</t>
  </si>
  <si>
    <t>attachments_unload</t>
  </si>
  <si>
    <t>卸载附属</t>
  </si>
  <si>
    <t>卸载所有附属。可以与attachments_onlyonslot一起使用。与运输单位卸载相同</t>
  </si>
  <si>
    <t>attachments_unload:true</t>
  </si>
  <si>
    <t>attachments_disconnect</t>
  </si>
  <si>
    <t>附属断开连接</t>
  </si>
  <si>
    <t>断开所有现在所在位置的附属。可以与attachments_onlyonslot一起使用。</t>
  </si>
  <si>
    <t>attachments_disconnect:true</t>
  </si>
  <si>
    <t>结果-标签变更</t>
  </si>
  <si>
    <t>temporarilyAddTags</t>
  </si>
  <si>
    <t>临时标签添加</t>
  </si>
  <si>
    <t>将标签添加到单位，直到转换或重置。</t>
  </si>
  <si>
    <t>temporarilyAddTags:TEM_PD_shiba</t>
  </si>
  <si>
    <t>temporarilyRemoveTags</t>
  </si>
  <si>
    <t>临时标签删除</t>
  </si>
  <si>
    <t>从单位上删除标签，直到将其转换或重置。</t>
  </si>
  <si>
    <t>temporarilyRemoveTags:TEM_PD_shiba</t>
  </si>
  <si>
    <t>resetToDefaultTags</t>
  </si>
  <si>
    <t>标签重置</t>
  </si>
  <si>
    <t>重置为默认标签。</t>
  </si>
  <si>
    <t>resetToDefaultTags:true</t>
  </si>
  <si>
    <t>addGlobalTeamTags</t>
  </si>
  <si>
    <t>添加全局标签</t>
  </si>
  <si>
    <t>为玩家的团队添加此全局标签。与self.globalTeamTags()一起使用可创建解锁和升级。</t>
  </si>
  <si>
    <t>addGlobalTeamTags:TEM_UP_shiba</t>
  </si>
  <si>
    <t>removeGlobalTeamTags</t>
  </si>
  <si>
    <t>移除全局标签</t>
  </si>
  <si>
    <t>从玩家队伍中删除此全局标签。</t>
  </si>
  <si>
    <t>removeGlobalTeamTags:TEM_UP_shiba</t>
  </si>
  <si>
    <t>结果-显示讯息</t>
  </si>
  <si>
    <t>showMessageToPlayer</t>
  </si>
  <si>
    <t>发送消息至玩家</t>
  </si>
  <si>
    <t>向玩家个人发送信息。自己发给自己。</t>
  </si>
  <si>
    <t>showMessageToPlayer:对面傻蛋，您看不到！</t>
  </si>
  <si>
    <t>showMessageToPlayer_[Language]</t>
  </si>
  <si>
    <t>向玩家个人发送信息。自己发给自己。多语言版。注意:这种格式是支持几乎所有字符串显示给玩家，即使当引用不显示它</t>
  </si>
  <si>
    <t>showMessageToPlayer_es:text test shiba
showMessageToPlayer_zh:文本测试chemms</t>
  </si>
  <si>
    <t>showMessageToAllPlayers</t>
  </si>
  <si>
    <t>发送消息至所有</t>
  </si>
  <si>
    <t>向所有玩家发送消息。</t>
  </si>
  <si>
    <t>showMessageToAllPlayers:对面傻猫，队友说是不是？</t>
  </si>
  <si>
    <t>showMessageToAllEnemyPlayers</t>
  </si>
  <si>
    <t>发送消息给所有敌人</t>
  </si>
  <si>
    <t>发送消息给所有敌人。</t>
  </si>
  <si>
    <t>showMessageToAllEnemyPlayers:我投靠，收不？</t>
  </si>
  <si>
    <t>showQuickWarLogToPlayer</t>
  </si>
  <si>
    <t>发送战争快报至玩家</t>
  </si>
  <si>
    <t>向玩家个人发送战争快报。（在左下角）</t>
  </si>
  <si>
    <t>showQuickWarLogToPlayer:对面制杖，您看不到。</t>
  </si>
  <si>
    <t>showQuickWarLogToAllPlayers</t>
  </si>
  <si>
    <t>发送战争快报至所有</t>
  </si>
  <si>
    <t>向所有玩家发送战争快报。（在左下角）</t>
  </si>
  <si>
    <t>showQuickWarLogToAllPlayers:这是单位全局嘲讽。</t>
  </si>
  <si>
    <t>debugMessage</t>
  </si>
  <si>
    <t>调试信息</t>
  </si>
  <si>
    <t>仅在启用调试模式的沙盒模式中显示。</t>
  </si>
  <si>
    <t>debugMessage:[string]</t>
  </si>
  <si>
    <t>结果-发送数据</t>
  </si>
  <si>
    <t>sendMessageTo</t>
  </si>
  <si>
    <t>发送信息至</t>
  </si>
  <si>
    <t>填单位/单位引用</t>
  </si>
  <si>
    <t>sendMessageTo:self.lastDamagedBy</t>
  </si>
  <si>
    <t>sendMessageWithData</t>
  </si>
  <si>
    <t>发送信息与数据</t>
  </si>
  <si>
    <t>填变量=XXX</t>
  </si>
  <si>
    <t>sendMessageWithData:XXX=XXX</t>
  </si>
  <si>
    <t>variable List（变量菜单）</t>
  </si>
  <si>
    <t>sendMessageWithTags</t>
  </si>
  <si>
    <t>发送标签</t>
  </si>
  <si>
    <t>填指定标签</t>
  </si>
  <si>
    <t>sendMessageWithTags:cheems</t>
  </si>
  <si>
    <t>tag List（标签菜单）</t>
  </si>
  <si>
    <t>结果-设置自定义目标</t>
  </si>
  <si>
    <t>setCustomTarget1</t>
  </si>
  <si>
    <t>设置自定义目标1</t>
  </si>
  <si>
    <t>建议填单位引用</t>
  </si>
  <si>
    <t>setCustomTarget1:self</t>
  </si>
  <si>
    <t>setCustomTarget2</t>
  </si>
  <si>
    <t>设置自定义目标2</t>
  </si>
  <si>
    <t>setCustomTarget2:self</t>
  </si>
  <si>
    <t>swapCustomTarget1And2</t>
  </si>
  <si>
    <t>交换自定义目标1和2</t>
  </si>
  <si>
    <t>填布尔值</t>
  </si>
  <si>
    <t>swapCustomTarget1And2:true</t>
  </si>
  <si>
    <t>生成单位</t>
  </si>
  <si>
    <t>位于括号中</t>
  </si>
  <si>
    <t>Spawn units line</t>
  </si>
  <si>
    <t>用于action生成单位，大多数单位的生成键都支持多个单位且带有参数。注意：与spawnUnit不能混用spawnUnit用于抛射体。</t>
  </si>
  <si>
    <t>spawnUnits:crates*10(neutralTeam=true), tank(spawnChance=0.5)</t>
  </si>
  <si>
    <t>unitlist</t>
  </si>
  <si>
    <t>neutralTeam</t>
  </si>
  <si>
    <t>中立</t>
  </si>
  <si>
    <t>生成这个单位归属于中立队伍而不是所属玩家。</t>
  </si>
  <si>
    <t>spawnUnits:cat(neutralTeam=true)</t>
  </si>
  <si>
    <t>aggressiveTeam</t>
  </si>
  <si>
    <t>敌对队伍</t>
  </si>
  <si>
    <t>生成这个单位归属于敌对中立队伍而不是所属玩家。</t>
  </si>
  <si>
    <t>spawnUnits:cat(aggressiveTeam=true)</t>
  </si>
  <si>
    <t>setToTeamOfLastAttacker</t>
  </si>
  <si>
    <t>所属攻击者</t>
  </si>
  <si>
    <t>生成单位归属于攻击者。（在[core] unitsSpawnedOnDeath上有用）</t>
  </si>
  <si>
    <t>spawnUnits:cat(setToTeamOfLastAttacker=true)</t>
  </si>
  <si>
    <t>生成这个单位几率。 默认为1。</t>
  </si>
  <si>
    <t>spawnUnits:cat(spawnChance=0.5)</t>
  </si>
  <si>
    <t>spawnSource</t>
  </si>
  <si>
    <t>产生源</t>
  </si>
  <si>
    <t>改变产生地点和产生单位的队伍到这个单位参考。</t>
  </si>
  <si>
    <t>[action]spawnUnits: tank(spawnSource=memory.lastLocation)</t>
  </si>
  <si>
    <t>maxSpawnLimit</t>
  </si>
  <si>
    <t>最大生成数量</t>
  </si>
  <si>
    <t>与spawnChance一起使用时，总共可以产生的最大单位数。</t>
  </si>
  <si>
    <t>spawnUnits:treeA(spawnChance=0.5, maxSpawnLimit=1)</t>
  </si>
  <si>
    <t>gridAlign</t>
  </si>
  <si>
    <t>对齐网格</t>
  </si>
  <si>
    <t>将生成位置与网格对齐，对建筑物有用</t>
  </si>
  <si>
    <t>spawnUnits:cat(gridAlign=true, skipIfOverlapping=true)</t>
  </si>
  <si>
    <t>skipIfOverlapping</t>
  </si>
  <si>
    <t>跳过条件</t>
  </si>
  <si>
    <t>如果在无效的位置忽略单位生成。 例如基于LAND的单位不会产生在水中。</t>
  </si>
  <si>
    <t>falling</t>
  </si>
  <si>
    <t>降落</t>
  </si>
  <si>
    <t>让单位在生成时从天而降</t>
  </si>
  <si>
    <t>spawnUnits:cat(falling=true)</t>
  </si>
  <si>
    <t>offsetX</t>
  </si>
  <si>
    <t>X偏移</t>
  </si>
  <si>
    <t>生成单位位置X偏移量，单位像素</t>
  </si>
  <si>
    <t>spawnUnits:cat(offsetX=10,offsetY=10)</t>
  </si>
  <si>
    <t>offsetY</t>
  </si>
  <si>
    <t>Y偏移</t>
  </si>
  <si>
    <t>生成单位位置Y偏移量</t>
  </si>
  <si>
    <t>offsetRandomX</t>
  </si>
  <si>
    <t>X随机偏移</t>
  </si>
  <si>
    <t>生成单位位置X随机偏移量</t>
  </si>
  <si>
    <t>spawnUnits:cat(offsetRandomX=10,offsetRandomY=10)</t>
  </si>
  <si>
    <t>offsetRandomY</t>
  </si>
  <si>
    <t>Y随机偏移</t>
  </si>
  <si>
    <t>生成单位位置Y随机偏移量</t>
  </si>
  <si>
    <t>offsetRandomXY</t>
  </si>
  <si>
    <t>XY随机偏移</t>
  </si>
  <si>
    <t>生成出的抛射体在两个方向的偏移随机偏移，使真正的在一个区域随机化。</t>
  </si>
  <si>
    <t>spawnUnits:cat(offsetRandomXY=10)</t>
  </si>
  <si>
    <t>offsetRandomDir</t>
  </si>
  <si>
    <t>角度随机偏移</t>
  </si>
  <si>
    <t>生成单位时角度随机偏移量</t>
  </si>
  <si>
    <t>spawnUnits:cat(offsetRandomDir=10)</t>
  </si>
  <si>
    <t>dir</t>
  </si>
  <si>
    <t>offsetHeight</t>
  </si>
  <si>
    <t>生成此单位的高度偏移量。</t>
  </si>
  <si>
    <t>offsetDir</t>
  </si>
  <si>
    <t>生成单位时角度偏移量。单位度。</t>
  </si>
  <si>
    <t>spawnUnits:cat(offsetHeight=10)</t>
  </si>
  <si>
    <t>增加资源</t>
  </si>
  <si>
    <t>给生成单位这些资源，可用于设置触发动作的标志</t>
  </si>
  <si>
    <t>spawnUnits:crates(addResources=gold:30|stone:10, spawnChance=0.5)</t>
  </si>
  <si>
    <t>transportedUnitsToTransfer</t>
  </si>
  <si>
    <t>载员至载具</t>
  </si>
  <si>
    <t>将指定数量的单元放入生成出的单元的运输槽位中。</t>
  </si>
  <si>
    <t>spawnUnits:transporter(transportedUnitsToTransfer=5)</t>
  </si>
  <si>
    <t>copyWaypointsFrom</t>
  </si>
  <si>
    <t>复制路径来自</t>
  </si>
  <si>
    <t>复制目标上的所有路径点到创建的单位。</t>
  </si>
  <si>
    <t>spawnUnits: tank(copyWaypointsFrom=self)</t>
  </si>
  <si>
    <t>alwaysStartDirAtZero</t>
  </si>
  <si>
    <t>朝向总是为零</t>
  </si>
  <si>
    <t>生成出的单位朝向总是设置为零度。即朝右。</t>
  </si>
  <si>
    <t>spawnUnits:wolf(alwayStartDirAtZero=true)</t>
  </si>
  <si>
    <t>朝向总是零度</t>
  </si>
  <si>
    <t>techLevel</t>
  </si>
  <si>
    <t xml:space="preserve"> 圈大小（科技等级）</t>
  </si>
  <si>
    <t>只能给 damagingBorder（伤害边界，也称毒圈，红圈）和zoneMarker（预缩圈，也称白圈）使用的特殊值，填数字，计算方式是数值X地块5格。最小值为0，圈不可见。如填1则半径为5格。</t>
  </si>
  <si>
    <r>
      <rPr>
        <b/>
        <charset val="134"/>
        <sz val="10"/>
        <color rgb="FFFFFFFF"/>
        <rFont val="宋体"/>
      </rPr>
      <t>spawnUnits: damagingBorder(techLevel=100), zoneMarker(techLevel=40)</t>
    </r>
  </si>
  <si>
    <t>生成抛射体</t>
  </si>
  <si>
    <t>Spawn Projectiles line</t>
  </si>
  <si>
    <t>大多数生成抛射体代码可用于抛射体参数。</t>
  </si>
  <si>
    <t>spawnProjectilesOnEndOfLife: secondary*3(spawnChance=0.5)</t>
  </si>
  <si>
    <t>产生机会</t>
  </si>
  <si>
    <t>抛射体产生几率，默认为1</t>
  </si>
  <si>
    <t>spawnProjectilesOnCreate:1(spawnChance=0.5)</t>
  </si>
  <si>
    <t>最大产生限制</t>
  </si>
  <si>
    <t>抛射体的最大产生数量</t>
  </si>
  <si>
    <t>spawnProjectilesOnCreate:1(maxSpawnLimit=4)</t>
  </si>
  <si>
    <t>recursionLimit</t>
  </si>
  <si>
    <t>递归限制</t>
  </si>
  <si>
    <t>用于限制抛射体生成抛射体自身的上限,而不会产生死循环。这对自动生成很有用，因为不会无限生成，有利于链条爆炸</t>
  </si>
  <si>
    <t>spawnProjectilesOnCreate:1(recursionLimit=5)</t>
  </si>
  <si>
    <t>偏移量x</t>
  </si>
  <si>
    <t>生成出的抛射体的x轴偏移量</t>
  </si>
  <si>
    <t>spawnProjectilesOnCreate:1(offsetX=10)</t>
  </si>
  <si>
    <t>偏移量y</t>
  </si>
  <si>
    <t>生成出的抛射体的y轴偏移量</t>
  </si>
  <si>
    <t>spawnProjectilesOnCreate:1(offsetY=11)</t>
  </si>
  <si>
    <t>偏移随机X</t>
  </si>
  <si>
    <t>生成出的抛射体的x轴的随机偏移量</t>
  </si>
  <si>
    <t>spawnProjectilesOnCreate:1(offsetRandomX=12)</t>
  </si>
  <si>
    <t>偏移随机Y</t>
  </si>
  <si>
    <t>生成出的抛射体的y轴的随机偏移量</t>
  </si>
  <si>
    <t>spawnProjectilesOnCreate:1(offsetRandomY=13)</t>
  </si>
  <si>
    <t>偏移随机XY</t>
  </si>
  <si>
    <t>spawnProjectilesOnCreate:1(offsetRandomXY=14)</t>
  </si>
  <si>
    <t>偏移高度</t>
  </si>
  <si>
    <t>生成出的抛射体的z轴也就是高度偏移</t>
  </si>
  <si>
    <t>spawnProjectilesOnCreate:1(offsetHeight=15)</t>
  </si>
  <si>
    <t>偏移角度</t>
  </si>
  <si>
    <t>生成出的抛射体的角度偏移</t>
  </si>
  <si>
    <t>spawnProjectilesOnCreate:1(offsetDir=16)</t>
  </si>
  <si>
    <t>偏移随机角度</t>
  </si>
  <si>
    <t>生成出的抛射体的角度随机偏移量</t>
  </si>
  <si>
    <t>spawnProjectilesOnCreate:1(offsetRandomDir=17)</t>
  </si>
  <si>
    <t>x相对偏移</t>
  </si>
  <si>
    <t>生成出的抛射体的x轴的相对偏移量</t>
  </si>
  <si>
    <t>spawnProjectilesOnCreate:1(xOffsetRelative=19)</t>
  </si>
  <si>
    <t>y相对偏移</t>
  </si>
  <si>
    <t>生成出的抛射体的y轴的相对偏移量</t>
  </si>
  <si>
    <t>spawnProjectilesOnCreate:1(yOffsetRelative=20)</t>
  </si>
  <si>
    <t>x绝对偏移</t>
  </si>
  <si>
    <t>生成出的抛射体的x轴的绝对偏移量</t>
  </si>
  <si>
    <t>spawnProjectilesOnCreate:1(xOffsetAbsolute=19)</t>
  </si>
  <si>
    <t>y绝对偏移</t>
  </si>
  <si>
    <t>生成出的抛射体的y轴的绝对偏移量</t>
  </si>
  <si>
    <t>spawnProjectilesOnCreate:1(yOffsetAbsolute=20)</t>
  </si>
  <si>
    <t>逻辑</t>
  </si>
  <si>
    <t>Logic</t>
  </si>
  <si>
    <t>许多参数可以写等于，但luke没有正式写在代码表中</t>
  </si>
  <si>
    <t>true</t>
  </si>
  <si>
    <t>是</t>
  </si>
  <si>
    <t>满足/是/对/为真/1，不建议使用1或0，不是所有代码都支持。</t>
  </si>
  <si>
    <t>autoTrigger:true</t>
  </si>
  <si>
    <t>false</t>
  </si>
  <si>
    <t>非</t>
  </si>
  <si>
    <t>不满足/非/错/假/0</t>
  </si>
  <si>
    <t>autoTrigger:false</t>
  </si>
  <si>
    <t>if</t>
  </si>
  <si>
    <t>如果</t>
  </si>
  <si>
    <t>所有逻辑布尔值使用if开始，除非仅使用true/false</t>
  </si>
  <si>
    <t>autoTrigger:if self.hp != 0</t>
  </si>
  <si>
    <t>IfEvent</t>
  </si>
  <si>
    <t>and</t>
  </si>
  <si>
    <t>和</t>
  </si>
  <si>
    <t>需要and两边条件都满足执行。</t>
  </si>
  <si>
    <t>if self.isInWater() and self.energy(greaterThan=1)</t>
  </si>
  <si>
    <t>connect</t>
  </si>
  <si>
    <t>or</t>
  </si>
  <si>
    <t>或者</t>
  </si>
  <si>
    <t>or两边条件满足一个即可执行。</t>
  </si>
  <si>
    <t>if self.energy(greaterThan=1) or self.ammo(greaterThan=1) and self.isFlying()</t>
  </si>
  <si>
    <t>not</t>
  </si>
  <si>
    <t>将逻辑结果取反。</t>
  </si>
  <si>
    <t>if not self.isOverLiquid()</t>
  </si>
  <si>
    <t>&lt;</t>
  </si>
  <si>
    <t>小于</t>
  </si>
  <si>
    <t>如果左边的数字较小则返回真</t>
  </si>
  <si>
    <t>autoTrigger:if self.hp &lt; 0</t>
  </si>
  <si>
    <t>&gt;</t>
  </si>
  <si>
    <t>大于</t>
  </si>
  <si>
    <t>如果右侧的数字较小则返回真</t>
  </si>
  <si>
    <t>autoTrigger:if self.hp &gt; 0</t>
  </si>
  <si>
    <t>&lt;=</t>
  </si>
  <si>
    <t>小于或等于</t>
  </si>
  <si>
    <t>如果左边的数字小于或等于右边，则返回真</t>
  </si>
  <si>
    <t>autoTrigger:if self.hp &lt;= 0</t>
  </si>
  <si>
    <t>&gt;=</t>
  </si>
  <si>
    <t>大于或等于</t>
  </si>
  <si>
    <t>如果右侧的数字小于或等于右边，则返回真</t>
  </si>
  <si>
    <t>autoTrigger:if self.hp &gt;= 0</t>
  </si>
  <si>
    <t>==</t>
  </si>
  <si>
    <t>等于</t>
  </si>
  <si>
    <t>如果两边的数字、单位、字符串、布尔值相同，则返回真</t>
  </si>
  <si>
    <t>autoTrigger:if self.hp == 0</t>
  </si>
  <si>
    <t>!=</t>
  </si>
  <si>
    <t>不等于</t>
  </si>
  <si>
    <t>如果两边的数字、单位、字符串、布尔值不同，则返回真</t>
  </si>
  <si>
    <t>+</t>
  </si>
  <si>
    <t>加</t>
  </si>
  <si>
    <t>添加两个数字或连接两个字符串</t>
  </si>
  <si>
    <t>autoTrigger:if self.hp + self.shield == 0</t>
  </si>
  <si>
    <t>same type</t>
  </si>
  <si>
    <t>-</t>
  </si>
  <si>
    <t>减</t>
  </si>
  <si>
    <t>两个数字相减所得值</t>
  </si>
  <si>
    <t>autoTrigger:if self.hp - self.shield == 0</t>
  </si>
  <si>
    <t>/</t>
  </si>
  <si>
    <t>除</t>
  </si>
  <si>
    <t>两个数字相除所得值</t>
  </si>
  <si>
    <t>autoTrigger:if self.hp * self.shield == 0</t>
  </si>
  <si>
    <t>*</t>
  </si>
  <si>
    <t>乘</t>
  </si>
  <si>
    <t>两个数相乘所得值</t>
  </si>
  <si>
    <t>autoTrigger:if self.hp / self.shield == 0</t>
  </si>
  <si>
    <t>%</t>
  </si>
  <si>
    <t>求余</t>
  </si>
  <si>
    <t>将两个数字相除并取余数部分作为计算所得值</t>
  </si>
  <si>
    <t>autoTrigger:if self.hp % self.shield == 0</t>
  </si>
  <si>
    <t>()</t>
  </si>
  <si>
    <t>囊括符</t>
  </si>
  <si>
    <t>用于囊括逻辑，可以把诸多逻辑用囊括符囊括成一个逻辑 可以避免像“or”这种衔接字符的烦人问题</t>
  </si>
  <si>
    <t>autoTrigger：if (self.hp(empty=true) and self.energy(full=true)) or (self.energy(empty=true) and self.hp(full=true))</t>
  </si>
  <si>
    <t>include</t>
  </si>
  <si>
    <t>单位位置和移动</t>
  </si>
  <si>
    <t>原本的值类型</t>
  </si>
  <si>
    <t>self.isUnderwater()</t>
  </si>
  <si>
    <t>自身在水下</t>
  </si>
  <si>
    <t>单位在水下，深水单位如潜艇。</t>
  </si>
  <si>
    <t>if self.isUnderwater()</t>
  </si>
  <si>
    <t>self.underwater()</t>
  </si>
  <si>
    <t>同上</t>
  </si>
  <si>
    <t>self.gound()</t>
  </si>
  <si>
    <t>自身在地上</t>
  </si>
  <si>
    <t>单位在陆地上</t>
  </si>
  <si>
    <t>self.ground()</t>
  </si>
  <si>
    <t>self.isAtGroundHeight()</t>
  </si>
  <si>
    <t>自身在地面高度</t>
  </si>
  <si>
    <t>单位在地面,触发范围是-1~4，如果您单位高度在不断变化时超过此值的话，此条不一定触发，因为铁锈执行频率默认是1s.
等同于self.gound()或self.ground()</t>
  </si>
  <si>
    <t>if self.isAtGroundHeight()</t>
  </si>
  <si>
    <t>self.flying()</t>
  </si>
  <si>
    <t>自身在天上</t>
  </si>
  <si>
    <t>同下</t>
  </si>
  <si>
    <t>self.isFlying()</t>
  </si>
  <si>
    <t>如果单位在天上飞行，则执行。</t>
  </si>
  <si>
    <t>if self.isFlying()</t>
  </si>
  <si>
    <t>self.isMoving()</t>
  </si>
  <si>
    <t>自身在移动</t>
  </si>
  <si>
    <t>如果自身在移动则执行。</t>
  </si>
  <si>
    <t>if self.isMoving()</t>
  </si>
  <si>
    <t>self.isAtTopSpeed()</t>
  </si>
  <si>
    <t>自身到最高速度</t>
  </si>
  <si>
    <t>如果到达最高速度则执行。等同self.maxspeed()</t>
  </si>
  <si>
    <t>if self.isAtTopSpeed()</t>
  </si>
  <si>
    <t>self.isInWater()</t>
  </si>
  <si>
    <t>自身在水中</t>
  </si>
  <si>
    <t>如果自身在水中则执行。等同于self.inwater()。</t>
  </si>
  <si>
    <t>if self.isInWater()</t>
  </si>
  <si>
    <t>self.isOverwater()</t>
  </si>
  <si>
    <t>自身在水上</t>
  </si>
  <si>
    <t>如果自身投影在水面这种地形则执行。</t>
  </si>
  <si>
    <t>if self.isOverwater()</t>
  </si>
  <si>
    <t>self.overWater()</t>
  </si>
  <si>
    <t>if self.overWater()</t>
  </si>
  <si>
    <t>self.isOverLiquid()</t>
  </si>
  <si>
    <t>自身在液体上</t>
  </si>
  <si>
    <t>如果自身在液体则执行。岩浆算为液体。</t>
  </si>
  <si>
    <t>if self.isOverLiquid()</t>
  </si>
  <si>
    <t>self.isOverClift()</t>
  </si>
  <si>
    <t>自身在悬崖上</t>
  </si>
  <si>
    <t>如果自身在悬崖上则执行。等同self.isOverCliff()</t>
  </si>
  <si>
    <t>if self.isOverClift()</t>
  </si>
  <si>
    <t>self.isOverPassableTile()</t>
  </si>
  <si>
    <t>自身在地块类型上</t>
  </si>
  <si>
    <t>如果自身在这类通行地块上则执行，类型：无、陆地、建筑、空中、水面、两栖、跨悬崖、跨水和悬崖
NONE、LAND、BUILDING、AIR、WATER、HOVER、OVER_CLIFF、OVER_CLIFF_WATER</t>
  </si>
  <si>
    <t>if self.isOverPassableTile(type="WATER")</t>
  </si>
  <si>
    <t>self.isOverOpenLand()</t>
  </si>
  <si>
    <t>自身在开阔地带</t>
  </si>
  <si>
    <t>如果自身在开阔地带则执行。self.isOverPassableTile（type ='LAND'）的快捷方式</t>
  </si>
  <si>
    <t>if self.isOverOpenLand()</t>
  </si>
  <si>
    <t>self.height()</t>
  </si>
  <si>
    <t>自身高度</t>
  </si>
  <si>
    <t>如果自身在特定高度则执行。参数:greaterThan,lessThan,equalTo,empty,full(参数，超过，少于，等于，空，满))</t>
  </si>
  <si>
    <t>if self.height(lessThan=50)</t>
  </si>
  <si>
    <t>单位统计</t>
  </si>
  <si>
    <t>self.hasResources()</t>
  </si>
  <si>
    <t>自身有资源</t>
  </si>
  <si>
    <t>可以检查多种资源（所有价格参数）</t>
  </si>
  <si>
    <t>if self.hasResources(credits=5000)</t>
  </si>
  <si>
    <t>resource ref</t>
  </si>
  <si>
    <t>self.resource()</t>
  </si>
  <si>
    <t>自身资源</t>
  </si>
  <si>
    <t>检查单个资源条件。（参数：greaterThan,lessThan,equalTo）参数，超过，少于，等于</t>
  </si>
  <si>
    <t>if self.resource(type="NAMMO",greaterThan=35)</t>
  </si>
  <si>
    <t>self.resource.RESOURCE_TYPE</t>
  </si>
  <si>
    <t>自身资源类型</t>
  </si>
  <si>
    <t>此为快捷方式，可直接使用，原代码为self.resource(type='RESOURCE_TYPE')</t>
  </si>
  <si>
    <t>addResourcesWithLogic: hp += self.resource.gold</t>
  </si>
  <si>
    <t>self.isResourceLargerThan()</t>
  </si>
  <si>
    <t>自身资源大于</t>
  </si>
  <si>
    <t>比较两个资源，注意，multiplyTargetBy不造成资源改变。(参数：来源，比较目标，超过，乘数 source=x, compareTarget=x, byMoreThan=x, multiplyTargetBy=x)</t>
  </si>
  <si>
    <t>if self.isResourceLargerThan(compareTarget=nearestUnit)</t>
  </si>
  <si>
    <t>compare</t>
  </si>
  <si>
    <t>self.maxHp()</t>
  </si>
  <si>
    <t>自身最大血量</t>
  </si>
  <si>
    <t>自身最大血量条件。</t>
  </si>
  <si>
    <t>if self.maxHp &gt;= 10000</t>
  </si>
  <si>
    <t>self.hp()</t>
  </si>
  <si>
    <t>自身血量</t>
  </si>
  <si>
    <t>自身血量条件。参数:greaterThan,lessThan,equalTo,empty,full(超过，少于，等于，空，满)</t>
  </si>
  <si>
    <t>if self.hp(lessThan=100)</t>
  </si>
  <si>
    <t>self.ammo()</t>
  </si>
  <si>
    <t>自身弹药</t>
  </si>
  <si>
    <t>自身弹药条件。参数:greaterThan,lessThan,equalTo,empty,full(参数，超过，少于，等于，空，满)</t>
  </si>
  <si>
    <t>if self.ammo(lessThan=100)</t>
  </si>
  <si>
    <t>self.maxShield()</t>
  </si>
  <si>
    <t>自身最大护盾</t>
  </si>
  <si>
    <t>if self.maxShield &gt;= 10000</t>
  </si>
  <si>
    <t>self.maxEnergy()</t>
  </si>
  <si>
    <t>自身最大能量</t>
  </si>
  <si>
    <t>if self.maxEnergy &gt;= 10000</t>
  </si>
  <si>
    <t>self.isEnergyRecharging()</t>
  </si>
  <si>
    <t>自身正在充能</t>
  </si>
  <si>
    <t>if self.isEnergyRecharging()</t>
  </si>
  <si>
    <t>self.isAmmoEmpty()</t>
  </si>
  <si>
    <t>自身弹药空</t>
  </si>
  <si>
    <t>自身弹药为空。self.ammo(empty=true)的快捷方式</t>
  </si>
  <si>
    <t>if self.isAmmoEmpty()</t>
  </si>
  <si>
    <t>self.ammoIncludingQueued()</t>
  </si>
  <si>
    <t>自身弹药包括队列</t>
  </si>
  <si>
    <t>自身弹药数量，包括还在队列中的。参数:greaterThan,lessThan,equalTo,empty,full(参数：大于，小于，等于，空，满)</t>
  </si>
  <si>
    <t>if self.ammoIncludingQueued(lessThan=12)</t>
  </si>
  <si>
    <t>self.energy()</t>
  </si>
  <si>
    <t>自身能量</t>
  </si>
  <si>
    <t>自身能量数值。参数:greaterThan,lessThan,equalTo,empty,full(参数，超过，少于，等于，空，满)</t>
  </si>
  <si>
    <t>if self.energy(empty=true)</t>
  </si>
  <si>
    <t>self.energyIncludingQueued()</t>
  </si>
  <si>
    <t>自身能量包括队列</t>
  </si>
  <si>
    <t>自身能量数值，包括还在队列中的。(参数:greaterThan,lessThan,equalTo,empty,full)参数：大于，小于，等于，空，满</t>
  </si>
  <si>
    <t>if self.energyIncludingQueued(lessThan=12)</t>
  </si>
  <si>
    <t>self.isEnergyFull()</t>
  </si>
  <si>
    <t>自身能量满</t>
  </si>
  <si>
    <t>自身能量为满。self.energy(full=true)的快捷方式</t>
  </si>
  <si>
    <t>if self.isEnergyFull()</t>
  </si>
  <si>
    <t>self.isEnergyEmpty()</t>
  </si>
  <si>
    <t>自身能量空</t>
  </si>
  <si>
    <t>自身能量为空。self.energy(empty=true)的快捷方式。</t>
  </si>
  <si>
    <t>if self.isEnergyEmpty()</t>
  </si>
  <si>
    <t>self.shield()</t>
  </si>
  <si>
    <t>自身护盾</t>
  </si>
  <si>
    <t>自身护盾数值。(参数:greaterThan,lessThan,equalTo,empty,full)参数：大于，小于，等于，空，满</t>
  </si>
  <si>
    <t>if self.shield(greaterThan=233)</t>
  </si>
  <si>
    <t>self.kills()</t>
  </si>
  <si>
    <t>自身杀敌数</t>
  </si>
  <si>
    <t>自身杀敌数量。(参数:greaterThan,lessThan,equalTo)（参数：大于，小于，等于）</t>
  </si>
  <si>
    <t>if self.kills(greaterThan=99)</t>
  </si>
  <si>
    <t>self.queueSize()</t>
  </si>
  <si>
    <t>自身队列量</t>
  </si>
  <si>
    <t>自身队列数量。(参数:greaterThan,lessThan,equalTo,empty,full)参数：大于，小于，等于，空，满</t>
  </si>
  <si>
    <t>if self.queueSize(greaterThan=2)</t>
  </si>
  <si>
    <t>self.id()</t>
  </si>
  <si>
    <t>自身id</t>
  </si>
  <si>
    <t>返回自身的单位id，每个单位的id都不一样，如果id小的死了，后面生成的单位就会占用那个id</t>
  </si>
  <si>
    <t>if self.id == 1246</t>
  </si>
  <si>
    <t>self.teamId()</t>
  </si>
  <si>
    <t>自身队伍id</t>
  </si>
  <si>
    <t>返回单位或标记的团队 ID。 从0开始。</t>
  </si>
  <si>
    <t>if self.teamId == 1</t>
  </si>
  <si>
    <t>team id</t>
  </si>
  <si>
    <t>self.playerName()</t>
  </si>
  <si>
    <t>玩家名称</t>
  </si>
  <si>
    <t>返回游戏中玩家的昵称，类型为字符串</t>
  </si>
  <si>
    <t>if self.playerName == "N.D.T."</t>
  </si>
  <si>
    <t>self.teamName()</t>
  </si>
  <si>
    <t>队伍名称</t>
  </si>
  <si>
    <t>返回自身队伍的名称，一般情况下，铁锈默认的都是ABCDEF</t>
  </si>
  <si>
    <t>if self.teamName == "A"</t>
  </si>
  <si>
    <t>self.x(), self.y(), self.z()</t>
  </si>
  <si>
    <t>自身坐标分量</t>
  </si>
  <si>
    <t>返回单位的坐标分量</t>
  </si>
  <si>
    <t>if self.x() == 0 and self.y() == 0 and self.z() == 0</t>
  </si>
  <si>
    <t>self.dir()</t>
  </si>
  <si>
    <t>自身角度</t>
  </si>
  <si>
    <t>返回单位的方向</t>
  </si>
  <si>
    <t>if self.dir() == 0</t>
  </si>
  <si>
    <t>self.priceCredits()</t>
  </si>
  <si>
    <t>自身资源价格</t>
  </si>
  <si>
    <t>返回单位的资源价格</t>
  </si>
  <si>
    <t>if self.priceCredits() &lt;= 10000</t>
  </si>
  <si>
    <t>杂项</t>
  </si>
  <si>
    <t>self.hasFlag()</t>
  </si>
  <si>
    <t>自身有标志</t>
  </si>
  <si>
    <t>自身拥有标志。可用通过增加资源和价格修改。（参数：id = 0-31/[logicNumber]），使用addResources在action中更改此vaule</t>
  </si>
  <si>
    <t>if self.hasFlag(id=self.ammo)</t>
  </si>
  <si>
    <t>self.tags()</t>
  </si>
  <si>
    <t>自身有标签</t>
  </si>
  <si>
    <t>自身拥有标签。等同self.hasTags()</t>
  </si>
  <si>
    <t>if not self.tags(includes='TAG_shiba')</t>
  </si>
  <si>
    <t>self.hasTags()</t>
  </si>
  <si>
    <t>自身拥有标签。等同self.tags()</t>
  </si>
  <si>
    <t>if not self.hasTags(includes='TAG_shiba')</t>
  </si>
  <si>
    <t>self.globalTeamTags()</t>
  </si>
  <si>
    <t>有全局标签</t>
  </si>
  <si>
    <t>有全局标签，(parameters: includes)参数:包括</t>
  </si>
  <si>
    <t>if self.globalTeamTags(includes="GLBTAG_shiba")</t>
  </si>
  <si>
    <t>self.transportingCount()</t>
  </si>
  <si>
    <t>自身运输数量</t>
  </si>
  <si>
    <t>载具运输单位数量(parameters: greaterThan, lessThan,equalTo,empty)（参数：大于，小于，等于，为空）</t>
  </si>
  <si>
    <t>if self.transportingCount(greaterThan=1)</t>
  </si>
  <si>
    <t>self.numberOfAttachedUnits()</t>
  </si>
  <si>
    <t>自身子单位数量</t>
  </si>
  <si>
    <t>自身有子单位数量。（withTag,greaterThan,lessThan,equalTo）参数:标签，大于、小于、等于</t>
  </si>
  <si>
    <t>if self.numberOfAttachedUnits(withTag=ANM_cat',lessThan=1)</t>
  </si>
  <si>
    <t>self.isAttacking()</t>
  </si>
  <si>
    <t>自身在攻击</t>
  </si>
  <si>
    <t>单位正在攻击。</t>
  </si>
  <si>
    <t>if self.isAttacking()</t>
  </si>
  <si>
    <t>self.hasActiveWaypoint()</t>
  </si>
  <si>
    <t>自身有活动的路径点</t>
  </si>
  <si>
    <t>单位当前活动的路径点为此类型。类型=路径点类型。（[type = WAYPOINT_TYPE]）</t>
  </si>
  <si>
    <t>if self.hasActiveWaypoint(type='touchTarget')</t>
  </si>
  <si>
    <t>self.hasWaypoint()</t>
  </si>
  <si>
    <t>自身有路径点</t>
  </si>
  <si>
    <t>上面这个逻辑的另类写法，作用相同，字符更少</t>
  </si>
  <si>
    <t>if self.hasWaypoint(type='touchTarget')</t>
  </si>
  <si>
    <t>self.transportingUnitWithTags()</t>
  </si>
  <si>
    <t>自身运输单位有标签</t>
  </si>
  <si>
    <t>自身运输单位有标签(parameters: includes)参数:包括</t>
  </si>
  <si>
    <t>if self.transportingUnitWithTags(includes='human')</t>
  </si>
  <si>
    <t>self.isTransportUnloading()</t>
  </si>
  <si>
    <t>自身在卸载单位</t>
  </si>
  <si>
    <t>卸载单位时</t>
  </si>
  <si>
    <t>if self.isTransportUnloading()</t>
  </si>
  <si>
    <t>self.hasParent()</t>
  </si>
  <si>
    <t>自身有父单位</t>
  </si>
  <si>
    <t>用于子单位和载员逻辑。有父单位时执行。可选参数:需要标签。withTag ="unit"</t>
  </si>
  <si>
    <t>if self.hasParent()</t>
  </si>
  <si>
    <t>self.hasTakenDamage()</t>
  </si>
  <si>
    <t>受到伤害</t>
  </si>
  <si>
    <t>单位受到伤害。参数：几秒内，几秒后。(parameters:withinSeconds=X,laterThanSeconds=X)</t>
  </si>
  <si>
    <t>if self.hasTakenDamage(withinSeconds=1)</t>
  </si>
  <si>
    <t>self.timeAlive()</t>
  </si>
  <si>
    <t>存活时间</t>
  </si>
  <si>
    <t>单位存活时间。参数：几秒内，几秒后。(parameters:withinSeconds=X,laterThanSeconds=X)</t>
  </si>
  <si>
    <t>if self.timeAlive(laterThanSeconds=10)</t>
  </si>
  <si>
    <t>time(s)</t>
  </si>
  <si>
    <t>self.lastConverted()</t>
  </si>
  <si>
    <t>最后转换时间</t>
  </si>
  <si>
    <t>单位最后转换时间。参数：几秒内，几秒后。(parameters:withinSeconds=X,laterThanSeconds=X)</t>
  </si>
  <si>
    <t>if self.lastConverted(laterThanSeconds=10)</t>
  </si>
  <si>
    <t>self.customTimer()</t>
  </si>
  <si>
    <t>自身自定义计时器</t>
  </si>
  <si>
    <t>自身自定义计时器。参数：几秒内，几秒后。(parameters:withinSeconds=X,laterThanSeconds=X)</t>
  </si>
  <si>
    <t>if self.customTimer(laterThanSeconds=99)</t>
  </si>
  <si>
    <t>self.isOnNeutralTeam()</t>
  </si>
  <si>
    <t>自身在中立队伍</t>
  </si>
  <si>
    <t>自身在中立队伍。</t>
  </si>
  <si>
    <t>if self.isOnNeutralTeam()</t>
  </si>
  <si>
    <t>numberOfUnitsInTeam()</t>
  </si>
  <si>
    <t>队伍中此单位数量</t>
  </si>
  <si>
    <t>玩家自身拥有单位数量。(参数:withTag,greaterThan,lessThan,withinRange,incompleteBuildings,factoryQueue)
参数：标签，超过，少于，范围，建造中，队列中</t>
  </si>
  <si>
    <t>if numberOfUnitsInTeam(withTag='techUnlockBuilding', greaterThan=0)</t>
  </si>
  <si>
    <t>self.numberOfUnitsInAllyNotOwnTeam()</t>
  </si>
  <si>
    <t>盟友有单位数量</t>
  </si>
  <si>
    <t>盟友拥有此单位的数量。(参数:withTag,greaterThan,lessThan,withinRange,incompleteBuildings,factoryQueue)</t>
  </si>
  <si>
    <t>if self.numberOfUnitsInAllyNotOwnTeam(withTag="cat",greaterThan=0,withinrange=99)</t>
  </si>
  <si>
    <t>numberOfUnitsInEnemyTeam()</t>
  </si>
  <si>
    <t>敌人有单位数量</t>
  </si>
  <si>
    <t>敌人拥有此单位的数量。(参数:withTag,greaterThan,lessThan,withinRange,incompleteBuildings,factoryQueue)</t>
  </si>
  <si>
    <t>if numberOfUnitsInEnemyTeam(withTag="cat",greaterThan=0,withinrange=99)</t>
  </si>
  <si>
    <t>numberOfUnitsInNeutralTeam()</t>
  </si>
  <si>
    <t>中立有单位数量</t>
  </si>
  <si>
    <t>中立队伍拥有单位数量。(参数:withTag,greaterThan,lessThan,withinRange,incompleteBuildings,factoryQueue)</t>
  </si>
  <si>
    <t>if numberOfUnitsInNeutralTeam(withTag="cat",greaterThan=0,withinrange=99)</t>
  </si>
  <si>
    <t>numberOfUnitsInAggressiveTeam()</t>
  </si>
  <si>
    <t>敌对中立拥有单位数量</t>
  </si>
  <si>
    <t>特殊的“对所有人都有侵略性”的队伍,这与numberOfUnitsInEnemyTeam不同.(参数:withTag, greaterThan, lessThan, withinRange, incompleteBuildings, factoryQueue</t>
  </si>
  <si>
    <t>if numberOfUnitsInAggressiveTeam()</t>
  </si>
  <si>
    <t>numberOfUnitsInAllTeams()</t>
  </si>
  <si>
    <t>所有队伍拥有单位数量</t>
  </si>
  <si>
    <t>所有队伍拥有单位数量。(参数:withTag,greaterThan,lessThan,withinRange,incompleteBuildings,factoryQueue)</t>
  </si>
  <si>
    <t>if self.numberOfUnitsInAllTeams(withTag="tech")</t>
  </si>
  <si>
    <t>self.hasUnitInTeam()</t>
  </si>
  <si>
    <t>自身队伍有单位</t>
  </si>
  <si>
    <t>自身队伍拥有单位数量。(参数:withTag，withinRange，incompleteBuildings，factoryQueue)numberOfUnitsInTeam的别名</t>
  </si>
  <si>
    <t>if self.hasUnitInTeam(withTag="tech")</t>
  </si>
  <si>
    <t>self.noUnitInTeam()</t>
  </si>
  <si>
    <t>自身队伍无单位</t>
  </si>
  <si>
    <t>自身队伍单位数量不满足。(参数:withTag，withinRange，incompleteBuildings，factoryQueue)numberOfUnitsInTeam的别名</t>
  </si>
  <si>
    <t>if self.noUnitInTeam(withTag="tech")</t>
  </si>
  <si>
    <t>self.isInMap()</t>
  </si>
  <si>
    <t>自身在地图内</t>
  </si>
  <si>
    <t>判断自身是否在地图内：地图外指那些黑色的边缘外面</t>
  </si>
  <si>
    <t>if self.isInMap()</t>
  </si>
  <si>
    <t>game.mapWidth()</t>
  </si>
  <si>
    <t>正在游戏的地图宽度</t>
  </si>
  <si>
    <t>检测正在游戏的地图宽度</t>
  </si>
  <si>
    <t>if game.mapWidth() == 10000</t>
  </si>
  <si>
    <t>game.mapHeight()</t>
  </si>
  <si>
    <t>正在游戏的地图高度</t>
  </si>
  <si>
    <t>检测正在游戏的地图高度</t>
  </si>
  <si>
    <t>if game.mapHeight() == 10000</t>
  </si>
  <si>
    <t>self.isReversing()</t>
  </si>
  <si>
    <t>自我正在反转</t>
  </si>
  <si>
    <t>逻辑布尔值</t>
  </si>
  <si>
    <t>if self.isReversing()</t>
  </si>
  <si>
    <t>self.isControlledByAI()</t>
  </si>
  <si>
    <t>自身属于AI控制</t>
  </si>
  <si>
    <t>单位归属于AI所属方控制。</t>
  </si>
  <si>
    <t>if self.isControlledByAI()</t>
  </si>
  <si>
    <t>self.readUnitMemory()</t>
  </si>
  <si>
    <t>读取单位内存</t>
  </si>
  <si>
    <t>(name:string, type:string{boolean,unit,float,string}, [default])
注：从1.15p11更新了数组后，更新三个数组的引用方式，以及数组条件判断
数组引用方式一：self.readUnitMemory('numArray', type='number', index=&lt;value:number&gt;)
数组引用方式二：self.readUnitMemory('numArray', type='float[]')[&lt;value:number&gt;]
数组引用方式三：self.readUnitMemory('numArray', type='float[]').get(self.hp)
关于数组其他函数：
self.readUnitMemory('numArray', type='float[]').size()
self.readUnitMemory('numArray', type='float[]').length()
self.readUnitMemory('numArray', type='float[]').contains(self.hp)</t>
  </si>
  <si>
    <t>if parent.readUnitMemory('boostTarget', type='unit') == self</t>
  </si>
  <si>
    <t>memory type</t>
  </si>
  <si>
    <t>self.eventData()</t>
  </si>
  <si>
    <t>事件数据</t>
  </si>
  <si>
    <t>与sendMessageWithData连用，从严格意义上来讲，这个key并不属于内存(name:string, type:string{boolean,unit,float,string}, [default])</t>
  </si>
  <si>
    <t>if parent.eventData('boostTarget', type='unit' , default=nearestUnit) == self</t>
  </si>
  <si>
    <t>message data type</t>
  </si>
  <si>
    <t>memory.NAME</t>
  </si>
  <si>
    <t>内存</t>
  </si>
  <si>
    <t>使用当前defineUnitMemory以及@memory类型读取自身的快捷方式。 不能在其他单元上使用，为此使用 readUnitMemory。 不要调用自身。</t>
  </si>
  <si>
    <t>autoTrigger: if memory.experience &gt; 100</t>
  </si>
  <si>
    <t>memory.NAME[&lt;Array_Lower_Limit&gt;]</t>
  </si>
  <si>
    <t>返回内存数组</t>
  </si>
  <si>
    <t>autoTrigger: if memory.experience[1] &gt; 100</t>
  </si>
  <si>
    <t>memory array type</t>
  </si>
  <si>
    <t>memory.MEMORY_NAME.size()</t>
  </si>
  <si>
    <t>数组内存大小</t>
  </si>
  <si>
    <t>对于类型是数组的内存使用，告诉你当前数组有几个不同的值</t>
  </si>
  <si>
    <t>if memory.array.size() &gt;= 1</t>
  </si>
  <si>
    <t>memory.MEMORY_NAME.length()</t>
  </si>
  <si>
    <t>数组内存长度</t>
  </si>
  <si>
    <t>if memory.array.length() &gt;= 1</t>
  </si>
  <si>
    <t>memory.MEMORY_NAME.get()</t>
  </si>
  <si>
    <t>数组内存获取</t>
  </si>
  <si>
    <t>括号里填logic或者integer，返回该索引所代表的值</t>
  </si>
  <si>
    <t>if memory.array.get(1) == 1</t>
  </si>
  <si>
    <t>index</t>
  </si>
  <si>
    <t>memory.MEMORY_NAME.contains()</t>
  </si>
  <si>
    <t>数组内存目录监测</t>
  </si>
  <si>
    <t>填与内存类型相应的值，也可以填logic，用于检测数组里面有没有该值，如果有则返回TRUE，否则返回FALSE</t>
  </si>
  <si>
    <t>if memory.array.contains(nearestUnit) == true</t>
  </si>
  <si>
    <t>logic</t>
  </si>
  <si>
    <t>self.numberOfQueuedWaypoints()</t>
  </si>
  <si>
    <t>自身某种路径点的队列数量</t>
  </si>
  <si>
    <t>小括号里写路径点种类(parameters: greaterThan, lessThan,equalTo,empty,full)（参数：大于，小于，等于，为空，为满）</t>
  </si>
  <si>
    <t>if self.numberOfQueuedWaypoints(type='move',full=true)</t>
  </si>
  <si>
    <t>self.speed()</t>
  </si>
  <si>
    <t>自身速度</t>
  </si>
  <si>
    <t>Current unit speed（目前的单位速度）</t>
  </si>
  <si>
    <t>if self.speed() &gt;= 0</t>
  </si>
  <si>
    <t>self.maxspeed()</t>
  </si>
  <si>
    <t>自身最大速度</t>
  </si>
  <si>
    <t>单位最大能达到的速度</t>
  </si>
  <si>
    <t>if self.maxspeed() &gt;= 10</t>
  </si>
  <si>
    <t>自身到达最大速度</t>
  </si>
  <si>
    <t>单位已经到达单位所能到达的最大速度</t>
  </si>
  <si>
    <t>self.builtAmount()</t>
  </si>
  <si>
    <t>自身建造数量</t>
  </si>
  <si>
    <t>(似乎不包括使用autoTrigger建造的数量)How much this unit is built.  1  when complete. Note only events trigger on incomplete units, not autoTrigger（这个单位建造了多少。  1  完成后。仅注意不完整单位触发的事件，）</t>
  </si>
  <si>
    <t>if self.builtAmount() &gt; 0</t>
  </si>
  <si>
    <t>self.completed()</t>
  </si>
  <si>
    <t>自身建造完成</t>
  </si>
  <si>
    <t>(比如建造者造了一半的建筑就是0,建造完成就是1)Shortcut for checking built is（是检查已建成的快捷方式）</t>
  </si>
  <si>
    <t>if self.completed()</t>
  </si>
  <si>
    <t>integer/bool</t>
  </si>
  <si>
    <t>self.maxMoveSpeed()</t>
  </si>
  <si>
    <t>自身最大移动速度</t>
  </si>
  <si>
    <t>if self.maxMoveSpeed() &gt;= 0</t>
  </si>
  <si>
    <t>self.teamDefeatedTech()</t>
  </si>
  <si>
    <t>队伍失败</t>
  </si>
  <si>
    <t>if self.teamDefeatedTech()</t>
  </si>
  <si>
    <t>self.teamWipedOut()</t>
  </si>
  <si>
    <t>队伍无单位</t>
  </si>
  <si>
    <t>(ps:都没单位了哪个单位检测队伍没单位?所以应该是只能由禁止受到攻击的单位(此单位不计入总数)来判断)</t>
  </si>
  <si>
    <t>if self.teamWipedOut()</t>
  </si>
  <si>
    <t>self.numberOfConnections</t>
  </si>
  <si>
    <t>自身连接数</t>
  </si>
  <si>
    <t>括号里填写行动名称</t>
  </si>
  <si>
    <t>if self.numberOfConnections(name="XXX") &gt;= 10</t>
  </si>
  <si>
    <t>self.teamVictory()</t>
  </si>
  <si>
    <t>队伍获胜</t>
  </si>
  <si>
    <t>if self.teamVictory()</t>
  </si>
  <si>
    <t>单位引用，例子太长，写描述里面</t>
  </si>
  <si>
    <t>thisActionTarget</t>
  </si>
  <si>
    <t>当前动作目标</t>
  </si>
  <si>
    <t>当前目标或定位的位置。
 • thisActionTarget - 示例：fireTurretXAtGround: mainGun (thisActionTarget==Marker with ground location(带地面位置的标记))
    • autoTriggerOnEvent: tookDamage (thisActionTarget==Unit causing damage(造成伤害的单位))
    • autoTriggerOnEvent: killedAnyUnit (thisActionTarget==Destroyed unit(被摧毁的单位))
    • autoTriggerOnEvent: transportingNewUnit (thisActionTarget==Transported unit(被运输的单位))
    • autoTriggerOnEvent: transportUnloadedOrRemovedUnit (thisActionTarget==Unloaded unit(被卸载的单位))
    • autoTriggerOnEvent: queuedUnitFinished (thisActionTarget==New Units Built(被建造的新单位))
    • autoTriggerOnEvent: touchTargetSuccess (thisActionTarget==Touched target(碰到的目标))
    • alsoTriggerAction: x (thisActionTarget==Same as original action(与原动作相同))
    • [turret]onShoot_triggerActions: x  (thisActionTarget==Target that was shot at(被击中的目标))
    • takeResources_triggerActionIfAnyCollected: x (thisActionTarget==Target with resources(带有资源的目标))
    • addWaypoint_triggerActionIfMatched: x (thisActionTarget == Marker for move/Target for attack, etc.  Note: use addWaypoint_maxTime:0 if you want to search only
    • 移动动作的标记/攻击的目标等。
注：如果只是想搜索，请使用addWaypoint_maxTime: 0</t>
  </si>
  <si>
    <t>setResourcesWithLogic:Res=(thisActionTarget.resource.credits)</t>
  </si>
  <si>
    <t>unit / marker</t>
  </si>
  <si>
    <t>eventSource</t>
  </si>
  <si>
    <t>事件来源</t>
  </si>
  <si>
    <t>来自 autoTriggerOnEvent 的当前触发器，否则为 null
autoTriggerOnEvent: tookDamage (thisActionTarget==Unit that caused damage（使单位受到伤害的单位）)
autoTriggerOnEvent: killedAnyUnit (thisActionTarget==Unit that was killed（使单位击杀了任意一个其他单位的单位）)
autoTriggerOnEvent: transportingNewUnit (thisActionTarget==Unit that was transported（使单位被运输的单位）)
autoTriggerOnEvent: transportUnloadedOrRemovedUnit (thisActionTarget==Unit unloaded（使单位转载其他单位的单位）)
autoTriggerOnEvent: queuedUnitFinished (thisActionTarget==New unit made（使新的单位制造的单位）)
autoTriggerOnEvent: touchTargetSuccess (thisActionTarget==Target touched（是碰撞到了目标单位的单位）)
•所有的事件均可以以此类推</t>
  </si>
  <si>
    <t>addResourcesWithLogic:Res=(eventSource.resource.credits)</t>
  </si>
  <si>
    <t>attachment</t>
  </si>
  <si>
    <t>附件</t>
  </si>
  <si>
    <t>（参数：[slot(槽位)]、[withTag(带有标签)]）
self.attachment(withTag='x').lastDamagedBy.getAsMarker()</t>
  </si>
  <si>
    <t>setResourcesWithLogic:Res=(attachment.resource.credits)</t>
  </si>
  <si>
    <t>transporting</t>
  </si>
  <si>
    <t>运输</t>
  </si>
  <si>
    <t>（参数：[slot]）
if self.transporting(slot=0).hasResources(gold=100)</t>
  </si>
  <si>
    <t>addResourcesWithLogic:Res=(transporting.resource.credits)</t>
  </si>
  <si>
    <t>attacking</t>
  </si>
  <si>
    <t>当前正在攻击的目标，可能不是当前的路径点目标。
if attacking.tags(includes='bug') and attacking.hp &lt; 20</t>
  </si>
  <si>
    <t>setResourcesWithLogic:Res=(attacking.resource.credits)</t>
  </si>
  <si>
    <t>lastDamagedBy</t>
  </si>
  <si>
    <t>最后伤害源</t>
  </si>
  <si>
    <t>最后一个攻击这个的单位。</t>
  </si>
  <si>
    <t>addResourcesWithLogic:Res=(lastDamagedBy.resource.credits)</t>
  </si>
  <si>
    <t>parent</t>
  </si>
  <si>
    <t>父单位</t>
  </si>
  <si>
    <t>传输器或附件父级。 （注：单元在无连接槽位时运输时处于暂停状态）
Eg autoTrigger: if parent.energy &gt; 100</t>
  </si>
  <si>
    <t>setResourcesWithLogic:Res=(parent.resource.credits)</t>
  </si>
  <si>
    <t>activeWaypointTarget</t>
  </si>
  <si>
    <t>活动路径点目标</t>
  </si>
  <si>
    <t>当前活动航路点目标。 包括攻击、运输、修理等。
if distanceBetween(self, activeWaypointTarget) &lt; 100</t>
  </si>
  <si>
    <t>addResourcesWithLogic:Res=(activeWaypointTarget.resource.credits)</t>
  </si>
  <si>
    <t>customTarget1</t>
  </si>
  <si>
    <t>自定义目标1</t>
  </si>
  <si>
    <t>自定义内存，默认为创建该单位的单位。
if parent.customTarget1 == self</t>
  </si>
  <si>
    <t>setResourcesWithLogic:Res=(customTarget1.resource.credits)</t>
  </si>
  <si>
    <t>customTarget2</t>
  </si>
  <si>
    <t>自定义目标2</t>
  </si>
  <si>
    <t>自定义内存，默认为空</t>
  </si>
  <si>
    <t>addResourcesWithLogic:Res=(customTarget2.resource.credits)</t>
  </si>
  <si>
    <t>nearestUnit</t>
  </si>
  <si>
    <t>距离自己最近的单位</t>
  </si>
  <si>
    <t>(withinRange=500, withTag='x',relation='any',incompleteBuildings=true,withoutTag="xg") 搜索一个距离自己最近的单位（不推荐在 autoTrigger 中进行检查）</t>
  </si>
  <si>
    <t>setResourcesWithLogic:Res=(nearestUnit.resource.credits)</t>
  </si>
  <si>
    <t>globalSearchForFirstUnit</t>
  </si>
  <si>
    <t>全局检查第一个单位</t>
  </si>
  <si>
    <t>(withTag=x,relation=any,incompleteBuildings=true) - 返回找到的与过滤器匹配的第一个（也是最旧的）单元。 慢，避免在 autoTrigger 检查中使用</t>
  </si>
  <si>
    <t>addResourcesWithLogic:Res=(globalSearchForFirstUnit.resource.credits)</t>
  </si>
  <si>
    <t>nullUnit</t>
  </si>
  <si>
    <t>空单位</t>
  </si>
  <si>
    <t>返回一个空单位引用，用于比较</t>
  </si>
  <si>
    <t>if self.parent == nullUnit</t>
  </si>
  <si>
    <t>compare value</t>
  </si>
  <si>
    <t>null</t>
  </si>
  <si>
    <t>空</t>
  </si>
  <si>
    <t>返回一个零值，可以用来检测单位引用为空</t>
  </si>
  <si>
    <t>if self.parent == null</t>
  </si>
  <si>
    <t>标记功能</t>
  </si>
  <si>
    <t>getAsMarker()</t>
  </si>
  <si>
    <t>获取为标记</t>
  </si>
  <si>
    <t>在一个单位现在所在的位置创建一个临时标记。 标记的创建速度非常快，不再需要时会自动删除。 不链接到任何单位并且在单位死亡时仍然存在，并且在源移动时保持不变。</t>
  </si>
  <si>
    <t>if self.lastDamagedBy.getAsMarker() == nearestUnit()</t>
  </si>
  <si>
    <t>marker</t>
  </si>
  <si>
    <t>getOffsetAbsolute()</t>
  </si>
  <si>
    <t>获取绝对偏移</t>
  </si>
  <si>
    <t>([x],[y],[height]) 返回具有绝对偏移量的标记（-y 是北，+x 是东）</t>
  </si>
  <si>
    <t>if lastDamagedBy.getOffsetAbsolute() == self</t>
  </si>
  <si>
    <t>getOffsetRelative()</t>
  </si>
  <si>
    <t>获取相对偏移</t>
  </si>
  <si>
    <t>([x],[y],[height],[dirOffset]) 返回具有相对偏移量的标记。 (y+ 是向前)
self.getOffsetRelative(y=100).nearestUnit(withinRange=70, withTag='mouse') != null</t>
  </si>
  <si>
    <t>if lastDamagedBy.getOffsetRelative() == self</t>
  </si>
  <si>
    <t>createMarker()</t>
  </si>
  <si>
    <t>创造记号</t>
  </si>
  <si>
    <t>([x],[y],[height],[dir],[teamId]) 返回地图标记。 (y+是向下)
createMarker(teamId=self.teamId).nearestUnit(withinRange=70, withTag='mouse') != null</t>
  </si>
  <si>
    <t>if createMarker(x=1,y=1).nearestUnit == null</t>
  </si>
  <si>
    <t>全局功能</t>
  </si>
  <si>
    <t>distance(x1, y1, x2, y2)</t>
  </si>
  <si>
    <t>点距离</t>
  </si>
  <si>
    <t>计算两点之间的距离</t>
  </si>
  <si>
    <t>autoTrigger:if distance(self.x(),self.y(),memory.target.x(),memory.target.y()) &lt; 400</t>
  </si>
  <si>
    <t>distanceSquared(x1, y1, x2, y2)</t>
  </si>
  <si>
    <t>点距离方差</t>
  </si>
  <si>
    <t>返回两点之距离差的平方。 比distance快，因为少了开方这一步。</t>
  </si>
  <si>
    <t>autoTrigger:if distanceSquared(self.x(),self.y(),memory.target.x(),memory.target.y()) &lt; 400</t>
  </si>
  <si>
    <t>distanceBetween(unit1, unit2)</t>
  </si>
  <si>
    <t>单位距离</t>
  </si>
  <si>
    <t>返回两个单位之间的距离</t>
  </si>
  <si>
    <t>distanceBetween(self, activeWaypointTarget) &lt; 100</t>
  </si>
  <si>
    <t>distanceBetweenSquared(unit1, unit2)</t>
  </si>
  <si>
    <t>单位距离方差</t>
  </si>
  <si>
    <t>返回两个单位之间的平方距离。 比 distanceBetween 快一点</t>
  </si>
  <si>
    <t>if distanceBetweenSquared(self, self.attacking) &gt; 1000</t>
  </si>
  <si>
    <t>game.nukesEnabled()</t>
  </si>
  <si>
    <t>核武启用</t>
  </si>
  <si>
    <t>如果在此游戏的设置中启用了核武器，则返回 true。</t>
  </si>
  <si>
    <t>if game.nukesEnabled()</t>
  </si>
  <si>
    <t>int(x)</t>
  </si>
  <si>
    <t>取整</t>
  </si>
  <si>
    <t>从数字中删除小数位。</t>
  </si>
  <si>
    <t>int(4.2) == 4</t>
  </si>
  <si>
    <t>select(LogicBoolean, logicA, logicB)</t>
  </si>
  <si>
    <t>选择</t>
  </si>
  <si>
    <t>如果布尔值为真则返回 textA 否则返回 textB</t>
  </si>
  <si>
    <t>if select(self.isMoving,5,-5) == 5</t>
  </si>
  <si>
    <t>condition string</t>
  </si>
  <si>
    <t>debug(LogicBoolean)</t>
  </si>
  <si>
    <t>调试</t>
  </si>
  <si>
    <t>返回一个文本，显示该单位有关于这个逻辑的数据</t>
  </si>
  <si>
    <t>if str(debug(self.hp)) == "Hp=2400"</t>
  </si>
  <si>
    <t>debugPassthrough(LogicBoolean)</t>
  </si>
  <si>
    <t>调试通行</t>
  </si>
  <si>
    <t>显示这个逻辑在该单位上的值，并在调试模式中发送单位本身关于这个逻辑的调试消息，请打开调试模式选中单位后查看</t>
  </si>
  <si>
    <t>if str(debugPassthrough(self.hp)) == "2400"</t>
  </si>
  <si>
    <t>logic / message</t>
  </si>
  <si>
    <t>str(x)</t>
  </si>
  <si>
    <t>转为字符串</t>
  </si>
  <si>
    <t>将数字、单位、布尔值、逻辑显示值等转换为字符串</t>
  </si>
  <si>
    <t>if str(self.energy)+'x' == '100x'</t>
  </si>
  <si>
    <t>substring(string,logicNumber(start),logicNumber(end))</t>
  </si>
  <si>
    <t>子字符串</t>
  </si>
  <si>
    <t>提取指定字符串长度内的字符串，例如 substring('hello',0,2) == 'he'</t>
  </si>
  <si>
    <t>if substring('hello',0,2) == 'he'</t>
  </si>
  <si>
    <t>length(string)</t>
  </si>
  <si>
    <t>字符串长度</t>
  </si>
  <si>
    <t>以数字形式返回字符串或者值类型是字符串的逻辑长度</t>
  </si>
  <si>
    <t>if length("string") == 6</t>
  </si>
  <si>
    <t>squareRoot(num)</t>
  </si>
  <si>
    <t>开方</t>
  </si>
  <si>
    <t>返回一个数的平方根</t>
  </si>
  <si>
    <t>if squareRoot(4) == 2</t>
  </si>
  <si>
    <t>min(num1, min2)</t>
  </si>
  <si>
    <t>最小值</t>
  </si>
  <si>
    <t>返回最小的数字</t>
  </si>
  <si>
    <t>damage = min(self.hp, self.energy)</t>
  </si>
  <si>
    <t>max(num1, min2)</t>
  </si>
  <si>
    <t>最大值</t>
  </si>
  <si>
    <t>返回最大的数字</t>
  </si>
  <si>
    <t>max(5, 10) == 10</t>
  </si>
  <si>
    <t>cos([float])</t>
  </si>
  <si>
    <t>算余弦</t>
  </si>
  <si>
    <t>返回填入的值的余弦</t>
  </si>
  <si>
    <t>if cos(60) == 0.5</t>
  </si>
  <si>
    <t>sin([float])</t>
  </si>
  <si>
    <t>算正弦</t>
  </si>
  <si>
    <t>返回填入的值的正弦</t>
  </si>
  <si>
    <t>if sin(30) == 0.5</t>
  </si>
  <si>
    <t>thisActionIndex/index</t>
  </si>
  <si>
    <t>行动索引/索引</t>
  </si>
  <si>
    <t>由alsoTriggerActionRepeat和alsoTriggerAction连用来改变该logic的值（通俗点来讲，就是被also触发的顺序位）</t>
  </si>
  <si>
    <t>if index/thisActionIndex == 1</t>
  </si>
  <si>
    <t>uppercase(string)</t>
  </si>
  <si>
    <t>字符大写</t>
  </si>
  <si>
    <t>给字符串中的所有小写字母进行大写处理</t>
  </si>
  <si>
    <t>if uppercase("abc") == "ABC"</t>
  </si>
  <si>
    <t>lowercase(string)</t>
  </si>
  <si>
    <t>字符小写</t>
  </si>
  <si>
    <t>给字符串中的所有大写字母进行小写处理</t>
  </si>
  <si>
    <t>if lowercase("ABC") == "abc"</t>
  </si>
  <si>
    <t>direction(x1,y1,x2,y2)</t>
  </si>
  <si>
    <t>点朝向</t>
  </si>
  <si>
    <t>给出两个点之间的直线相对于前者的点朝向的角度</t>
  </si>
  <si>
    <t>if direction(1,1,10,10) == 45</t>
  </si>
  <si>
    <t>directionBetween(unit1,unit2)</t>
  </si>
  <si>
    <t>单位朝向</t>
  </si>
  <si>
    <t>给出两个单位参考之间的直线相对于前者单位朝向的角度</t>
  </si>
  <si>
    <t>if directionBetween(self,self.customTarget1) == 90</t>
  </si>
  <si>
    <t>true()</t>
  </si>
  <si>
    <t>真()</t>
  </si>
  <si>
    <t>if语句里套一个true()......</t>
  </si>
  <si>
    <t>if true() and true() == true</t>
  </si>
  <si>
    <t>false()</t>
  </si>
  <si>
    <t>假()</t>
  </si>
  <si>
    <t>if语句里套一个false()......</t>
  </si>
  <si>
    <t>if false() and true() == false</t>
  </si>
  <si>
    <t>rnd(min[float],max[float])</t>
  </si>
  <si>
    <t>范围内随机取数</t>
  </si>
  <si>
    <t>可能会是浮点值，可以使用int()取整数部分</t>
  </si>
  <si>
    <t>if rnd(1,100) == 50</t>
  </si>
  <si>
    <t>random float</t>
  </si>
  <si>
    <t>放置规则</t>
  </si>
  <si>
    <t>[placementRule_NAME]</t>
  </si>
  <si>
    <t>建造建筑物需要的条件</t>
  </si>
  <si>
    <r>
      <rPr>
        <b/>
        <charset val="134"/>
        <sz val="10"/>
        <color rgb="FFFFFFFF"/>
        <rFont val="微软雅黑"/>
      </rPr>
      <t>anyRuleInGroup</t>
    </r>
  </si>
  <si>
    <r>
      <rPr>
        <b/>
        <charset val="134"/>
        <sz val="10"/>
        <color rgb="FFFFFFFF"/>
        <rFont val="微软雅黑"/>
      </rPr>
      <t>放置规则组</t>
    </r>
  </si>
  <si>
    <r>
      <rPr>
        <b/>
        <charset val="134"/>
        <sz val="10"/>
        <color rgb="FFFFFFFF"/>
        <rFont val="微软雅黑"/>
      </rPr>
      <t>放置规则组名。（仅需要通过此组规则中的1条，而不是全部通过。在其他放置规则中可使用相同的组名称来创建组。）</t>
    </r>
  </si>
  <si>
    <r>
      <rPr>
        <b/>
        <charset val="134"/>
        <sz val="10"/>
        <color rgb="FFFFFFFF"/>
        <rFont val="微软雅黑"/>
      </rPr>
      <t>anyRuleInGroup:DogFoodPlace</t>
    </r>
  </si>
  <si>
    <r>
      <rPr>
        <b/>
        <charset val="134"/>
        <sz val="10"/>
        <color rgb="FFFFFFFF"/>
        <rFont val="微软雅黑"/>
      </rPr>
      <t>searchTags</t>
    </r>
  </si>
  <si>
    <r>
      <rPr>
        <b/>
        <charset val="134"/>
        <sz val="10"/>
        <color rgb="FFFFFFFF"/>
        <rFont val="微软雅黑"/>
      </rPr>
      <t>检索标签</t>
    </r>
  </si>
  <si>
    <r>
      <rPr>
        <b/>
        <charset val="134"/>
        <sz val="10"/>
        <color rgb="FFFFFFFF"/>
        <rFont val="微软雅黑"/>
      </rPr>
      <t>搜索至少包含这些标签之一的任何单位</t>
    </r>
  </si>
  <si>
    <r>
      <rPr>
        <b/>
        <charset val="134"/>
        <sz val="10"/>
        <color rgb="FFFFFFFF"/>
        <rFont val="微软雅黑"/>
      </rPr>
      <t>searchTags:redFox</t>
    </r>
  </si>
  <si>
    <r>
      <rPr>
        <b/>
        <charset val="134"/>
        <sz val="10"/>
        <color rgb="FFFFFFFF"/>
        <rFont val="微软雅黑"/>
      </rPr>
      <t>tag list</t>
    </r>
  </si>
  <si>
    <r>
      <rPr>
        <b/>
        <charset val="134"/>
        <sz val="10"/>
        <color rgb="FFFFFFFF"/>
        <rFont val="微软雅黑"/>
      </rPr>
      <t>searchTeam</t>
    </r>
  </si>
  <si>
    <r>
      <rPr>
        <b/>
        <charset val="134"/>
        <sz val="10"/>
        <color rgb="FFFFFFFF"/>
        <rFont val="微软雅黑"/>
      </rPr>
      <t>检索队伍</t>
    </r>
  </si>
  <si>
    <r>
      <rPr>
        <b/>
        <charset val="134"/>
        <sz val="10"/>
        <color rgb="FFFFFFFF"/>
        <rFont val="微软雅黑"/>
      </rPr>
      <t>要搜索的团队可以是：自身|中立|盟友非自身|盟友|敌人|任何。  own|neutral|allyNotOwn|ally|enemy|any</t>
    </r>
  </si>
  <si>
    <r>
      <rPr>
        <b/>
        <charset val="134"/>
        <sz val="10"/>
        <color rgb="FFFFFFFF"/>
        <rFont val="微软雅黑"/>
      </rPr>
      <t>searchTeam:own</t>
    </r>
  </si>
  <si>
    <r>
      <rPr>
        <b/>
        <charset val="134"/>
        <sz val="10"/>
        <color rgb="FFFFFFFF"/>
        <rFont val="微软雅黑"/>
      </rPr>
      <t>relation</t>
    </r>
  </si>
  <si>
    <r>
      <rPr>
        <b/>
        <charset val="134"/>
        <sz val="10"/>
        <color rgb="FFFFFFFF"/>
        <rFont val="微软雅黑"/>
      </rPr>
      <t>searchOffsetX</t>
    </r>
  </si>
  <si>
    <r>
      <rPr>
        <b/>
        <charset val="134"/>
        <sz val="10"/>
        <color rgb="FFFFFFFF"/>
        <rFont val="微软雅黑"/>
      </rPr>
      <t>检索偏移</t>
    </r>
  </si>
  <si>
    <r>
      <rPr>
        <b/>
        <charset val="134"/>
        <sz val="10"/>
        <color rgb="FFFFFFFF"/>
        <rFont val="微软雅黑"/>
      </rPr>
      <t>检索偏移，默认为0</t>
    </r>
  </si>
  <si>
    <r>
      <rPr>
        <b/>
        <charset val="134"/>
        <sz val="10"/>
        <color rgb="FFFFFFFF"/>
        <rFont val="微软雅黑"/>
      </rPr>
      <t>searchOffsetX:0</t>
    </r>
  </si>
  <si>
    <r>
      <rPr>
        <b/>
        <charset val="134"/>
        <sz val="10"/>
        <color rgb="FFFFFFFF"/>
        <rFont val="微软雅黑"/>
      </rPr>
      <t>searchOffsetY</t>
    </r>
  </si>
  <si>
    <r>
      <rPr>
        <b/>
        <charset val="134"/>
        <sz val="10"/>
        <color rgb="FFFFFFFF"/>
        <rFont val="微软雅黑"/>
      </rPr>
      <t>searchOffsetY:0</t>
    </r>
  </si>
  <si>
    <r>
      <rPr>
        <b/>
        <charset val="134"/>
        <sz val="10"/>
        <color rgb="FFFFFFFF"/>
        <rFont val="微软雅黑"/>
      </rPr>
      <t>searchDistance</t>
    </r>
  </si>
  <si>
    <r>
      <rPr>
        <b/>
        <charset val="134"/>
        <sz val="10"/>
        <color rgb="FFFFFFFF"/>
        <rFont val="微软雅黑"/>
      </rPr>
      <t>搜索距离</t>
    </r>
  </si>
  <si>
    <r>
      <rPr>
        <b/>
        <charset val="134"/>
        <sz val="10"/>
        <color rgb="FFFFFFFF"/>
        <rFont val="微软雅黑"/>
      </rPr>
      <t>searchDistance:99</t>
    </r>
  </si>
  <si>
    <r>
      <rPr>
        <b/>
        <charset val="134"/>
        <sz val="10"/>
        <color rgb="FFFFFFFF"/>
        <rFont val="微软雅黑"/>
      </rPr>
      <t>excludeIncompleteBuildings</t>
    </r>
  </si>
  <si>
    <r>
      <rPr>
        <b/>
        <charset val="134"/>
        <sz val="10"/>
        <color rgb="FFFFFFFF"/>
        <rFont val="微软雅黑"/>
      </rPr>
      <t>排除不完整建筑</t>
    </r>
  </si>
  <si>
    <r>
      <rPr>
        <b/>
        <charset val="134"/>
        <sz val="10"/>
        <color rgb="FFFFFFFF"/>
        <rFont val="微软雅黑"/>
      </rPr>
      <t>排除不完整的建筑</t>
    </r>
  </si>
  <si>
    <r>
      <rPr>
        <b/>
        <charset val="134"/>
        <sz val="10"/>
        <color rgb="FFFFFFFF"/>
        <rFont val="微软雅黑"/>
      </rPr>
      <t>excludeIncompleteBuildings:true</t>
    </r>
  </si>
  <si>
    <r>
      <rPr>
        <b/>
        <charset val="134"/>
        <sz val="10"/>
        <color rgb="FFFFFFFF"/>
        <rFont val="微软雅黑"/>
      </rPr>
      <t>excludeNonBuildings</t>
    </r>
  </si>
  <si>
    <r>
      <rPr>
        <b/>
        <charset val="134"/>
        <sz val="10"/>
        <color rgb="FFFFFFFF"/>
        <rFont val="微软雅黑"/>
      </rPr>
      <t>排除非建筑</t>
    </r>
  </si>
  <si>
    <r>
      <rPr>
        <b/>
        <charset val="134"/>
        <sz val="10"/>
        <color rgb="FFFFFFFF"/>
        <rFont val="微软雅黑"/>
      </rPr>
      <t>excludeNonBuildings:true</t>
    </r>
  </si>
  <si>
    <r>
      <rPr>
        <b/>
        <charset val="134"/>
        <sz val="10"/>
        <color rgb="FFFFFFFF"/>
        <rFont val="微软雅黑"/>
      </rPr>
      <t>minCount</t>
    </r>
  </si>
  <si>
    <r>
      <rPr>
        <b/>
        <charset val="134"/>
        <sz val="10"/>
        <color rgb="FFFFFFFF"/>
        <rFont val="微软雅黑"/>
      </rPr>
      <t>最小数量</t>
    </r>
  </si>
  <si>
    <r>
      <rPr>
        <b/>
        <charset val="134"/>
        <sz val="10"/>
        <color rgb="FFFFFFFF"/>
        <rFont val="微软雅黑"/>
      </rPr>
      <t>设定需要在搜索中找到的单位的最小数量。(如需要靠近某物)。默认值为0</t>
    </r>
  </si>
  <si>
    <r>
      <rPr>
        <b/>
        <charset val="134"/>
        <sz val="10"/>
        <color rgb="FFFFFFFF"/>
        <rFont val="微软雅黑"/>
      </rPr>
      <t>minCount:1</t>
    </r>
  </si>
  <si>
    <r>
      <rPr>
        <b/>
        <charset val="134"/>
        <sz val="10"/>
        <color rgb="FFFFFFFF"/>
        <rFont val="微软雅黑"/>
      </rPr>
      <t>maxCount</t>
    </r>
  </si>
  <si>
    <r>
      <rPr>
        <b/>
        <charset val="134"/>
        <sz val="10"/>
        <color rgb="FFFFFFFF"/>
        <rFont val="微软雅黑"/>
      </rPr>
      <t>最大数量</t>
    </r>
  </si>
  <si>
    <r>
      <rPr>
        <b/>
        <charset val="134"/>
        <sz val="10"/>
        <color rgb="FFFFFFFF"/>
        <rFont val="微软雅黑"/>
      </rPr>
      <t>在匹配失败前设置最大单位数量(例如不能接近某个值)。默认为无限的</t>
    </r>
  </si>
  <si>
    <r>
      <rPr>
        <b/>
        <charset val="134"/>
        <sz val="10"/>
        <color rgb="FFFFFFFF"/>
        <rFont val="微软雅黑"/>
      </rPr>
      <t>maxCount:1</t>
    </r>
  </si>
  <si>
    <r>
      <rPr>
        <b/>
        <charset val="134"/>
        <sz val="10"/>
        <color rgb="FFFFFFFF"/>
        <rFont val="微软雅黑"/>
      </rPr>
      <t>blocksPlacement</t>
    </r>
  </si>
  <si>
    <r>
      <rPr>
        <b/>
        <charset val="134"/>
        <sz val="10"/>
        <color rgb="FFFFFFFF"/>
        <rFont val="微软雅黑"/>
      </rPr>
      <t>禁止放置</t>
    </r>
  </si>
  <si>
    <r>
      <rPr>
        <b/>
        <charset val="134"/>
        <sz val="10"/>
        <color rgb="FFFFFFFF"/>
        <rFont val="微软雅黑"/>
      </rPr>
      <t>禁止放置。默认为true。</t>
    </r>
  </si>
  <si>
    <r>
      <rPr>
        <b/>
        <charset val="134"/>
        <sz val="10"/>
        <color rgb="FFFFFFFF"/>
        <rFont val="微软雅黑"/>
      </rPr>
      <t>blocksPlacement:true</t>
    </r>
  </si>
  <si>
    <r>
      <rPr>
        <b/>
        <charset val="134"/>
        <sz val="10"/>
        <color rgb="FFFFFFFF"/>
        <rFont val="微软雅黑"/>
      </rPr>
      <t>cannotPlaceMessage</t>
    </r>
  </si>
  <si>
    <r>
      <rPr>
        <b/>
        <charset val="134"/>
        <sz val="10"/>
        <color rgb="FFFFFFFF"/>
        <rFont val="微软雅黑"/>
      </rPr>
      <t>失败信息</t>
    </r>
  </si>
  <si>
    <r>
      <rPr>
        <b/>
        <charset val="134"/>
        <sz val="10"/>
        <color rgb="FFFFFFFF"/>
        <rFont val="微软雅黑"/>
      </rPr>
      <t>如果此放置规则失败，则会向玩家显示消息（将成为mergedRuleGroup中的第一个失败规则）</t>
    </r>
  </si>
  <si>
    <r>
      <rPr>
        <b/>
        <charset val="134"/>
        <sz val="10"/>
        <color rgb="FFFFFFFF"/>
        <rFont val="微软雅黑"/>
      </rPr>
      <t>cannotPlaceMessage:您不能睡觉，因为附近有chemms在游荡~</t>
    </r>
  </si>
  <si>
    <r>
      <rPr>
        <b/>
        <charset val="134"/>
        <sz val="10"/>
        <color rgb="FFFFFFFF"/>
        <rFont val="微软雅黑"/>
      </rPr>
      <t>cannotPlaceMessage_[Language]</t>
    </r>
  </si>
  <si>
    <r>
      <rPr>
        <b/>
        <charset val="134"/>
        <sz val="10"/>
        <color rgb="FFFFFFFF"/>
        <rFont val="微软雅黑"/>
      </rPr>
      <t>失败信息(多语言)</t>
    </r>
  </si>
  <si>
    <r>
      <rPr>
        <b/>
        <charset val="134"/>
        <sz val="10"/>
        <color rgb="FFFFFFFF"/>
        <rFont val="微软雅黑"/>
      </rPr>
      <t>如果此放置规则失败，则会向玩家显示消息（将成为mergedRuleGroup中的第一个失败规则）（支持多种语言显示）</t>
    </r>
  </si>
  <si>
    <r>
      <rPr>
        <b/>
        <charset val="134"/>
        <sz val="10"/>
        <color rgb="FFFFFFFF"/>
        <rFont val="微软雅黑"/>
      </rPr>
      <t>cannotPlaceMessage_zh:您不能睡觉，因为附近有chemms在游荡~</t>
    </r>
  </si>
  <si>
    <r>
      <rPr>
        <b/>
        <charset val="134"/>
        <sz val="10"/>
        <color rgb="FFFFFFFF"/>
        <rFont val="微软雅黑"/>
      </rPr>
      <t>checkEachTile</t>
    </r>
  </si>
  <si>
    <r>
      <rPr>
        <b/>
        <charset val="134"/>
        <sz val="10"/>
        <color rgb="FFFFFFFF"/>
        <rFont val="微软雅黑"/>
      </rPr>
      <t>检查每个地块</t>
    </r>
  </si>
  <si>
    <r>
      <rPr>
        <b/>
        <charset val="134"/>
        <sz val="10"/>
        <color rgb="FFFFFFFF"/>
        <rFont val="微软雅黑"/>
      </rPr>
      <t>[true / false]默认为true（仅对测试单元中心设置为false，true会检查显示在放置网格上的单元下方的每个图块）</t>
    </r>
  </si>
  <si>
    <r>
      <rPr>
        <b/>
        <charset val="134"/>
        <sz val="10"/>
        <color rgb="FFFFFFFF"/>
        <rFont val="微软雅黑"/>
      </rPr>
      <t>checkEachTile:true</t>
    </r>
  </si>
  <si>
    <r>
      <rPr>
        <b/>
        <charset val="134"/>
        <sz val="10"/>
        <color rgb="FFFFFFFF"/>
        <rFont val="微软雅黑"/>
      </rPr>
      <t>aiSuggestionOnly</t>
    </r>
  </si>
  <si>
    <r>
      <rPr>
        <b/>
        <charset val="134"/>
        <sz val="10"/>
        <color rgb="FFFFFFFF"/>
        <rFont val="微软雅黑"/>
      </rPr>
      <t>仅限ai建议</t>
    </r>
  </si>
  <si>
    <r>
      <rPr>
        <b/>
        <charset val="134"/>
        <sz val="10"/>
        <color rgb="FFFFFFFF"/>
        <rFont val="微软雅黑"/>
      </rPr>
      <t>不能与blocksPlacement一起使用，仅仅只是建议AI这么做</t>
    </r>
  </si>
  <si>
    <r>
      <rPr>
        <b/>
        <charset val="134"/>
        <sz val="10"/>
        <color rgb="FFFFFFFF"/>
        <rFont val="微软雅黑"/>
      </rPr>
      <t>aiSuggestionOnly:true</t>
    </r>
  </si>
  <si>
    <t>内置资源&amp;价格可用资源</t>
  </si>
  <si>
    <t>Resources</t>
  </si>
  <si>
    <t>Built in Resources&amp;Price Available Resources</t>
  </si>
  <si>
    <t>由addResources，price等使用</t>
  </si>
  <si>
    <t>credits</t>
  </si>
  <si>
    <t>资金</t>
  </si>
  <si>
    <t>铁锈中默认用于全局的资金。</t>
  </si>
  <si>
    <t>energy</t>
  </si>
  <si>
    <t>能量</t>
  </si>
  <si>
    <t>单位使用的能量，如可用于开火限制。</t>
  </si>
  <si>
    <t>hp</t>
  </si>
  <si>
    <t>血量</t>
  </si>
  <si>
    <t>单位血量，一般血量归零时就会销毁单位。</t>
  </si>
  <si>
    <t>shield</t>
  </si>
  <si>
    <t>护盾</t>
  </si>
  <si>
    <t>单位护盾，一般用于抵挡敌人攻击。</t>
  </si>
  <si>
    <t>price: hp=-100, shield=100</t>
  </si>
  <si>
    <t>ammo</t>
  </si>
  <si>
    <t>弹药</t>
  </si>
  <si>
    <t>弹药，每个单位的隐藏值，供mod使用。</t>
  </si>
  <si>
    <t>ammo=1</t>
  </si>
  <si>
    <t>setFlag</t>
  </si>
  <si>
    <t>设置标志</t>
  </si>
  <si>
    <t>设置标志，范围0-31。标志存储在每个单元中，与addResources，resourceUsage或price等一起使用。</t>
  </si>
  <si>
    <t>setFlag:1，setFlag=1,3</t>
  </si>
  <si>
    <t>unsetFlag</t>
  </si>
  <si>
    <t>取消标志</t>
  </si>
  <si>
    <t>取消已经设置的标志</t>
  </si>
  <si>
    <t>unsetFlag=1 , unsetFlag:1-5</t>
  </si>
  <si>
    <t>hasFlag</t>
  </si>
  <si>
    <t>拥有标志</t>
  </si>
  <si>
    <t>拥有标志。</t>
  </si>
  <si>
    <t>hasFlag:1，hasFlag=1|2</t>
  </si>
  <si>
    <t>hasMissingFlag</t>
  </si>
  <si>
    <t>没有标志</t>
  </si>
  <si>
    <t>没有标志。</t>
  </si>
  <si>
    <t>hasMissingFlag:1，hasMissingFlag=1|13</t>
  </si>
  <si>
    <t>[CustomResources]</t>
  </si>
  <si>
    <t>[global_resource_x]或[resource_x]节中定义的任何资源。</t>
  </si>
  <si>
    <t>gold=5, stone=20</t>
  </si>
  <si>
    <t>全局资源</t>
  </si>
  <si>
    <t>[global_resource_NAME]</t>
  </si>
  <si>
    <t>[global_resource_Golds]</t>
  </si>
  <si>
    <t>stackHorizontal</t>
  </si>
  <si>
    <t>堆叠水平</t>
  </si>
  <si>
    <t>定义与玩家所有单位共享的新资源，其工作方式类似于内置的资金。添加到"all-units.template"（位于mod根目录）</t>
  </si>
  <si>
    <t>stackHorizontal:true</t>
  </si>
  <si>
    <t>displayName</t>
  </si>
  <si>
    <t>显示名称</t>
  </si>
  <si>
    <t>用户界面中此资源的名称</t>
  </si>
  <si>
    <t>displayName:资金</t>
  </si>
  <si>
    <t>displayNameShort</t>
  </si>
  <si>
    <t>显示短名称</t>
  </si>
  <si>
    <t>在较小的UI上显示的文本（如action的悬浮文本）默认为displayName</t>
  </si>
  <si>
    <t>displayNameShort:￥</t>
  </si>
  <si>
    <t>向玩家隐藏此资源</t>
  </si>
  <si>
    <t>如果多个mod单元中定义了同名的资源，则使用具有最高优先级的displayName/displayColor</t>
  </si>
  <si>
    <t>priority:1</t>
  </si>
  <si>
    <t>displayColor</t>
  </si>
  <si>
    <t>显示颜色</t>
  </si>
  <si>
    <t>颜色，可以是十六进制，带有可选的alpha</t>
  </si>
  <si>
    <t>displayColor:#FF0000</t>
  </si>
  <si>
    <t>displayRoundedDown</t>
  </si>
  <si>
    <t>显示为整数</t>
  </si>
  <si>
    <t>对资源进行舍入显示为整数。</t>
  </si>
  <si>
    <t>displayRoundedDown:true</t>
  </si>
  <si>
    <t>displayWhenZero</t>
  </si>
  <si>
    <t>为零时显示</t>
  </si>
  <si>
    <t>资源为零时也显示。</t>
  </si>
  <si>
    <t>displayWhenZero:true</t>
  </si>
  <si>
    <t>iconImageUseInText</t>
  </si>
  <si>
    <t>在动作(action)的描述中显示资源图标</t>
  </si>
  <si>
    <t>默认为true</t>
  </si>
  <si>
    <t>iconImageUseInText:false</t>
  </si>
  <si>
    <t>自定义该资源的象征图像</t>
  </si>
  <si>
    <t>iconImage:chemms.png</t>
  </si>
  <si>
    <t>displayNameHideWhenIconShownInText</t>
  </si>
  <si>
    <t>显示名称在文本中显示图标时隐藏</t>
  </si>
  <si>
    <t>(默认为false) - 有助于缩短说明文本</t>
  </si>
  <si>
    <t>displayNameHideWhenIconShownInText:true</t>
  </si>
  <si>
    <t>displayNameHideWhenIconShownInHUD</t>
  </si>
  <si>
    <t>文本显示名称在HUD中显示图标时隐藏</t>
  </si>
  <si>
    <t>displayNameHideWhenIconShownInHUD:true</t>
  </si>
  <si>
    <t>displayColorUseInText</t>
  </si>
  <si>
    <t>在动作(action)的描述中显示资源颜色</t>
  </si>
  <si>
    <t>displayColorUseInText:false</t>
  </si>
  <si>
    <t>appendResourceInHUD</t>
  </si>
  <si>
    <t>在HUD中追加资源</t>
  </si>
  <si>
    <t>使用后，在游戏界面中这个资源值将会叠在目标资源值的后面，并且继承目标资源的颜色和图标。这个资源值后面也能继续叠加其它资源值</t>
  </si>
  <si>
    <t>appendResourceInHUD:&lt;resources:name&gt;</t>
  </si>
  <si>
    <t>displayPrefixInHUD</t>
  </si>
  <si>
    <t>在HUD中显示前缀</t>
  </si>
  <si>
    <t>在资源数值前显示的文本，会替换掉资源原本的名称以及冒号，和appendResourceInHUD一同使用时可以用来显示资源限制之类的内容</t>
  </si>
  <si>
    <t>displayPrefixInHUD:321</t>
  </si>
  <si>
    <t>displayPostfixInHUD</t>
  </si>
  <si>
    <t>在HUD中显示后缀</t>
  </si>
  <si>
    <t>在资源数值之后显示的文本</t>
  </si>
  <si>
    <t>displayPostfixInHUD:123</t>
  </si>
  <si>
    <t>displayTextAppendResourceWithGap</t>
  </si>
  <si>
    <t>显示具有间隙的附加资源文本</t>
  </si>
  <si>
    <t>默认为false。将不相关的资源放在同一行时，在资源之间添加空格。</t>
  </si>
  <si>
    <t>displayTextAppendResourceWithGap:true</t>
  </si>
  <si>
    <t>appendResourceInHUD_whenThisZero</t>
  </si>
  <si>
    <t>在此为零时在HUD中追加资源</t>
  </si>
  <si>
    <t>默认为true。为false时附加资源（如用于显示最大值的资源）与父资源一起隐藏。</t>
  </si>
  <si>
    <t>appendResourceInHUD_whenThisZero:false</t>
  </si>
  <si>
    <t>includeInStats</t>
  </si>
  <si>
    <t>包括值</t>
  </si>
  <si>
    <t>包括该资源，与valueInStats类似</t>
  </si>
  <si>
    <t>includeInStats:true</t>
  </si>
  <si>
    <t>valueInStats</t>
  </si>
  <si>
    <t>统计值</t>
  </si>
  <si>
    <t>(如果全局且未隐藏，则默认为 1(true)，否则默认为 0(false)） - 用于游戏后的统计和回放的排行榜</t>
  </si>
  <si>
    <t>valueInStats:true</t>
  </si>
  <si>
    <t>bool/integer</t>
  </si>
  <si>
    <t>displayInHud</t>
  </si>
  <si>
    <t>在HUD里显示</t>
  </si>
  <si>
    <t>- 用于 appendResourceInHUD（在HUD中追加资源） 中的资源，而不会隐藏它们，这有其他副作用</t>
  </si>
  <si>
    <t>displayInHud:true</t>
  </si>
  <si>
    <t>displayDigitGrouping</t>
  </si>
  <si>
    <t>资源数字分组</t>
  </si>
  <si>
    <t>none/comma/space--(空,逗号,空格)(例如资源数量10000,空格分组就是10 000)</t>
  </si>
  <si>
    <t>displayDigitGrouping:none</t>
  </si>
  <si>
    <t>display type</t>
  </si>
  <si>
    <t>displayTextAppendResource</t>
  </si>
  <si>
    <t>显示文本里添加资源</t>
  </si>
  <si>
    <t>往文本里添加一个资源</t>
  </si>
  <si>
    <t>displayTextAppendResource:&lt;resource:name&gt;</t>
  </si>
  <si>
    <t>displayPos</t>
  </si>
  <si>
    <t>显示排序</t>
  </si>
  <si>
    <t>显示优先级，越小越居上</t>
  </si>
  <si>
    <t>displayPos:1</t>
  </si>
  <si>
    <t>displayWithRounding</t>
  </si>
  <si>
    <t>四舍五入取整</t>
  </si>
  <si>
    <t>将资源的小数部分用四舍五入法变成整数，此代码为真后，该资源数字一定是整数</t>
  </si>
  <si>
    <t>displayWithRounding:true</t>
  </si>
  <si>
    <t>displayTextPrefix</t>
  </si>
  <si>
    <t>显示文本前缀</t>
  </si>
  <si>
    <t>与displayPrefixInHUD有着相同的作用，而且它俩不能共存</t>
  </si>
  <si>
    <t>displayTextPrefix:321</t>
  </si>
  <si>
    <t>displayTextPostfix</t>
  </si>
  <si>
    <t>显示文本后缀</t>
  </si>
  <si>
    <t>与displayPostfixInHUD有着相同的作用，而且它俩不能共存</t>
  </si>
  <si>
    <t>displayTextPostfix:123</t>
  </si>
  <si>
    <t>局部资源</t>
  </si>
  <si>
    <t>[resource_NAME]</t>
  </si>
  <si>
    <t>[resource_MyMoney]</t>
  </si>
  <si>
    <t>将此代码为真的资源统一排列到同一水平线上。</t>
  </si>
  <si>
    <t>UI中此资源的名称(如悬停在单元信息上)</t>
  </si>
  <si>
    <t>displayName:计数器</t>
  </si>
  <si>
    <t>displayNameShort:s</t>
  </si>
  <si>
    <t>对玩家隐藏这个资源</t>
  </si>
  <si>
    <t>equivalentGlobalResourceForAI</t>
  </si>
  <si>
    <t>作为AI的全局资源</t>
  </si>
  <si>
    <t>用于向AI提示具有本地资源的资源节点可用于获取不同的全局资源。例如，当一台收割机卸载资源</t>
  </si>
  <si>
    <t>equivalentGlobalResourceForAI:gold,diamond</t>
  </si>
  <si>
    <t>valueInStats:1</t>
  </si>
  <si>
    <t>在显示的UI中添加该资源</t>
  </si>
  <si>
    <t>贴图/贴花</t>
  </si>
  <si>
    <t>1.15p9新增</t>
  </si>
  <si>
    <t>[decal_NAME]</t>
  </si>
  <si>
    <t>layer</t>
  </si>
  <si>
    <t>可以填入的值：shadow(阴影), beforeBody(在主体之下), afterBody(在主体之上), onTop(在最顶端), beforeUI(在显示界面之上)，inactive(无效)</t>
  </si>
  <si>
    <t>layer:beforeUI</t>
  </si>
  <si>
    <t>layer type</t>
  </si>
  <si>
    <t>order</t>
  </si>
  <si>
    <t>排序(默认为0并且按照ini里的顺序)</t>
  </si>
  <si>
    <t>Order with other decals, defaults 0 and uses order it appears in ini（使用其他贴花排序，默认为0，并使用其在ini中显示的顺序）</t>
  </si>
  <si>
    <t>order:1</t>
  </si>
  <si>
    <t>onlyWhenSelectedByOwnPlayer</t>
  </si>
  <si>
    <t>仅在被拥有者选中时绘制</t>
  </si>
  <si>
    <t>Only draw if the viewing player is the same as this unit.（只有当玩家查看本单位时，才可绘制贴花。）</t>
  </si>
  <si>
    <t>onlyWhenSelectedByOwnPlayer:true</t>
  </si>
  <si>
    <t>onlyWhenSelectedByEnemyPlayer</t>
  </si>
  <si>
    <t>被敌方玩家选中时绘制</t>
  </si>
  <si>
    <t>onlyWhenSelectedByEnemyPlayer:true</t>
  </si>
  <si>
    <t>onlyWhenSelectedByAllyNotOwnPlayer</t>
  </si>
  <si>
    <t>非自身队伍的盟友选中时绘制</t>
  </si>
  <si>
    <t>onlyWhenSelectedByAllyNotOwnPlayer:false</t>
  </si>
  <si>
    <t>onlyWhenSelectedByAnyPlayer</t>
  </si>
  <si>
    <t>被任意玩家选中时绘制</t>
  </si>
  <si>
    <t>Show when any player selects this unit.（在任何玩家选中本单位值绘制贴花）</t>
  </si>
  <si>
    <t>onlyWhenSelectedByAnyPlayer:false</t>
  </si>
  <si>
    <t>includeParentsSelection</t>
  </si>
  <si>
    <t>包括被父单位选中</t>
  </si>
  <si>
    <t>onlyWhenSelected*also check parents selection（仅当选定时*还检查父项选择）</t>
  </si>
  <si>
    <t>includeParentsSelection:true</t>
  </si>
  <si>
    <t>onlyPlayersWithUnitControl</t>
  </si>
  <si>
    <t>仅在查看者能够控制此单位时绘制</t>
  </si>
  <si>
    <t>Only draw if viewing player could control this unit（仅当观看者可以控制此单元时才绘制贴花）</t>
  </si>
  <si>
    <t>onlyPlayersWithUnitControl:false</t>
  </si>
  <si>
    <t>onlyTeam</t>
  </si>
  <si>
    <t>仅在查看者为特定队伍时显示</t>
  </si>
  <si>
    <t>Only draw when this relation between unit and viewing player，Can be filled in:own|notOwn|neutral|allyNotOwn|ally|enemy|any         (仅当单位和查看玩家之间的关系时绘制，可以填写：己方|非己方|中立方|除自己外盟友|盟友|敌方|任意)</t>
  </si>
  <si>
    <t>onlyTeam:any</t>
  </si>
  <si>
    <t>onlyWithZoomLevelOrMore</t>
  </si>
  <si>
    <t>仅当缩放到当前大小或更大时绘制</t>
  </si>
  <si>
    <t>onscreen. Recommended to be set on decals for 3d voxel style units, small details or small shadows.Would hide decal when zoomed out a bit. Useful to reduce draw calls for performance when a lot of units might be
（屏幕上。建议设置在三维立体体积元素样式单位、小细节或小阴影的贴花上。缩小一点时会隐藏贴花。当许多单元可能需要时，有助于减少性能的调用）</t>
  </si>
  <si>
    <t>onlyWithZoomLevelOrMore:2.5</t>
  </si>
  <si>
    <t>onlyWhileActive</t>
  </si>
  <si>
    <t>仅在单位建造完成时绘制</t>
  </si>
  <si>
    <t>Only draw when unit has been completed（仅在单位完成时绘制，比如建造者建造一般的建筑就不算)</t>
  </si>
  <si>
    <t>onlyWhileActive:true</t>
  </si>
  <si>
    <t>onlyOnBodyFrameOf</t>
  </si>
  <si>
    <t>只在主体关键帧时绘制</t>
  </si>
  <si>
    <t>只有在主体到某个关键帧时绘制</t>
  </si>
  <si>
    <t>onlyOnBodyFrameOf:1</t>
  </si>
  <si>
    <t>onlyWhileAlive</t>
  </si>
  <si>
    <t>仅在存活时绘制</t>
  </si>
  <si>
    <t>(If beforeUI layer default true, else default false)(如果图层(layer)为beforeUI默认为true,否则false，为ture死后消失)</t>
  </si>
  <si>
    <t>onlyWhileActive:false</t>
  </si>
  <si>
    <t>onlyInPreview</t>
  </si>
  <si>
    <t>仅在侧边栏和建筑放置预览中显示</t>
  </si>
  <si>
    <t>Only show in sidebar, and building placement preview（仅在侧边栏中显示，以及建筑布局预览）</t>
  </si>
  <si>
    <t>onlyInPreview:true</t>
  </si>
  <si>
    <t>onlyOnNonPreview</t>
  </si>
  <si>
    <t>仅在非预览中显示(与上一条相反)</t>
  </si>
  <si>
    <t>Only show on real unit, not action sidebar, etc（仅在真实单元上显示，而不是动作侧边栏等）</t>
  </si>
  <si>
    <t>onlyOnNonPreview:true</t>
  </si>
  <si>
    <t>图像缩放(倍数)</t>
  </si>
  <si>
    <t>imageScale:self.hp</t>
  </si>
  <si>
    <t>LogicFloat</t>
  </si>
  <si>
    <t>imageScaleX</t>
  </si>
  <si>
    <t>图像X缩放</t>
  </si>
  <si>
    <t>imageScaleX:self.shield</t>
  </si>
  <si>
    <t>imageScaleY</t>
  </si>
  <si>
    <t>图像Y缩放</t>
  </si>
  <si>
    <t>imageScaleY:self.energy</t>
  </si>
  <si>
    <t>image:XXX.png</t>
  </si>
  <si>
    <t>file(image)</t>
  </si>
  <si>
    <t>teamColors</t>
  </si>
  <si>
    <t>阵营色</t>
  </si>
  <si>
    <t>bool. Enable team coloring on image and imageStack（布尔值。在图像和图像堆栈上启用队伍色）</t>
  </si>
  <si>
    <t>teamColors:true</t>
  </si>
  <si>
    <t>imageStack</t>
  </si>
  <si>
    <t>图像列表</t>
  </si>
  <si>
    <t>list of images recommended for 3d voxel style units as images can be batch drawn when using the same sprite sheet.（推荐用于三维立体体积元素样式单位的图像列表，因为当使用相同的子画面时，可以批量绘制图像。）(目前没有实例所以不清楚,但确定是用于3d单位)</t>
  </si>
  <si>
    <t>imageStack:XXX.png</t>
  </si>
  <si>
    <t>stack_hOffset</t>
  </si>
  <si>
    <t>列表图像高度偏移</t>
  </si>
  <si>
    <t>for 3d voxel style units.（用于三维立体体积元素样式单位。）</t>
  </si>
  <si>
    <t>stack_hOffset:1</t>
  </si>
  <si>
    <t>stack_frameOffset</t>
  </si>
  <si>
    <t>列表图像帧偏移</t>
  </si>
  <si>
    <t>stack_frameOffset:2</t>
  </si>
  <si>
    <t>stack_drawInReverseOrder</t>
  </si>
  <si>
    <t>列表图像绘图顺序</t>
  </si>
  <si>
    <t>stack_drawInReverseOrder:0</t>
  </si>
  <si>
    <t>stack_indexStart</t>
  </si>
  <si>
    <t>列表图像起始图像</t>
  </si>
  <si>
    <t>logic int (Starting image of the image stack)（动态整数（图像堆栈的起始图像））</t>
  </si>
  <si>
    <t>stack_indexStart:self.x</t>
  </si>
  <si>
    <t>logic integer</t>
  </si>
  <si>
    <t>stack_indexCount</t>
  </si>
  <si>
    <t>列表图像数量</t>
  </si>
  <si>
    <t>logic int (Number of images to draw. Could be set to 1 to use stack_indexStart as an image picker)（动态整数（要绘制的图像数。可以设置为1以使用堆栈索引开始作为图像选择器））</t>
  </si>
  <si>
    <t>stack_indexCount:self.y</t>
  </si>
  <si>
    <t>总帧数(跟后面两个二选一使用)</t>
  </si>
  <si>
    <t>Use total_frames or frame_width/frame_height（使用 总帧数 或者 帧宽度/帧高度）</t>
  </si>
  <si>
    <t>total_frames:12</t>
  </si>
  <si>
    <t>frame_verticalOrdering</t>
  </si>
  <si>
    <t>帧清单</t>
  </si>
  <si>
    <t>是否列出帧清单</t>
  </si>
  <si>
    <t>frame_verticalOrdering:true</t>
  </si>
  <si>
    <t>帧宽度</t>
  </si>
  <si>
    <t>帧宽度（不可与总帧数一起设置）</t>
  </si>
  <si>
    <t>frame_width:2</t>
  </si>
  <si>
    <t>帧高度</t>
  </si>
  <si>
    <t>frame_height:2</t>
  </si>
  <si>
    <t>(与total_frames相比,frame是动值,可以改变内存来修改第几帧)</t>
  </si>
  <si>
    <t>frame:self.maxHp</t>
  </si>
  <si>
    <t>addBodyFrameMultipliedBy</t>
  </si>
  <si>
    <t>添加主体帧乘数</t>
  </si>
  <si>
    <t>添加主体帧时的乘数</t>
  </si>
  <si>
    <t>addBodyFrameMultipliedBy:1.2</t>
  </si>
  <si>
    <t>表明该帖花是否可以被我们看见(可以使用逻辑)</t>
  </si>
  <si>
    <t>isVisible:if self.isMoving</t>
  </si>
  <si>
    <t>X相对偏移</t>
  </si>
  <si>
    <t>(note use basePosition with createMarker/etc for logic use)（请注意，动态使用base Position（基本位置）和create Marker（创建标记）/ect（等））</t>
  </si>
  <si>
    <t>xOffsetRelative:200</t>
  </si>
  <si>
    <t>Y相对偏移</t>
  </si>
  <si>
    <t>yOffsetRelative:200</t>
  </si>
  <si>
    <t>X绝对偏移</t>
  </si>
  <si>
    <t>xOffsetAbsolute:self.hp</t>
  </si>
  <si>
    <t>Y绝对偏移</t>
  </si>
  <si>
    <t>yOffsetAbsolute:self.hp</t>
  </si>
  <si>
    <t>height offset（高度偏移）</t>
  </si>
  <si>
    <t>hOffset:2</t>
  </si>
  <si>
    <t>dirOffset:25</t>
  </si>
  <si>
    <t>坐标系旋转</t>
  </si>
  <si>
    <t>(相当于把单位定位的直角坐标系旋转该角度,然后重新确定xy) 只影响X/Y相对偏移,不旋转图像-----only effects xOffsetRelative/yOffsetRelative without rotating image</t>
  </si>
  <si>
    <t>pivotOffset:125</t>
  </si>
  <si>
    <t>float (180&gt;X&gt;-180)</t>
  </si>
  <si>
    <t>总是固定角度为零(总是朝上)</t>
  </si>
  <si>
    <t>Useful for UI(对UI有用)</t>
  </si>
  <si>
    <t>alwaysStartDirAtZero:true</t>
  </si>
  <si>
    <t>总是角度为零(总是朝上)</t>
  </si>
  <si>
    <t>alwaysStartHeightAtZero</t>
  </si>
  <si>
    <t>总是固定高度为零</t>
  </si>
  <si>
    <t>Useful for UI on air and hover units（对空中和两栖单位的UI有用）</t>
  </si>
  <si>
    <t>alwaysStartHeightAtZero:false</t>
  </si>
  <si>
    <t>basePosition</t>
  </si>
  <si>
    <t>中心位置(填单位参考)</t>
  </si>
  <si>
    <t>unit or marker to draw from as the base（作为基础绘制的单位或标记）</t>
  </si>
  <si>
    <t>basePosition:nearestUnit</t>
  </si>
  <si>
    <t>basePositionFromLeg</t>
  </si>
  <si>
    <t>以脚为中心位置</t>
  </si>
  <si>
    <t>Use a leg/arm position instead of unit body as base（使用 腿/脚 位置而不是单位身体作为基础）</t>
  </si>
  <si>
    <t>basePositionFromLeg:1</t>
  </si>
  <si>
    <t>leg ref</t>
  </si>
  <si>
    <t>basePositionFromTurret</t>
  </si>
  <si>
    <t>以炮塔为中心位置</t>
  </si>
  <si>
    <t>Use a turret position instead of unit body as base（使用炮塔位置而不是单元主体作为底座）</t>
  </si>
  <si>
    <t>basePositionFromTurret:5</t>
  </si>
  <si>
    <t>basePositionFromLegEnd</t>
  </si>
  <si>
    <t>以腿为中心位置</t>
  </si>
  <si>
    <t>填腿脚/胳膊节</t>
  </si>
  <si>
    <t>basePositionFromLegEnd:leg_1</t>
  </si>
  <si>
    <t>leg/arm ref</t>
  </si>
  <si>
    <t>drawLineTo</t>
  </si>
  <si>
    <t>绘制线条到(受到颜色和宽度影响)</t>
  </si>
  <si>
    <t>Draws a line to this location affected by color and width（在此位置绘制一条受颜色和宽度影响的线）</t>
  </si>
  <si>
    <t>drawLineTo:nearestUnit</t>
  </si>
  <si>
    <t>unit or marker</t>
  </si>
  <si>
    <t>image_shadow:XXX.png</t>
  </si>
  <si>
    <t>阴影偏移X</t>
  </si>
  <si>
    <t>shadowOffsetX:12</t>
  </si>
  <si>
    <t>阴影偏移Y</t>
  </si>
  <si>
    <t>shadowOffsetY:21</t>
  </si>
  <si>
    <t>颜色(影像图像和线条)</t>
  </si>
  <si>
    <t>affects image and line.（影响图像和线条。）</t>
  </si>
  <si>
    <t>color:#acefdb</t>
  </si>
  <si>
    <t>不透明度(影像颜色和线条)</t>
  </si>
  <si>
    <t>LogicFloat (0-1). Stacks with alpha in color. affects image and line.（动态浮点值（0-1）。以颜色堆叠透明度。影响图像和线条。）</t>
  </si>
  <si>
    <t>alpha:self.shield</t>
  </si>
  <si>
    <t>LogicFloat (0-1)</t>
  </si>
  <si>
    <t>lineWidth</t>
  </si>
  <si>
    <t>线宽度</t>
  </si>
  <si>
    <t>表明这条线的宽度</t>
  </si>
  <si>
    <t>lineWidth:21.564</t>
  </si>
  <si>
    <t>模板</t>
  </si>
  <si>
    <t>[template_NAME]</t>
  </si>
  <si>
    <t>模板部分可以具有任何键，并且其自身无效。</t>
  </si>
  <si>
    <t>可以使用[core]copyFrom从其他文件中引用模板。例如：[core]copyFrom:ROOT:effects/explodeEffects.template。copyFrom可以一次引用多个文件。</t>
  </si>
  <si>
    <t>-以下所有这些功能都可以与任何部分一起使用，而不仅仅是模板-</t>
  </si>
  <si>
    <t>@copyFromSection</t>
  </si>
  <si>
    <t>复制节</t>
  </si>
  <si>
    <t>在任何节中使用，以引用节或模板的代码。如@copyFromSection template_name/action_name/projectile_name</t>
  </si>
  <si>
    <t>@copyFromSection:projectile_1</t>
  </si>
  <si>
    <t>@copyFrom_skipThisSection</t>
  </si>
  <si>
    <t>复制但跳过节</t>
  </si>
  <si>
    <t>在任何节中使用，例如，在引用时候不复制某个action.</t>
  </si>
  <si>
    <t>[action_test]
@copyFrom_skipThisSection:true</t>
  </si>
  <si>
    <t>@define X</t>
  </si>
  <si>
    <t>局部变量</t>
  </si>
  <si>
    <t>在一个节中定义一个局部变量(最好在模板外部)</t>
  </si>
  <si>
    <t>@define targetEffect: boom</t>
  </si>
  <si>
    <t>@global X</t>
  </si>
  <si>
    <t>全局变量</t>
  </si>
  <si>
    <t>定义在所有节中使用的全局变量。注意：局部变量具有更高的优先级</t>
  </si>
  <si>
    <t>@global targetEffect: pop</t>
  </si>
  <si>
    <t>${X}</t>
  </si>
  <si>
    <t>变量引用</t>
  </si>
  <si>
    <t>${X}可以用来引用变量(也可以在模板外部完成)</t>
  </si>
  <si>
    <t>spawnEffects:effect_${targetEffect}</t>
  </si>
  <si>
    <t>${section.key}</t>
  </si>
  <si>
    <t>值引用</t>
  </si>
  <si>
    <t>${section.key}可以用来引用键（也可以在模板外部完成）。如果值为小数，可用int取整，例如${int(core.price*0.25)}</t>
  </si>
  <si>
    <t>addResources:credits=${core.price * 2 + 10}</t>
  </si>
  <si>
    <t>%{X}</t>
  </si>
  <si>
    <t>可用于将动态逻辑添加到某些字符串中（此方式只能用于字符串(mod-info.txt的除外)）。 该值将每一帧更新。
 [action]text: Missing hp %{self.maxHp - self.hp}</t>
  </si>
  <si>
    <t>"""[文本]"""</t>
  </si>
  <si>
    <t>多行字符串
多行注释</t>
  </si>
  <si>
    <t>可用于多行字符串。 从最终结果中删除换行符。理论上所有代码(非逻辑)都可使用。但需注意，你在打了一个"""后，必须要有一个"""与之对应，否则一定报错，不能用'''，否则也报错
"""在位于最行首时，作用将会改为多行注释</t>
  </si>
  <si>
    <t>copyFrom:"""
ROOT:a.ini,
ROOT:b.ini,
ROOT:c.ini
"""</t>
  </si>
  <si>
    <t>注释</t>
  </si>
  <si>
    <t>[comment_NAME]</t>
  </si>
  <si>
    <t>啥都不是的玩意儿</t>
  </si>
  <si>
    <t>注释部分可以有任何键，但没有效果。</t>
  </si>
  <si>
    <t>游戏默认声音列表(用于炮塔开火声或其他音效参考)</t>
  </si>
  <si>
    <t>bug_attack, bug_die, building_explode, cannon_firing, click, click_add, click_remove, firing3, firing4, gun_fire, interface_error, large_gun_fire1, large_gun_fire2, laser_deflect, laser_deflect2, lighting_burst, message, missile_fire, missile_hit, move, nuke_explode, nuke_launch, plasma_fire, plasma_fire2, tank_firing, unit_explode, unit_explode_old, warning</t>
  </si>
  <si>
    <t>这是luke加上的，更多内置效果、内部参数我在"参数表"内列出。</t>
  </si>
  <si>
    <t>特殊参数</t>
  </si>
  <si>
    <t>边界大小</t>
  </si>
  <si>
    <t>“techLevel”单位生成参数,主要用于内置的单元和设置damagingBorder大小。</t>
  </si>
  <si>
    <t>特殊单位</t>
  </si>
  <si>
    <t>damagingBorder</t>
  </si>
  <si>
    <t>伤害边界</t>
  </si>
  <si>
    <t>此内部单位会生成一个圆形的安全区域，所有区域外的单位会不断收到伤害直到死亡。</t>
  </si>
  <si>
    <t>spawnUnits:damagingBorder(techLevel=4,offsetRandomX=1,offsetRandomY=1)</t>
  </si>
  <si>
    <t>zonemarker</t>
  </si>
  <si>
    <t>伤害边界区域标记</t>
  </si>
  <si>
    <t>此单位用于指示伤害边框移动到何处，是放大还是缩小，可使用“techLevel”控制大小。</t>
  </si>
  <si>
    <t>spawnUnits:zonemarker(techLevel=2,offsetRandomX=1,offsetRandomY=1)</t>
  </si>
  <si>
    <t>setRally</t>
  </si>
  <si>
    <t>设置集结点</t>
  </si>
  <si>
    <t>用于设置建造完成的单位的集结点，而不是建筑门口</t>
  </si>
  <si>
    <t>canBuild_1_name:setRally
canBuild_1_pos:1</t>
  </si>
  <si>
    <t>reclaim</t>
  </si>
  <si>
    <t>回收</t>
  </si>
  <si>
    <t>回收建筑并返还75%资金</t>
  </si>
  <si>
    <t>canBuild_1_name:reclaim
canBuild_1_pos:1</t>
  </si>
  <si>
    <t>repair</t>
  </si>
  <si>
    <t>维修</t>
  </si>
  <si>
    <t>主动维修建筑</t>
  </si>
  <si>
    <t>canBuild_1_name:repair
canBuild_1_pos:1</t>
  </si>
  <si>
    <t>一些额外无效代码</t>
  </si>
  <si>
    <t>attackMovementSpeed</t>
  </si>
  <si>
    <t>攻击时移动速度</t>
  </si>
  <si>
    <t>几乎无影响</t>
  </si>
  <si>
    <t>attackMovementSpread</t>
  </si>
  <si>
    <t>攻击时移动散布</t>
  </si>
  <si>
    <t>以上为攻击节，以下为图像节（填写均没有什么效果，不建议使用）</t>
  </si>
  <si>
    <t>imageSmoothing</t>
  </si>
  <si>
    <t>图像平滑</t>
  </si>
  <si>
    <t>imageSmoothingWhenZoomedIn</t>
  </si>
  <si>
    <t>在缩放时图像依然平滑</t>
  </si>
  <si>
    <t>模组</t>
  </si>
  <si>
    <t>section（mod-info.txt）</t>
  </si>
  <si>
    <t>[mod]</t>
  </si>
  <si>
    <t>翻译</t>
  </si>
  <si>
    <t>title</t>
  </si>
  <si>
    <t>标题</t>
  </si>
  <si>
    <t>模组标题，会显示到加载页面里面，代表模组的名称</t>
  </si>
  <si>
    <t>title:模组名称</t>
  </si>
  <si>
    <t>对于的模组描述</t>
  </si>
  <si>
    <t>description:模组描述</t>
  </si>
  <si>
    <t>模组标签，方便和其他模组进行区分</t>
  </si>
  <si>
    <t>tags:模组,自制,肉鸽(?)</t>
  </si>
  <si>
    <t>tag(s)</t>
  </si>
  <si>
    <t>minVersion</t>
  </si>
  <si>
    <t>最低版本</t>
  </si>
  <si>
    <t>告诉你该模组支持的最低版本，decal为1.15p9，数组为1.15p11，但凡这两个没有在minVersion后面写上相应版本，一定会爆错</t>
  </si>
  <si>
    <t>minVersion:v1.15</t>
  </si>
  <si>
    <t>version</t>
  </si>
  <si>
    <t>thumbnail</t>
  </si>
  <si>
    <t>略图</t>
  </si>
  <si>
    <t>模组略图，在游戏里不会显示，因为这个是给steam用的</t>
  </si>
  <si>
    <t>thumbnail:xxx.png</t>
  </si>
  <si>
    <t>音乐</t>
  </si>
  <si>
    <t>[music]</t>
  </si>
  <si>
    <t>sourceFolder</t>
  </si>
  <si>
    <t>源文件夹</t>
  </si>
  <si>
    <t>填文件夹路径，游戏将会播放此文件夹内的音乐（仅支持.ogg或.wav）</t>
  </si>
  <si>
    <t>sourceFolder:music/background\</t>
  </si>
  <si>
    <t>floder path</t>
  </si>
  <si>
    <t>whenUsingUnitsFromThisMod_playExclusively</t>
  </si>
  <si>
    <t>当使用本模组时强制播放</t>
  </si>
  <si>
    <t>使用该代码，游戏将仅播放这个文件夹内的音乐</t>
  </si>
  <si>
    <t>whenUsingUnitsFromThisMod_playExclusively:true</t>
  </si>
  <si>
    <t>地图</t>
  </si>
  <si>
    <t>压根没有这个节</t>
  </si>
  <si>
    <t>未知代码(不可用(?))</t>
  </si>
  <si>
    <t>从dex的unitCLASS文件夹里搜出来的似乎并不属与单位的代码</t>
  </si>
  <si>
    <t>maxSpeed</t>
  </si>
  <si>
    <t>最大速度</t>
  </si>
  <si>
    <t>enabled</t>
  </si>
  <si>
    <t>启用</t>
  </si>
  <si>
    <t>movement_repelFromUnits</t>
  </si>
  <si>
    <t>单位运动排斥来自</t>
  </si>
  <si>
    <t>onlySameTeam</t>
  </si>
  <si>
    <t>仅相同队伍可言</t>
  </si>
  <si>
    <t>otherUnitHasTag</t>
  </si>
  <si>
    <t>其他单位有标签</t>
  </si>
  <si>
    <t>movement_random</t>
  </si>
  <si>
    <t>随机移动</t>
  </si>
  <si>
    <t>awayFromEdge</t>
  </si>
  <si>
    <t>边缘距离</t>
  </si>
  <si>
    <t>outOfRange</t>
  </si>
  <si>
    <t>超出范围</t>
  </si>
  <si>
    <t>onlyInRange</t>
  </si>
  <si>
    <t>在范围内</t>
  </si>
  <si>
    <t>returnFire</t>
  </si>
  <si>
    <t>返回开火</t>
  </si>
  <si>
    <t>holdFire</t>
  </si>
  <si>
    <t>停止射击</t>
  </si>
  <si>
    <t>guardArea</t>
  </si>
  <si>
    <t>守护范围</t>
  </si>
  <si>
    <t>aggressive</t>
  </si>
  <si>
    <t>敌对</t>
  </si>
  <si>
    <t>mixed</t>
  </si>
  <si>
    <t>混合</t>
  </si>
  <si>
    <t>imageLoad</t>
  </si>
  <si>
    <t>加载图像</t>
  </si>
  <si>
    <t>imageLoadOrGet</t>
  </si>
  <si>
    <t>加载或者获取图像</t>
  </si>
  <si>
    <t>soundLoad</t>
  </si>
  <si>
    <t>加载音频</t>
  </si>
  <si>
    <t>soundLoadOrGet</t>
  </si>
  <si>
    <t>加载或者获取音频</t>
  </si>
  <si>
    <t>iniParse</t>
  </si>
  <si>
    <t>分析ini文件</t>
  </si>
  <si>
    <t>unitParse</t>
  </si>
  <si>
    <t>分析单位</t>
  </si>
  <si>
    <t>iniOpen</t>
  </si>
  <si>
    <t>打开ini文件</t>
  </si>
  <si>
    <t>iniClose</t>
  </si>
  <si>
    <t>关闭ini文件</t>
  </si>
  <si>
    <t>iniSetup</t>
  </si>
  <si>
    <t>更新ini文件</t>
  </si>
  <si>
    <t>actionParse</t>
  </si>
  <si>
    <t>分析行动</t>
  </si>
  <si>
    <t>unitParsePartA</t>
  </si>
  <si>
    <t>单位A部分分析</t>
  </si>
  <si>
    <t>unitParsePartB</t>
  </si>
  <si>
    <t>单位B部分分析</t>
  </si>
  <si>
    <t>unitParsePartC</t>
  </si>
  <si>
    <t>单位C部分分析</t>
  </si>
  <si>
    <t>unitParsePartD</t>
  </si>
  <si>
    <t>单位D部分分析</t>
  </si>
  <si>
    <t>deattachRequest</t>
  </si>
  <si>
    <t>取消附加请求</t>
  </si>
  <si>
    <t>got(非独立代码)</t>
  </si>
  <si>
    <t>获取</t>
  </si>
  <si>
    <t>customUnits(非独立代码)</t>
  </si>
  <si>
    <t>自定义单位</t>
  </si>
  <si>
    <t>convert</t>
  </si>
  <si>
    <t>转换</t>
  </si>
  <si>
    <t>设置特殊行动的单位(不可用?)</t>
  </si>
  <si>
    <t>reclaimTarget</t>
  </si>
  <si>
    <t>回收目标</t>
  </si>
  <si>
    <t>repairTarget</t>
  </si>
  <si>
    <t>修复目标</t>
  </si>
  <si>
    <t>attackMove</t>
  </si>
  <si>
    <t>进军</t>
  </si>
  <si>
    <t>pingMap</t>
  </si>
  <si>
    <t>地图映射标记</t>
  </si>
  <si>
    <t>directToAction</t>
  </si>
  <si>
    <t>直接行动</t>
  </si>
  <si>
    <t>guardUnit</t>
  </si>
  <si>
    <t>守护单位</t>
  </si>
  <si>
    <t>patrol</t>
  </si>
  <si>
    <t>巡逻</t>
  </si>
  <si>
    <t>动画帧设置(不可用(?))</t>
  </si>
  <si>
    <t>legX</t>
  </si>
  <si>
    <t>腿X坐标</t>
  </si>
  <si>
    <t>legY</t>
  </si>
  <si>
    <t>腿Y坐标</t>
  </si>
  <si>
    <t>legDir</t>
  </si>
  <si>
    <t>腿角度</t>
  </si>
  <si>
    <t>legHeight</t>
  </si>
  <si>
    <t>腿高度</t>
  </si>
  <si>
    <t>turretX</t>
  </si>
  <si>
    <t>炮塔X坐标</t>
  </si>
  <si>
    <t>turretY</t>
  </si>
  <si>
    <t>炮塔Y坐标</t>
  </si>
  <si>
    <t>legAlpha</t>
  </si>
  <si>
    <t>腿透明度</t>
  </si>
  <si>
    <t>event</t>
  </si>
  <si>
    <t>事件</t>
  </si>
  <si>
    <t>字符串特殊组(不可用?)</t>
  </si>
  <si>
    <t>IsDead</t>
  </si>
  <si>
    <t>已死</t>
  </si>
  <si>
    <t>InMap</t>
  </si>
  <si>
    <t>在地图内</t>
  </si>
  <si>
    <t>IsGameFrame(mod=?)</t>
  </si>
  <si>
    <t>是游戏框架（模组=？）</t>
  </si>
  <si>
    <t>Tag</t>
  </si>
  <si>
    <t>isComplete</t>
  </si>
  <si>
    <t>已完成</t>
  </si>
  <si>
    <t>EventTag</t>
  </si>
  <si>
    <t>事件标签</t>
  </si>
  <si>
    <t>get()</t>
  </si>
  <si>
    <t>Dive</t>
  </si>
  <si>
    <t>潜行</t>
  </si>
  <si>
    <t>Data()</t>
  </si>
  <si>
    <t>数据</t>
  </si>
  <si>
    <t>GameMode()</t>
  </si>
  <si>
    <t>游戏模式</t>
  </si>
  <si>
    <t>未知值(不可用(?))</t>
  </si>
  <si>
    <t>cast</t>
  </si>
  <si>
    <t>投掷</t>
  </si>
  <si>
    <t>set</t>
  </si>
  <si>
    <t>设置</t>
  </si>
  <si>
    <t>add</t>
  </si>
  <si>
    <t>subtract</t>
  </si>
  <si>
    <t>描述&amp;解释</t>
  </si>
  <si>
    <t>图层信息</t>
  </si>
  <si>
    <t>名称</t>
  </si>
  <si>
    <t>名称是固定的，错误的名称不会起到作用</t>
  </si>
  <si>
    <t>Set</t>
  </si>
  <si>
    <t>映射层</t>
  </si>
  <si>
    <t>用于自动映射，地图编辑器根据此层生成地面层。
属于辅助图层。删除不会对游戏有任何影响。也不会在游戏中显示。</t>
  </si>
  <si>
    <t>非地块</t>
  </si>
  <si>
    <t>Ground</t>
  </si>
  <si>
    <t>地面层</t>
  </si>
  <si>
    <t>地面层。必须存在且必须填满所有的地块，不然无法使用地图。
不建议使用透明图块，会导致显示异常。</t>
  </si>
  <si>
    <t>Units</t>
  </si>
  <si>
    <t>单位层</t>
  </si>
  <si>
    <t>不可见图层。它不会在游戏中显示任何图像，只用于生成单位。游戏会根据地块定义的属性生成单位。</t>
  </si>
  <si>
    <t>Items</t>
  </si>
  <si>
    <t>物品层</t>
  </si>
  <si>
    <t>多功能图层，可以有多个。出现在地面层之上，允许使用透明素材，单位图块正常转化。地块属性并不总是有效。只有最顶层的资源池属性有效。不在小地图上显示。</t>
  </si>
  <si>
    <t>Triggers</t>
  </si>
  <si>
    <t>对象触发层</t>
  </si>
  <si>
    <t>不可见图层，用于设置地图参数、执行触发、生成单位。</t>
  </si>
  <si>
    <t>==========</t>
  </si>
  <si>
    <t>Grounddetails</t>
  </si>
  <si>
    <t>地面细节层</t>
  </si>
  <si>
    <t>单位可转换，但其它属性无效。且但是覆盖优先级比Iteam低。</t>
  </si>
  <si>
    <t>PathingOverride</t>
  </si>
  <si>
    <t>路径覆盖</t>
  </si>
  <si>
    <t>单位可转换，覆盖地面层的属性，但不显示图像。</t>
  </si>
  <si>
    <t>UnitObjects</t>
  </si>
  <si>
    <t>单位对象层</t>
  </si>
  <si>
    <t>刷单位图层。如果只用于放置单位，则任意其它名称都可以。</t>
  </si>
  <si>
    <t>映射设定层</t>
  </si>
  <si>
    <t>用于地图映射规则制作，这些不会在游戏中用到。</t>
  </si>
  <si>
    <t>Regions</t>
  </si>
  <si>
    <t>区域</t>
  </si>
  <si>
    <t>设定参与映射计算的区域。例如 regions、 regions_ground。（不填则默认为全部图层）</t>
  </si>
  <si>
    <t>此为自动映射特殊图层固定名称（可以直接写Regions或“_”后面填写图层名称）</t>
  </si>
  <si>
    <t>Input_</t>
  </si>
  <si>
    <t>输入</t>
  </si>
  <si>
    <t>设定输入数据，如 input_set</t>
  </si>
  <si>
    <t>此为自动映射特殊图层固定名称（“_”后面填写图层名称）</t>
  </si>
  <si>
    <t>InputNot_</t>
  </si>
  <si>
    <t>不输入</t>
  </si>
  <si>
    <t>作用很迷，例子：InputNot_set</t>
  </si>
  <si>
    <t>Output_</t>
  </si>
  <si>
    <t>输出</t>
  </si>
  <si>
    <t>设定输入数据在运算后输出的类型。如 output_Ground 输出到Ground。</t>
  </si>
  <si>
    <t>地块类型</t>
  </si>
  <si>
    <t>自定义地块的各类自定义属性</t>
  </si>
  <si>
    <t>water</t>
  </si>
  <si>
    <t>水</t>
  </si>
  <si>
    <t>水面。海军，两栖之类可通过，可建造。</t>
  </si>
  <si>
    <t>不需要填写</t>
  </si>
  <si>
    <t>water-bridge</t>
  </si>
  <si>
    <t>水桥</t>
  </si>
  <si>
    <t>水面和地面属性混合，都可以通过。建筑都可以建造</t>
  </si>
  <si>
    <t>lava</t>
  </si>
  <si>
    <t>岩浆</t>
  </si>
  <si>
    <t>阻止地面单位通过，并随机播放岩浆动画。</t>
  </si>
  <si>
    <t>lava-cliff</t>
  </si>
  <si>
    <t>岩浆-悬崖</t>
  </si>
  <si>
    <t>只有空军可以通过。阻止机甲。</t>
  </si>
  <si>
    <t>cliff-soft</t>
  </si>
  <si>
    <t>悬崖-软</t>
  </si>
  <si>
    <t>阻止陆军，阻止建造，机甲可通过，两栖可通过，飞机可降落</t>
  </si>
  <si>
    <t>cliff</t>
  </si>
  <si>
    <t>悬崖</t>
  </si>
  <si>
    <t>与cliff-soft没区别</t>
  </si>
  <si>
    <t>large-cliff</t>
  </si>
  <si>
    <t>悬崖-大</t>
  </si>
  <si>
    <t>只允许可跨悬崖单位通过，如机甲。</t>
  </si>
  <si>
    <t>block-land</t>
  </si>
  <si>
    <t>锁定陆军</t>
  </si>
  <si>
    <t>此处阻止陆军通过，阻止机甲用过，飞行器可降落</t>
  </si>
  <si>
    <t>block-buildings</t>
  </si>
  <si>
    <t>锁定建筑</t>
  </si>
  <si>
    <t>此处阻止建造建筑，1.14无效</t>
  </si>
  <si>
    <t>trees</t>
  </si>
  <si>
    <t>树</t>
  </si>
  <si>
    <t>阻止陆军、悬浮通行，阻止建造，但不阻止机甲，不阻止空军降落</t>
  </si>
  <si>
    <t>large-rock</t>
  </si>
  <si>
    <t>大石头</t>
  </si>
  <si>
    <t>禁止通行，禁止建造，只有飞行器能降落</t>
  </si>
  <si>
    <t>stone</t>
  </si>
  <si>
    <t>石头</t>
  </si>
  <si>
    <t>无用属性</t>
  </si>
  <si>
    <t>small-rock</t>
  </si>
  <si>
    <t>小石头</t>
  </si>
  <si>
    <t>res_pool</t>
  </si>
  <si>
    <t>资源池</t>
  </si>
  <si>
    <t>只有在此属性才能处放置资源提取器。</t>
  </si>
  <si>
    <t>地块的自定义属性，用于所属队伍，以及单位和迷雾</t>
  </si>
  <si>
    <t>单位</t>
  </si>
  <si>
    <t>填要生成的单位</t>
  </si>
  <si>
    <t>unit name</t>
  </si>
  <si>
    <t>team</t>
  </si>
  <si>
    <t>队伍</t>
  </si>
  <si>
    <t>填单位所属的玩家</t>
  </si>
  <si>
    <t>showFog</t>
  </si>
  <si>
    <t>显示迷雾</t>
  </si>
  <si>
    <t>填数值,用于揭开一个区域迷雾</t>
  </si>
  <si>
    <t>int</t>
  </si>
  <si>
    <t>type</t>
  </si>
  <si>
    <t>类型</t>
  </si>
  <si>
    <t>只用于树木,填1.0~1.4，2.0~2.4是对应的雪地版本。</t>
  </si>
  <si>
    <t>MatchType</t>
  </si>
  <si>
    <t>匹配类型</t>
  </si>
  <si>
    <t>作用未知，可以填写的有：
Empty = 空
Ignore = 忽略
NonEmpty = 非空
Other = 其他任意
Negate = 否定</t>
  </si>
  <si>
    <t>填Empty，Ignore，NonEmpty，Other，Negate</t>
  </si>
  <si>
    <t>地图信息</t>
  </si>
  <si>
    <t>固定名称:map_info（仅设置一个即可）</t>
  </si>
  <si>
    <t>名称固定为此。地图的初始化静态设定，注意是名称，不是类型</t>
  </si>
  <si>
    <t>fog</t>
  </si>
  <si>
    <t>迷雾模式</t>
  </si>
  <si>
    <t>设置战争迷雾模式，有三种类型。不写和无效果一致。无：NONE, 一次性迷雾：map, 普通迷雾：los</t>
  </si>
  <si>
    <t>NONE, map, los</t>
  </si>
  <si>
    <t>introText</t>
  </si>
  <si>
    <t>载入文本</t>
  </si>
  <si>
    <t>载入地图时的提示信息，即需要点ok的任务简报</t>
  </si>
  <si>
    <t>设置地图模式，不同模式下触发执行或地图设定有所不同。模式有mission（战役）, skirmish（遭遇战）, survival（生存），challenge（挑战）</t>
  </si>
  <si>
    <t>mission, skirmish, survival,challenge</t>
  </si>
  <si>
    <t>winCondition</t>
  </si>
  <si>
    <t>胜利条件</t>
  </si>
  <si>
    <t>用于达成条件后显示胜利界面，生存下可填单位作为保护对象。
可以填写的：
NONE,无
allUnitsAndBuildings 所有单位和建筑 , allBuildings 所有建筑
mainBuilings、mainBuildings 主要建筑物，前者似乎包含未完成建筑
commandCenter 铁锈默认的指挥中心
requiredObjectives 地图所有的事件对象都被触发。</t>
  </si>
  <si>
    <t>NONE
allUnitsAndBuildings
allBuildings
mainBuilingsmainBuildings
commandCenter
requiredObjectives</t>
  </si>
  <si>
    <t>loseCondition</t>
  </si>
  <si>
    <t>失败条件</t>
  </si>
  <si>
    <t>用于达成条件后显示失败界面，生存下可填单位作为保护对象。
可以填写的：
NONE,无
allUnitsAndBuildings 所有单位和建筑 , allBuildings 所有建筑
mainBuilings、mainBuildings 主要建筑物，前者似乎包含未完成建筑
commandCenter 铁锈默认的指挥中心
requiredObjectives 地图所有的事件对象都被触发。</t>
  </si>
  <si>
    <t>survivalWaves</t>
  </si>
  <si>
    <t>生存波次</t>
  </si>
  <si>
    <t>自定义刷兵格式例子:
+0:30 前面是时间 - 3 tank
+0:20 中间是名称 - 3 bugWasp
+0:20 后面是单位 - 3 tank
+0:20 需要按格式 - 3 tank,1 bugWasp
+0:05 [win]（[]被称为wave opinion，可以填的值：win，lockSpawn，unlockSpawn，noTimer，paused）</t>
  </si>
  <si>
    <t>shareFogWithAllies</t>
  </si>
  <si>
    <t>迷雾共享</t>
  </si>
  <si>
    <t>与盟友分享战争迷雾视野</t>
  </si>
  <si>
    <t>队伍控制</t>
  </si>
  <si>
    <t>team_info</t>
  </si>
  <si>
    <t>初始化每个玩家的设定。名称随意，但类型为team_info，可以设置玩家各类的初始值</t>
  </si>
  <si>
    <t>设定玩家初始资金。</t>
  </si>
  <si>
    <t>allyGroup</t>
  </si>
  <si>
    <t>结盟</t>
  </si>
  <si>
    <t>设定结盟关系，拥有相同组的玩家互为队友。</t>
  </si>
  <si>
    <t>disabledAI</t>
  </si>
  <si>
    <t>禁用AI</t>
  </si>
  <si>
    <t>阻止ai索敌、建造和执行action等。</t>
  </si>
  <si>
    <t>lockAiDifficulty</t>
  </si>
  <si>
    <t>锁定AI难度等级</t>
  </si>
  <si>
    <r>
      <rPr>
        <b/>
        <charset val="134"/>
        <sz val="10"/>
        <color rgb="FFFFFFFF"/>
        <rFont val="微软雅黑"/>
      </rPr>
      <t>关于数值的说明
│-4 = 观战
│ -3 = &lt;unknow&gt;
│ -2 = Very Easy
│ -1</t>
    </r>
    <r>
      <rPr>
        <b/>
        <charset val="134"/>
        <sz val="10"/>
        <color rgb="FFFFFFFF"/>
        <rFont val="宋体"/>
      </rPr>
      <t xml:space="preserve"> = </t>
    </r>
    <r>
      <rPr>
        <b/>
        <charset val="134"/>
        <sz val="10"/>
        <color rgb="FFFFFFFF"/>
        <rFont val="微软雅黑"/>
      </rPr>
      <t>Easy
│ 0</t>
    </r>
    <r>
      <rPr>
        <b/>
        <charset val="134"/>
        <sz val="10"/>
        <color rgb="FFFFFFFF"/>
        <rFont val="宋体"/>
      </rPr>
      <t xml:space="preserve"> = </t>
    </r>
    <r>
      <rPr>
        <b/>
        <charset val="134"/>
        <sz val="10"/>
        <color rgb="FFFFFFFF"/>
        <rFont val="微软雅黑"/>
      </rPr>
      <t>Medium
│ 1</t>
    </r>
    <r>
      <rPr>
        <b/>
        <charset val="134"/>
        <sz val="10"/>
        <color rgb="FFFFFFFF"/>
        <rFont val="宋体"/>
      </rPr>
      <t xml:space="preserve"> = </t>
    </r>
    <r>
      <rPr>
        <b/>
        <charset val="134"/>
        <sz val="10"/>
        <color rgb="FFFFFFFF"/>
        <rFont val="微软雅黑"/>
      </rPr>
      <t>Hard
│ 2</t>
    </r>
    <r>
      <rPr>
        <b/>
        <charset val="134"/>
        <sz val="10"/>
        <color rgb="FFFFFFFF"/>
        <rFont val="宋体"/>
      </rPr>
      <t xml:space="preserve"> = </t>
    </r>
    <r>
      <rPr>
        <b/>
        <charset val="134"/>
        <sz val="10"/>
        <color rgb="FFFFFFFF"/>
        <rFont val="微软雅黑"/>
      </rPr>
      <t>Very Hard
│ 3</t>
    </r>
    <r>
      <rPr>
        <b/>
        <charset val="134"/>
        <sz val="10"/>
        <color rgb="FFFFFFFF"/>
        <rFont val="宋体"/>
      </rPr>
      <t xml:space="preserve"> = </t>
    </r>
    <r>
      <rPr>
        <b/>
        <charset val="134"/>
        <sz val="10"/>
        <color rgb="FFFFFFFF"/>
        <rFont val="微软雅黑"/>
      </rPr>
      <t>Impossible
注：数值大小会影响AI的经济增长，最小为经济每次加1，最大理论上貌似为无限。。。</t>
    </r>
  </si>
  <si>
    <t>ai</t>
  </si>
  <si>
    <t>人机行为</t>
  </si>
  <si>
    <t>值填写survival，可以让AI更主动地送兵，适用于生存地图
建造者什么的也会被拿去送，而且对面没有对应的能攻击的单位的话不会移动这个单位。（也就是说当你没有空中单位的时候对方的拦截机并不会过来）</t>
  </si>
  <si>
    <t>填survival</t>
  </si>
  <si>
    <t>basicAI</t>
  </si>
  <si>
    <t>基本AI</t>
  </si>
  <si>
    <t>让该队伍的AI不会建造东西，只出兵，值不填写</t>
  </si>
  <si>
    <t>触发控制</t>
  </si>
  <si>
    <t>objective（该类型区内代码全类型通用）</t>
  </si>
  <si>
    <t>自身没有作用，仅可以用来作为winCondition为requiredObjectives时的胜利条件</t>
  </si>
  <si>
    <t>activatedBy</t>
  </si>
  <si>
    <t>激活来源</t>
  </si>
  <si>
    <t>当某触发条件满足时，它的id会标记为激活状态。当ID被激活时，执行此触发。例如：第一关当您建造提取器时，会激活自身定义的id，然后而空降移动炮台随执行。</t>
  </si>
  <si>
    <t>deactivatedBy</t>
  </si>
  <si>
    <t>禁用来源</t>
  </si>
  <si>
    <t>同上，用于禁用触发。</t>
  </si>
  <si>
    <t>alsoActivate</t>
  </si>
  <si>
    <t>也激活</t>
  </si>
  <si>
    <t>用于激活更多的触发。使这个触发器激活另一个触发器。</t>
  </si>
  <si>
    <t>activateIds</t>
  </si>
  <si>
    <t>激活ID</t>
  </si>
  <si>
    <t>未测试-无说明</t>
  </si>
  <si>
    <t>whenActivatedIds</t>
  </si>
  <si>
    <t>当激活ID时</t>
  </si>
  <si>
    <t>地图代码通用组</t>
  </si>
  <si>
    <t>延时</t>
  </si>
  <si>
    <t>多久后执行触发，单位毫秒。1000毫秒等于1秒。或是写s作为时间单位。</t>
  </si>
  <si>
    <t>time / s</t>
  </si>
  <si>
    <t>repeatDelay</t>
  </si>
  <si>
    <t>重复延迟</t>
  </si>
  <si>
    <t>一旦激活，每隔此时间后再次激活</t>
  </si>
  <si>
    <t>repeatCount</t>
  </si>
  <si>
    <t>重复次数</t>
  </si>
  <si>
    <t>重复计数-默认是无限的</t>
  </si>
  <si>
    <t>resetActivationAfter</t>
  </si>
  <si>
    <t>复位后激活</t>
  </si>
  <si>
    <t>在这段时间后，激活，使触发器可以再次激活</t>
  </si>
  <si>
    <t>allToActivate</t>
  </si>
  <si>
    <t>全处于激活</t>
  </si>
  <si>
    <t>要求所有链接的触发器都被激活。默认为false，只需要一个</t>
  </si>
  <si>
    <t>触发延迟</t>
  </si>
  <si>
    <t>满足激活条件后，先延迟此时间</t>
  </si>
  <si>
    <t>结果-用于mod</t>
  </si>
  <si>
    <t>teamTags</t>
  </si>
  <si>
    <t>队伍标签</t>
  </si>
  <si>
    <t>用于mod。</t>
  </si>
  <si>
    <t>team tag(s)</t>
  </si>
  <si>
    <t>removeTeamTags</t>
  </si>
  <si>
    <t>移除队伍标签</t>
  </si>
  <si>
    <t>条件-所属</t>
  </si>
  <si>
    <t>ID</t>
  </si>
  <si>
    <t>用于标记触发。</t>
  </si>
  <si>
    <t>触发所属方。</t>
  </si>
  <si>
    <t>结果-地图事件</t>
  </si>
  <si>
    <t>showOnMap</t>
  </si>
  <si>
    <t>显示于地图</t>
  </si>
  <si>
    <t>创建小地图事件，告诉玩家在哪里发生的。</t>
  </si>
  <si>
    <t>globalMessage</t>
  </si>
  <si>
    <t>显示文本信息</t>
  </si>
  <si>
    <t>在左上角显示文本信息。</t>
  </si>
  <si>
    <t>globalMessage_delayPerChar</t>
  </si>
  <si>
    <t>显示文本信息延迟</t>
  </si>
  <si>
    <t>用于动态创建文本，类似打字机效果。</t>
  </si>
  <si>
    <t>float / 填slow</t>
  </si>
  <si>
    <t>globalMessage_textColor</t>
  </si>
  <si>
    <t>显示文本信息颜色</t>
  </si>
  <si>
    <t>填文本颜色格式如#000000</t>
  </si>
  <si>
    <t>调试文本</t>
  </si>
  <si>
    <t>只有在调试模式开启的沙盒模式中才显示消息</t>
  </si>
  <si>
    <t>标签检测</t>
  </si>
  <si>
    <t>addTeamTags</t>
  </si>
  <si>
    <t>添加队伍标签</t>
  </si>
  <si>
    <t>用于mod，值是字符串，（主要是与单位代码的队伍标签互动）</t>
  </si>
  <si>
    <t>删除队伍标签</t>
  </si>
  <si>
    <t>teamTagDetect</t>
  </si>
  <si>
    <t>teamTag</t>
  </si>
  <si>
    <t>运动控制</t>
  </si>
  <si>
    <t>move</t>
  </si>
  <si>
    <t>该类型填写后，这个事件对象可以指定单位的移动，一般需与“point”类型事件对象一起使用</t>
  </si>
  <si>
    <t>target</t>
  </si>
  <si>
    <t>目标</t>
  </si>
  <si>
    <t>移动单位到指定触发点。</t>
  </si>
  <si>
    <t>point name</t>
  </si>
  <si>
    <t>unload</t>
  </si>
  <si>
    <t>卸载</t>
  </si>
  <si>
    <t>到达位置后自动卸载单位，不需要值。</t>
  </si>
  <si>
    <t>单位检测</t>
  </si>
  <si>
    <t>unitDetect</t>
  </si>
  <si>
    <t>触发条件（单位）</t>
  </si>
  <si>
    <t>条件，供范围式事件对象使用（PC端的不建议用单点式）</t>
  </si>
  <si>
    <t>unit_type</t>
  </si>
  <si>
    <t>单位类型</t>
  </si>
  <si>
    <t>用于指定单位才能达成触发条件</t>
  </si>
  <si>
    <t>minUnits</t>
  </si>
  <si>
    <t>最小数量</t>
  </si>
  <si>
    <t>事件对象覆盖范围内，触发事件对象单位最小不小于你所填的数字</t>
  </si>
  <si>
    <t>maxUnits</t>
  </si>
  <si>
    <t>最大数量</t>
  </si>
  <si>
    <t>事件对象覆盖范围内，触发这条事件对象最大不能超过你所填的数字</t>
  </si>
  <si>
    <t>onlyIdle</t>
  </si>
  <si>
    <t>只有闲置</t>
  </si>
  <si>
    <t>单位在事件对象所覆盖的范围内，没有动作指令时触发该事件对象</t>
  </si>
  <si>
    <t>onlyBuilders</t>
  </si>
  <si>
    <t>只有建造单元</t>
  </si>
  <si>
    <t>事件对象覆盖的范围内，有建造能力的单位的时候触发该事件对象</t>
  </si>
  <si>
    <t>onlyMainBuildings</t>
  </si>
  <si>
    <t>只有主要建筑</t>
  </si>
  <si>
    <t>事件对象覆盖的范围内，有能够造东西的建筑的时候触发该事件对象</t>
  </si>
  <si>
    <t>onlyTechLevel</t>
  </si>
  <si>
    <t>只有特定等级</t>
  </si>
  <si>
    <t>事件对象覆盖的范围内，有符合该属性值内科技等级单位时候触发该事件对象</t>
  </si>
  <si>
    <t>onlyEmptyQueue</t>
  </si>
  <si>
    <t>只有空队列</t>
  </si>
  <si>
    <t>事件对象覆盖的范围内，工厂不在生产东西的时候触发该事件对象</t>
  </si>
  <si>
    <t>onlyOnResourcePool</t>
  </si>
  <si>
    <t>只有在资源池上</t>
  </si>
  <si>
    <t>事件对象覆盖的范围内的矿坑上有资源采集器的时候触发该事件对象</t>
  </si>
  <si>
    <t>onlyIfEmpty</t>
  </si>
  <si>
    <t>只有为空</t>
  </si>
  <si>
    <t>事件对象覆盖的范围内，什么都没有的时候触发该事件对象</t>
  </si>
  <si>
    <t>onlyBuildings</t>
  </si>
  <si>
    <t>只有建筑</t>
  </si>
  <si>
    <t>事件对象覆盖的范围内，有建筑物时触发该事件对象</t>
  </si>
  <si>
    <t>onlyAttack</t>
  </si>
  <si>
    <t>只有攻击性的</t>
  </si>
  <si>
    <t>事件对象覆盖的范围内，有攻击性的单位时候触发该事件对象</t>
  </si>
  <si>
    <t>onlyAttackAir</t>
  </si>
  <si>
    <t>只有攻击空中</t>
  </si>
  <si>
    <t>事件对象覆盖的范围内有只攻击空军的单位时候触发该事件对象</t>
  </si>
  <si>
    <t>onlyWithTag</t>
  </si>
  <si>
    <t>只有标签</t>
  </si>
  <si>
    <t>事件对象覆盖范围内，检测有特定标签的单位，满足此条件才能触发。</t>
  </si>
  <si>
    <t>includeIncomplete</t>
  </si>
  <si>
    <t>包括不完整</t>
  </si>
  <si>
    <t>事件对象覆盖的范围内有未被建造完成的单位时候触发该事件对象</t>
  </si>
  <si>
    <t>修改资金</t>
  </si>
  <si>
    <t>changeCredits</t>
  </si>
  <si>
    <t>该类型填写后，这个事件对象可以用来更改玩家资金</t>
  </si>
  <si>
    <t>设置资金</t>
  </si>
  <si>
    <t>可以为负数，填写数字，这条代码在1.14会报错，但是又可以使用（该bug在1.15修复）</t>
  </si>
  <si>
    <t>添加资金</t>
  </si>
  <si>
    <t>可以为负数，填写数字，该代码在1.14版本会报错并且无效，需要由万恶的第三方触发，但是该bug在1.15被修复</t>
  </si>
  <si>
    <t>添加单位/删除单位</t>
  </si>
  <si>
    <t>unitAdd/unitRemove</t>
  </si>
  <si>
    <t>其他条件通用，满足条件即刷单位。</t>
  </si>
  <si>
    <t>填单位名，可用ini代码表里面的生成单位修饰词表操作。例如mechBunker*1(falling=true)</t>
  </si>
  <si>
    <t>地图文本</t>
  </si>
  <si>
    <t>mapText</t>
  </si>
  <si>
    <t>textColor</t>
  </si>
  <si>
    <t>文本颜色</t>
  </si>
  <si>
    <t>设置文本颜色</t>
  </si>
  <si>
    <t>textSize</t>
  </si>
  <si>
    <t>文本大小</t>
  </si>
  <si>
    <t>设置文本大小</t>
  </si>
  <si>
    <t>textOffsetX</t>
  </si>
  <si>
    <t>文本偏移x</t>
  </si>
  <si>
    <t>设置文本偏移x</t>
  </si>
  <si>
    <t>textOffsetY</t>
  </si>
  <si>
    <t>文本偏移y</t>
  </si>
  <si>
    <t>设置文本偏移y</t>
  </si>
  <si>
    <t>设置文本</t>
  </si>
  <si>
    <t>text_[language]</t>
  </si>
  <si>
    <t>多语言文本</t>
  </si>
  <si>
    <t>设置在不同的语言情况下的地图文本</t>
  </si>
  <si>
    <t>style</t>
  </si>
  <si>
    <t>样式</t>
  </si>
  <si>
    <t>留空或者为arrow（箭头）</t>
  </si>
  <si>
    <t>style type</t>
  </si>
  <si>
    <t>控制镜头</t>
  </si>
  <si>
    <t>camera_pan</t>
  </si>
  <si>
    <t>该类型填写后，这个事件对象可以更改你的屏幕显示的区域。但是：此类型不可用于自定义地图</t>
  </si>
  <si>
    <t>zoomTo</t>
  </si>
  <si>
    <t>镜头缩放</t>
  </si>
  <si>
    <t>写于camera_start下，填整数，越大画面显示内容越少。0报错。</t>
  </si>
  <si>
    <t>镜头索引</t>
  </si>
  <si>
    <t>镜头移动的顺序</t>
  </si>
  <si>
    <t>单位转向</t>
  </si>
  <si>
    <t>rotate</t>
  </si>
  <si>
    <t>这个事件对象可以用于改变单位旋转角度</t>
  </si>
  <si>
    <t>角度</t>
  </si>
  <si>
    <t>单位旋转度数，铁锈单位默认朝右为0度。</t>
  </si>
  <si>
    <t>坠落</t>
  </si>
  <si>
    <t>fall</t>
  </si>
  <si>
    <t xml:space="preserve">这个事件对象可以用来开局在该事件对象覆盖区从天而降单位，对一些单位无效	</t>
  </si>
  <si>
    <t>点事件</t>
  </si>
  <si>
    <t>point</t>
  </si>
  <si>
    <t xml:space="preserve">与move类型连用，这个事件对象可以指定单位移动的目的地，目的地就是该事件对象所在位置	</t>
  </si>
  <si>
    <t>设置队伍</t>
  </si>
  <si>
    <t>set_team</t>
  </si>
  <si>
    <t xml:space="preserve">这个事件对象可以用来设置事件对象所覆盖的区域内单位所属的队伍，里面的属性只能填team	</t>
  </si>
  <si>
    <t>允许AI充分利用</t>
  </si>
  <si>
    <t>ai_allow_full_use</t>
  </si>
  <si>
    <t xml:space="preserve">该类型填写后将允许AI充分使用该事件对象所覆盖区域内单位，仅需填类即可	</t>
  </si>
  <si>
    <t>禁止AI利用</t>
  </si>
  <si>
    <t>disable_unit_ai</t>
  </si>
  <si>
    <t xml:space="preserve">禁止AI使用该事件对象所覆盖区域内单位移动（但不会禁止工厂使用），仅需填类即可	</t>
  </si>
  <si>
    <t>移动相机</t>
  </si>
  <si>
    <t>moveCamera</t>
  </si>
  <si>
    <t xml:space="preserve">这个事件对象可以用来将屏幕视野强制移动到指定位置，里面的属性填写一般通用的属性	</t>
  </si>
  <si>
    <t>基础事件</t>
  </si>
  <si>
    <t>basic</t>
  </si>
  <si>
    <t xml:space="preserve">自身没有作用，但是可以用来做链接激活的占位符	</t>
  </si>
  <si>
    <t>&lt;&lt;&lt;《《《地图事件对象类型汇总》》》&gt;&gt;&gt;</t>
  </si>
  <si>
    <t>该类型填写后，这个事件对象将可以设置玩家的初始值
如设置某玩家的初始金钱数，盟友关系，特别可以设置当这个玩家为ai时的情况（如主动进攻，是否允许ai使用）等等</t>
  </si>
  <si>
    <t>unitAdd</t>
  </si>
  <si>
    <t>该类型填写后，这个事件对象可以刷兵
可以刷任何的单位（还可以刷左上角在玩家聊天区系统显示的文字）</t>
  </si>
  <si>
    <t>unitRemove</t>
  </si>
  <si>
    <t>该类型填写后，这个事件对象可以删除单位
和unitAdd一样用法（但是不能指定特定的某个单位）</t>
  </si>
  <si>
    <t>该类型填写后，这个事件对象可以检测单位
检测事件对象所覆盖的单位，一旦该事件对象所覆盖的区域内的单位达成该事件对象的触发条件，那么这个事件对象就触发</t>
  </si>
  <si>
    <t>该类型填写后，这个事件对象可以在地图表面上显示文本</t>
  </si>
  <si>
    <t>该类型填写后，这个事件对象可以更改你的屏幕显示的区域
强制控制镜头在指定位置！属性只用填写index
注：此类型不可用于自定义地图</t>
  </si>
  <si>
    <t>objective</t>
  </si>
  <si>
    <t>自身没有作用，可以用来作为winCondition为requiredObjectives时的胜利条件（被激活后胜利）</t>
  </si>
  <si>
    <t>该类型填写后，这个事件对象可以用来开局在该事件对象覆盖区从天而降单位（也可以使用spawnUnits单位附加属性里的falling=true来达到相同的效果）
对一些单位无效</t>
  </si>
  <si>
    <t>该类型填写后，这个事件对象可以用于改变单位旋转角度
里面的属性只能填dir</t>
  </si>
  <si>
    <t>该类型填写后，这个事件对象可以指定单位的移动
移动可移动的单位（不包括建筑），一般与point类型连用</t>
  </si>
  <si>
    <t>需要与move类型连用，该类型填写后，这个事件对象可以指定单位移动的目的地
目的地就是该事件对象所在位置</t>
  </si>
  <si>
    <t>该类型填写后，这个事件对象可以用来设置事件对象所覆盖的区域内单位所属的队伍
里面的属性只能填team</t>
  </si>
  <si>
    <t>该类型填写后将允许AI充分使用该事件对象所覆盖区域内单位，仅需填类即可</t>
  </si>
  <si>
    <t>该类型填写后将禁止AI使用该事件对象所覆盖区域内单位移动（但不会禁止工厂使用），仅需填类即可</t>
  </si>
  <si>
    <t>该类型填写后，这个事件对象可以用来将屏幕视野强制移动到指定位置
但是特殊的属性代码：spawnUnits、team，无法在这里使用
里面的属性填写一般通用的属性</t>
  </si>
  <si>
    <t>该类型填写后，这个事件对象可以用来编辑（添加，删除）队伍标签
用于mod</t>
  </si>
  <si>
    <t>该类型填写后，这个事件对象可以用来检测队伍标签
用于mod</t>
  </si>
  <si>
    <t>自身没有作用，但是可以用来做链接激活的占位符</t>
  </si>
  <si>
    <t>其他</t>
  </si>
  <si>
    <t>predefined Value</t>
  </si>
  <si>
    <t>内置爆炸效果</t>
  </si>
  <si>
    <t>单位表</t>
  </si>
  <si>
    <t xml:space="preserve"> I盘（i:）引用表</t>
  </si>
  <si>
    <t>引用内容（本表仅展示简体中文(zh_CN)翻译部分）</t>
  </si>
  <si>
    <t>none
smoke
shockwave
large
small
medium
smallExplosion
largeExplosion
noneExplosion
verysmall
normal
largeUnit
building
buildingNoShockwaveOrSmoke
verylargeBuilding</t>
  </si>
  <si>
    <t>无
烟
冲击波
开火小
开火大
中等
小爆炸
大爆炸
无爆炸
很小
普通
大单位
建筑
建筑无冲击烟雾
特大型建筑</t>
  </si>
  <si>
    <t>NONE
LAND
BUILDING
AIR
WATER
HOVER
OVER_CLIFF
OVER_CLIFF_WATER</t>
  </si>
  <si>
    <t>无
陆地
建筑
空军
水军
两栖
跨悬崖
跨悬崖和水</t>
  </si>
  <si>
    <t>内存(memory)的种类</t>
  </si>
  <si>
    <t>内存数组</t>
  </si>
  <si>
    <t>dex内部</t>
  </si>
  <si>
    <t>外部</t>
  </si>
  <si>
    <t>menus.front.buyNow</t>
  </si>
  <si>
    <t>立即购买</t>
  </si>
  <si>
    <t>bool[]</t>
  </si>
  <si>
    <t>布尔[]</t>
  </si>
  <si>
    <t>airFactory</t>
  </si>
  <si>
    <t>空军工厂</t>
  </si>
  <si>
    <t>scout</t>
  </si>
  <si>
    <t>侦察</t>
  </si>
  <si>
    <t>menus.front.continue</t>
  </si>
  <si>
    <t>继续</t>
  </si>
  <si>
    <t>字符串</t>
  </si>
  <si>
    <t>boolean[]</t>
  </si>
  <si>
    <t>布尔值[]</t>
  </si>
  <si>
    <t>路径点类型</t>
  </si>
  <si>
    <t>airShip</t>
  </si>
  <si>
    <t>航空母舰</t>
  </si>
  <si>
    <t>robotCrabWater</t>
  </si>
  <si>
    <t>机器人螃蟹水</t>
  </si>
  <si>
    <t>menus.front.singlePlayer</t>
  </si>
  <si>
    <t>单人战役</t>
  </si>
  <si>
    <t>布尔</t>
  </si>
  <si>
    <t>unit[]</t>
  </si>
  <si>
    <t>单位[]</t>
  </si>
  <si>
    <t>amphibiousJet</t>
  </si>
  <si>
    <t>水陆两用喷气式飞机</t>
  </si>
  <si>
    <t>robotCrab</t>
  </si>
  <si>
    <t>机器人螃蟹</t>
  </si>
  <si>
    <t>menus.front.multiplayer</t>
  </si>
  <si>
    <t>多人游戏</t>
  </si>
  <si>
    <t>布尔值</t>
  </si>
  <si>
    <t>number[]</t>
  </si>
  <si>
    <t>数字[]</t>
  </si>
  <si>
    <t>移动攻击</t>
  </si>
  <si>
    <t>antiAirTurret</t>
  </si>
  <si>
    <t>防空炮塔</t>
  </si>
  <si>
    <t>plasmaTank</t>
  </si>
  <si>
    <t>等离子体罐</t>
  </si>
  <si>
    <t>menus.front.mods</t>
  </si>
  <si>
    <t>行动框类型</t>
  </si>
  <si>
    <t>float[]</t>
  </si>
  <si>
    <t>浮点值[]</t>
  </si>
  <si>
    <t>guard</t>
  </si>
  <si>
    <t>防守</t>
  </si>
  <si>
    <t>antiAirTurretT2</t>
  </si>
  <si>
    <t>防空炮塔T2</t>
  </si>
  <si>
    <t>outpostT2</t>
  </si>
  <si>
    <t>前哨站t2</t>
  </si>
  <si>
    <t>menus.front.settings</t>
  </si>
  <si>
    <t>none</t>
  </si>
  <si>
    <t>无(绿色)</t>
  </si>
  <si>
    <t>数字</t>
  </si>
  <si>
    <t>loadInto</t>
  </si>
  <si>
    <t>进入载具</t>
  </si>
  <si>
    <t>AntiNukeLaucher</t>
  </si>
  <si>
    <t>反核发射塔</t>
  </si>
  <si>
    <t>outpostT1</t>
  </si>
  <si>
    <t>前哨站t1</t>
  </si>
  <si>
    <t>menus.front.help</t>
  </si>
  <si>
    <t>帮助</t>
  </si>
  <si>
    <t>rally</t>
  </si>
  <si>
    <t>集结(白色)</t>
  </si>
  <si>
    <t>浮点值</t>
  </si>
  <si>
    <t>loadUp</t>
  </si>
  <si>
    <t>主动装载</t>
  </si>
  <si>
    <t>artillery</t>
  </si>
  <si>
    <t>火炮</t>
  </si>
  <si>
    <t>nukeLauncherC</t>
  </si>
  <si>
    <t>核武器发射器c</t>
  </si>
  <si>
    <t>menus.front.exit</t>
  </si>
  <si>
    <t>退出</t>
  </si>
  <si>
    <t>upgrade</t>
  </si>
  <si>
    <t>升级(蓝色)</t>
  </si>
  <si>
    <t>attack</t>
  </si>
  <si>
    <t>attackSubmarine</t>
  </si>
  <si>
    <t>攻击潜艇</t>
  </si>
  <si>
    <t>nautilusSubmarineSurface</t>
  </si>
  <si>
    <t>鹦鹉螺号【水面】</t>
  </si>
  <si>
    <t>menus.singlePlayer.title</t>
  </si>
  <si>
    <t>单人游戏</t>
  </si>
  <si>
    <t>AI不同难度资金比例：</t>
  </si>
  <si>
    <t>queueUnit</t>
  </si>
  <si>
    <t>单位队列(绿色)</t>
  </si>
  <si>
    <t>地图位置产生指定单位</t>
  </si>
  <si>
    <t>battleShip</t>
  </si>
  <si>
    <t>战舰</t>
  </si>
  <si>
    <t>nautilusSubmarineLand</t>
  </si>
  <si>
    <t>鹦鹉螺号【陆地】</t>
  </si>
  <si>
    <t>menus.singlePlayer.campaign</t>
  </si>
  <si>
    <t>战役</t>
  </si>
  <si>
    <t>最简单(非常简单)</t>
  </si>
  <si>
    <t>building</t>
  </si>
  <si>
    <t>建筑(绿色)</t>
  </si>
  <si>
    <t>emptyResourcePools_asNeutral</t>
  </si>
  <si>
    <t>产生于空资源池，且为中立所属</t>
  </si>
  <si>
    <t>editorOrBuilder</t>
  </si>
  <si>
    <t>沙盒建造者</t>
  </si>
  <si>
    <t>nautilusSubmarine</t>
  </si>
  <si>
    <t>鹦鹉螺号</t>
  </si>
  <si>
    <t>menus.singlePlayer.skirmish</t>
  </si>
  <si>
    <t>遭遇战</t>
  </si>
  <si>
    <t>简单（简单）</t>
  </si>
  <si>
    <t>行为(蓝色)</t>
  </si>
  <si>
    <t>emptyOrOccupiedResourcePools_asNeutral</t>
  </si>
  <si>
    <t>空的或已经占用资源池，且为中立所属</t>
  </si>
  <si>
    <t>touchTarget</t>
  </si>
  <si>
    <t>靠近目标</t>
  </si>
  <si>
    <t>builder</t>
  </si>
  <si>
    <t>建造者</t>
  </si>
  <si>
    <t>modularSpider_smallgunturretT2</t>
  </si>
  <si>
    <t>模块化蜘蛛小炮塔t2</t>
  </si>
  <si>
    <t>menus.singlePlayer.challenge</t>
  </si>
  <si>
    <t>挑战任务</t>
  </si>
  <si>
    <t>中等（正常）</t>
  </si>
  <si>
    <t>infoOnly</t>
  </si>
  <si>
    <t>仅信息(灰色)</t>
  </si>
  <si>
    <t>mapCenter_asNeutral</t>
  </si>
  <si>
    <t>地图中心，且为中立所属</t>
  </si>
  <si>
    <t>build</t>
  </si>
  <si>
    <t>建造</t>
  </si>
  <si>
    <t>builderShip</t>
  </si>
  <si>
    <t>海上建造者</t>
  </si>
  <si>
    <t>modularSpider_smallgunturret</t>
  </si>
  <si>
    <t>模块化蜘蛛小型炮塔</t>
  </si>
  <si>
    <t>menus.singlePlayer.survival</t>
  </si>
  <si>
    <t>无尽生存</t>
  </si>
  <si>
    <t>困难（困难）</t>
  </si>
  <si>
    <t>infoOnlyNoBox</t>
  </si>
  <si>
    <t>无框信息</t>
  </si>
  <si>
    <t>mapCenter_eachActiveTeam</t>
  </si>
  <si>
    <t>地图中心，且给与每个玩家</t>
  </si>
  <si>
    <t>follow</t>
  </si>
  <si>
    <t>跟随</t>
  </si>
  <si>
    <t>commandCenter</t>
  </si>
  <si>
    <t>指挥中心</t>
  </si>
  <si>
    <t>modularSpider_shieldGen</t>
  </si>
  <si>
    <t>模块化护盾发生器</t>
  </si>
  <si>
    <t>menus.singlePlayer.sandbox</t>
  </si>
  <si>
    <t>沙盒编辑器</t>
  </si>
  <si>
    <t>很困难（非常困难）</t>
  </si>
  <si>
    <t>infoOnlyStockpile</t>
  </si>
  <si>
    <t>仅信息库存</t>
  </si>
  <si>
    <t>spawnPoint_eachActiveTeam</t>
  </si>
  <si>
    <t>玩家初始位置，给与每个玩家</t>
  </si>
  <si>
    <t>setPassiveTarget</t>
  </si>
  <si>
    <t>被动</t>
  </si>
  <si>
    <t>crystal_mid</t>
  </si>
  <si>
    <t>中等水晶</t>
  </si>
  <si>
    <t>modularSpider_nonEmpty</t>
  </si>
  <si>
    <t>模块化蜘蛛非空</t>
  </si>
  <si>
    <t>menus.singlePlayer.custom</t>
  </si>
  <si>
    <t>自定义地图（来自内部存储）</t>
  </si>
  <si>
    <t>不可能的（炼狱模式）</t>
  </si>
  <si>
    <t>unloadAt</t>
  </si>
  <si>
    <t>卸载至</t>
  </si>
  <si>
    <t>crystalResource</t>
  </si>
  <si>
    <t>水晶资源</t>
  </si>
  <si>
    <t>modularSpider_lightning</t>
  </si>
  <si>
    <t>模块化蜘蛛闪电</t>
  </si>
  <si>
    <t>menus.singlePlayer.custom_pc</t>
  </si>
  <si>
    <t>自定义地图</t>
  </si>
  <si>
    <t>modularSpider_laserdefense</t>
  </si>
  <si>
    <t>模块化蜘蛛激光防御</t>
  </si>
  <si>
    <t>menus.singlePlayer.loadReplay</t>
  </si>
  <si>
    <t>加载战斗回放</t>
  </si>
  <si>
    <t>“自动触发事件”(autoTriggerOnEvent)的可填事件</t>
  </si>
  <si>
    <t>移动方式</t>
  </si>
  <si>
    <t>guardAt</t>
  </si>
  <si>
    <t>防守至</t>
  </si>
  <si>
    <t>dropship</t>
  </si>
  <si>
    <t>运输船</t>
  </si>
  <si>
    <t>modularSpider_gunturretT2</t>
  </si>
  <si>
    <t>模块化蜘蛛火炮t2</t>
  </si>
  <si>
    <t>menus.singlePlayer.loadSave</t>
  </si>
  <si>
    <t>加载保存的游戏</t>
  </si>
  <si>
    <t>创建</t>
  </si>
  <si>
    <t>created</t>
  </si>
  <si>
    <t>无</t>
  </si>
  <si>
    <t>NONE</t>
  </si>
  <si>
    <t>triggerAction</t>
  </si>
  <si>
    <t>触发行动</t>
  </si>
  <si>
    <t>experimentalGunship</t>
  </si>
  <si>
    <t>实验炮舰</t>
  </si>
  <si>
    <t>modularSpider_gunturret</t>
  </si>
  <si>
    <t>模块化火炮</t>
  </si>
  <si>
    <t>menus.singlePlayer.mapSelect.title</t>
  </si>
  <si>
    <t>选择地图</t>
  </si>
  <si>
    <t>完成且激活</t>
  </si>
  <si>
    <t>completeAndActive</t>
  </si>
  <si>
    <t>陆地</t>
  </si>
  <si>
    <t>LAND</t>
  </si>
  <si>
    <t>triggerActionWhenInRange</t>
  </si>
  <si>
    <t>在范围内时触发行动</t>
  </si>
  <si>
    <t>experimentalGunshipLanded</t>
  </si>
  <si>
    <t>实验炮舰陆地</t>
  </si>
  <si>
    <t>modularSpider_fabricatorT2</t>
  </si>
  <si>
    <t>模块化蜘蛛工厂t2</t>
  </si>
  <si>
    <t>menus.settings.heading.audio</t>
  </si>
  <si>
    <t>音频</t>
  </si>
  <si>
    <t>销毁</t>
  </si>
  <si>
    <t>destroyed</t>
  </si>
  <si>
    <t>建筑</t>
  </si>
  <si>
    <t>BUILDING</t>
  </si>
  <si>
    <t>experimentalHoverTank</t>
  </si>
  <si>
    <t>实验悬浮坦克</t>
  </si>
  <si>
    <t>modularSpider_fabricator</t>
  </si>
  <si>
    <t>模块化蜘蛛工厂</t>
  </si>
  <si>
    <t>menus.settings.heading.gameplay</t>
  </si>
  <si>
    <t>游戏性</t>
  </si>
  <si>
    <t>杀死任何单位</t>
  </si>
  <si>
    <t>killedAnyUnit</t>
  </si>
  <si>
    <t>空中</t>
  </si>
  <si>
    <t>AIR</t>
  </si>
  <si>
    <t>内置音效</t>
  </si>
  <si>
    <t>experimentalLandFactory</t>
  </si>
  <si>
    <t>实验性陆地工厂</t>
  </si>
  <si>
    <t>modularSpider_emptySlot</t>
  </si>
  <si>
    <t>模块化蜘蛛空插槽</t>
  </si>
  <si>
    <t>menus.settings.heading.storage</t>
  </si>
  <si>
    <t>存储</t>
  </si>
  <si>
    <t>队列中单位完成</t>
  </si>
  <si>
    <t>queuedUnitFinished</t>
  </si>
  <si>
    <t>水面</t>
  </si>
  <si>
    <t>WATER</t>
  </si>
  <si>
    <t>bug_attack</t>
  </si>
  <si>
    <t>虫子攻击音效</t>
  </si>
  <si>
    <t>experimentalTank</t>
  </si>
  <si>
    <t>实验坦克</t>
  </si>
  <si>
    <t>modularSpider_artillery</t>
  </si>
  <si>
    <t>模块化蜘蛛式火炮</t>
  </si>
  <si>
    <t>menus.settings.heading.graphics</t>
  </si>
  <si>
    <t>队列添加项目</t>
  </si>
  <si>
    <t>queueItemAdded(1.15p9中添加了withActionTag和queueItemCancelled两个参数,用于触发动作时检测标签.)</t>
  </si>
  <si>
    <t>两栖</t>
  </si>
  <si>
    <t>HOVER</t>
  </si>
  <si>
    <t>bug_die</t>
  </si>
  <si>
    <t>虫子死亡音效</t>
  </si>
  <si>
    <t>extractor</t>
  </si>
  <si>
    <t>资源提取器</t>
  </si>
  <si>
    <t>modularSpider_antinuke</t>
  </si>
  <si>
    <t>模块化蜘蛛核弹</t>
  </si>
  <si>
    <t>menus.settings.heading.developer</t>
  </si>
  <si>
    <t>开发人员/ 调试</t>
  </si>
  <si>
    <t>队列项目取消</t>
  </si>
  <si>
    <t>queueItemCancelled</t>
  </si>
  <si>
    <t>跨悬崖</t>
  </si>
  <si>
    <t>OVER_CLIFF</t>
  </si>
  <si>
    <t>building_explode</t>
  </si>
  <si>
    <t>建筑爆炸音效</t>
  </si>
  <si>
    <t>fabricator</t>
  </si>
  <si>
    <t>工厂</t>
  </si>
  <si>
    <t>modularSpider_antiairT2</t>
  </si>
  <si>
    <t>模块化蜘蛛防空t2</t>
  </si>
  <si>
    <t>menus.settings.heading.replays</t>
  </si>
  <si>
    <t>回放</t>
  </si>
  <si>
    <t>teleported</t>
  </si>
  <si>
    <t>跨水和悬崖</t>
  </si>
  <si>
    <t>OVER_CLIFF_WATER</t>
  </si>
  <si>
    <t>cannon_firing</t>
  </si>
  <si>
    <t>大炮射击音效</t>
  </si>
  <si>
    <t>fogRevealer</t>
  </si>
  <si>
    <t>modularSpider_antiairFlak</t>
  </si>
  <si>
    <t>模块化蜘蛛防空高射炮</t>
  </si>
  <si>
    <t>menus.settings.heading.networking</t>
  </si>
  <si>
    <t>联网</t>
  </si>
  <si>
    <t>接触目标成功</t>
  </si>
  <si>
    <t>touchTargetSuccess</t>
  </si>
  <si>
    <t>click</t>
  </si>
  <si>
    <t>按下按钮音效</t>
  </si>
  <si>
    <t>gunBoat</t>
  </si>
  <si>
    <t>炮艇</t>
  </si>
  <si>
    <t>modularSpider_antiair</t>
  </si>
  <si>
    <t>模块化蜘蛛防空</t>
  </si>
  <si>
    <t>menus.settings.option.enableGameSounds</t>
  </si>
  <si>
    <t>启用游戏声音</t>
  </si>
  <si>
    <t>玩家指定路径</t>
  </si>
  <si>
    <t>newWaypointGivenByPlayer</t>
  </si>
  <si>
    <t>效果优先级</t>
  </si>
  <si>
    <t>click_add</t>
  </si>
  <si>
    <t>按下(增加)音效</t>
  </si>
  <si>
    <t>gunShip</t>
  </si>
  <si>
    <t>炮舰</t>
  </si>
  <si>
    <t>modularSpider</t>
  </si>
  <si>
    <t>模块化蜘蛛</t>
  </si>
  <si>
    <t>menus.settings.option.masterVolume</t>
  </si>
  <si>
    <t>主音量:</t>
  </si>
  <si>
    <t>队伍变更</t>
  </si>
  <si>
    <t>teamChanged</t>
  </si>
  <si>
    <t>verylow</t>
  </si>
  <si>
    <t>很低(对应效果产生上限311个)</t>
  </si>
  <si>
    <t>click_remove</t>
  </si>
  <si>
    <t>按下(移除)音效</t>
  </si>
  <si>
    <t>heavyHoverTank</t>
  </si>
  <si>
    <t>重型悬浮坦克</t>
  </si>
  <si>
    <t>missing</t>
  </si>
  <si>
    <t>数据丢失</t>
  </si>
  <si>
    <t>menus.settings.option.gameVolume</t>
  </si>
  <si>
    <t>游戏音效:</t>
  </si>
  <si>
    <t>mia</t>
  </si>
  <si>
    <t>transportingNewUnit</t>
  </si>
  <si>
    <t>low</t>
  </si>
  <si>
    <t>低(对应效果产生上限321个)</t>
  </si>
  <si>
    <t>firing3</t>
  </si>
  <si>
    <t>射击3音效</t>
  </si>
  <si>
    <t>heavyTank</t>
  </si>
  <si>
    <t>重型坦克</t>
  </si>
  <si>
    <t>missileTank</t>
  </si>
  <si>
    <t>导弹坦克</t>
  </si>
  <si>
    <t>menus.settings.option.musicVolume</t>
  </si>
  <si>
    <t>音乐音量：</t>
  </si>
  <si>
    <t>卸载或移除单位</t>
  </si>
  <si>
    <t>transportUnloadedOrRemovedUnit</t>
  </si>
  <si>
    <t>high</t>
  </si>
  <si>
    <t>高(对应效果产生上限331个)</t>
  </si>
  <si>
    <t>firing4</t>
  </si>
  <si>
    <t>射击4音效</t>
  </si>
  <si>
    <t>helicopter</t>
  </si>
  <si>
    <t>直升机</t>
  </si>
  <si>
    <t>missileAirship</t>
  </si>
  <si>
    <t>导弹飞艇</t>
  </si>
  <si>
    <t>menus.settings.option.interfaceVolume</t>
  </si>
  <si>
    <t>交互按钮音量:</t>
  </si>
  <si>
    <t>受到伤害[支持可选的(withTag=x)]</t>
  </si>
  <si>
    <t>tookDamage[支持可选的(withTag=x)]</t>
  </si>
  <si>
    <t>veryhigh</t>
  </si>
  <si>
    <t>很高(对应效果产生上限341个)</t>
  </si>
  <si>
    <t>gun_fire</t>
  </si>
  <si>
    <t>枪炮射击音效</t>
  </si>
  <si>
    <t>hovercraft</t>
  </si>
  <si>
    <t>气垫船</t>
  </si>
  <si>
    <t>mechMissile</t>
  </si>
  <si>
    <t>机械导弹</t>
  </si>
  <si>
    <t>menus.settings.option.aiDifficulty</t>
  </si>
  <si>
    <t>人机难度：</t>
  </si>
  <si>
    <t>enteredTransport</t>
  </si>
  <si>
    <t>critical</t>
  </si>
  <si>
    <t>至关重要(对应效果产生上限350个)</t>
  </si>
  <si>
    <t>interface_error</t>
  </si>
  <si>
    <t>接口错误音效</t>
  </si>
  <si>
    <t>hoverTank</t>
  </si>
  <si>
    <t>悬浮坦克</t>
  </si>
  <si>
    <t>mechMinigun</t>
  </si>
  <si>
    <t>机关枪</t>
  </si>
  <si>
    <t>menus.settings.option.teamUnitCapSinglePlayer</t>
  </si>
  <si>
    <t>单人游戏每人单位上限</t>
  </si>
  <si>
    <t>离开载具</t>
  </si>
  <si>
    <t>leftTransport</t>
  </si>
  <si>
    <t>large_gun_fire1</t>
  </si>
  <si>
    <t>大型枪炮发射1音效</t>
  </si>
  <si>
    <t>ladybug</t>
  </si>
  <si>
    <t>瓢虫</t>
  </si>
  <si>
    <t>mechLightning</t>
  </si>
  <si>
    <t>机械闪电</t>
  </si>
  <si>
    <t>menus.settings.option.teamUnitCapHostedGame</t>
  </si>
  <si>
    <t>私有房间每人单位上限</t>
  </si>
  <si>
    <t>新消息(withTag=x)</t>
  </si>
  <si>
    <t>newMessage(withTag=x)</t>
  </si>
  <si>
    <t>aiUse可填值</t>
  </si>
  <si>
    <t>large_gun_fire2</t>
  </si>
  <si>
    <t>大型枪炮发射2音效</t>
  </si>
  <si>
    <t>landFactory</t>
  </si>
  <si>
    <t>陆地工厂</t>
  </si>
  <si>
    <t>mechLaser</t>
  </si>
  <si>
    <t>机械激光器</t>
  </si>
  <si>
    <t>menus.settings.option.default</t>
  </si>
  <si>
    <t>初始的</t>
  </si>
  <si>
    <t>移除附属</t>
  </si>
  <si>
    <t>attachmentRemoved</t>
  </si>
  <si>
    <t>auto</t>
  </si>
  <si>
    <t>自动</t>
  </si>
  <si>
    <t>laser_deflect</t>
  </si>
  <si>
    <t>激光偏转音效</t>
  </si>
  <si>
    <t>laserDefence</t>
  </si>
  <si>
    <t>激光防御</t>
  </si>
  <si>
    <t>mechHeavyMissile</t>
  </si>
  <si>
    <t>机械重型导弹</t>
  </si>
  <si>
    <t>menus.settings.option.aiDefault</t>
  </si>
  <si>
    <t>初始的人机</t>
  </si>
  <si>
    <t>launch</t>
  </si>
  <si>
    <t>发射</t>
  </si>
  <si>
    <t>laser_deflect2</t>
  </si>
  <si>
    <t>激光偏转2音效</t>
  </si>
  <si>
    <t>laserTank</t>
  </si>
  <si>
    <t>激光坦克</t>
  </si>
  <si>
    <t>mechGun</t>
  </si>
  <si>
    <t>menus.settings.option.ai.-2</t>
  </si>
  <si>
    <t>非常简单</t>
  </si>
  <si>
    <t>launchAmmo</t>
  </si>
  <si>
    <t>增加弹药</t>
  </si>
  <si>
    <t>lighting_burst</t>
  </si>
  <si>
    <t>突发照明音效</t>
  </si>
  <si>
    <t>mammothTank</t>
  </si>
  <si>
    <t>猛犸坦克</t>
  </si>
  <si>
    <t>mechFlyingTakeoff</t>
  </si>
  <si>
    <t>机械起飞</t>
  </si>
  <si>
    <t>menus.settings.option.ai.-1</t>
  </si>
  <si>
    <t>简单</t>
  </si>
  <si>
    <t>代码可用内置图像</t>
  </si>
  <si>
    <t>逻辑参数</t>
  </si>
  <si>
    <t>disabled</t>
  </si>
  <si>
    <t>残缺</t>
  </si>
  <si>
    <t>message</t>
  </si>
  <si>
    <t>信息音效</t>
  </si>
  <si>
    <t>mech_gun</t>
  </si>
  <si>
    <t>基础机甲</t>
  </si>
  <si>
    <t>mechFlyingLanded</t>
  </si>
  <si>
    <t>机械飞行着陆</t>
  </si>
  <si>
    <t>menus.settings.option.ai.0</t>
  </si>
  <si>
    <t>正常</t>
  </si>
  <si>
    <t>shared内的可用图像</t>
  </si>
  <si>
    <t>withTag</t>
  </si>
  <si>
    <t>需要标签</t>
  </si>
  <si>
    <t>upGrade</t>
  </si>
  <si>
    <t>升级</t>
  </si>
  <si>
    <t>missile_fire</t>
  </si>
  <si>
    <t>导弹发射音效</t>
  </si>
  <si>
    <t>飞行机甲着陆</t>
  </si>
  <si>
    <t>mechFlame</t>
  </si>
  <si>
    <t>机械火焰</t>
  </si>
  <si>
    <t>menus.settings.option.ai.1</t>
  </si>
  <si>
    <t>困难</t>
  </si>
  <si>
    <t>area_guide.png</t>
  </si>
  <si>
    <t>范围预览图</t>
  </si>
  <si>
    <t>includes</t>
  </si>
  <si>
    <t>包含标签</t>
  </si>
  <si>
    <t>movementChange</t>
  </si>
  <si>
    <t>运动改变</t>
  </si>
  <si>
    <t>missile_hit</t>
  </si>
  <si>
    <t>导弹击中音效</t>
  </si>
  <si>
    <t>megaTank</t>
  </si>
  <si>
    <t>巨型坦克</t>
  </si>
  <si>
    <t>mechFactoryT2</t>
  </si>
  <si>
    <t>机械工厂t2</t>
  </si>
  <si>
    <t>menus.settings.option.ai.2</t>
  </si>
  <si>
    <t>非常困难</t>
  </si>
  <si>
    <t>beam1.png</t>
  </si>
  <si>
    <t>光束1贴图</t>
  </si>
  <si>
    <t>sameAsBuilding</t>
  </si>
  <si>
    <t>与建筑物相同</t>
  </si>
  <si>
    <t>移动音效</t>
  </si>
  <si>
    <t>missileShip</t>
  </si>
  <si>
    <t>导弹船</t>
  </si>
  <si>
    <t>mechFactory</t>
  </si>
  <si>
    <t>机械制造厂</t>
  </si>
  <si>
    <t>menus.settings.option.ai.3</t>
  </si>
  <si>
    <t>炼狱模式</t>
  </si>
  <si>
    <t>beam2.png</t>
  </si>
  <si>
    <t>光束2贴图</t>
  </si>
  <si>
    <t>greaterThan</t>
  </si>
  <si>
    <t>超过</t>
  </si>
  <si>
    <t>nuke_explode</t>
  </si>
  <si>
    <t>核弹爆炸音效</t>
  </si>
  <si>
    <t>mechEngineer</t>
  </si>
  <si>
    <t>机械工程师</t>
  </si>
  <si>
    <t>menus.settings.option.scrollSpeed</t>
  </si>
  <si>
    <t>滚动速度:</t>
  </si>
  <si>
    <t>beam3.png</t>
  </si>
  <si>
    <t>光束3贴图</t>
  </si>
  <si>
    <t>lessThan</t>
  </si>
  <si>
    <t>少于</t>
  </si>
  <si>
    <t>动画触发条件</t>
  </si>
  <si>
    <t>nuke_launch</t>
  </si>
  <si>
    <t>核弹发射音效</t>
  </si>
  <si>
    <t>NukeLaucher</t>
  </si>
  <si>
    <t>核弹发射井</t>
  </si>
  <si>
    <t>mechBunkerDeployed</t>
  </si>
  <si>
    <t>机械掩体已部署</t>
  </si>
  <si>
    <t>menus.settings.option.unitGroupInterface</t>
  </si>
  <si>
    <t>显示单位编组界面</t>
  </si>
  <si>
    <t>beam1_end.png</t>
  </si>
  <si>
    <t>光束1击中图</t>
  </si>
  <si>
    <t>equalTo</t>
  </si>
  <si>
    <t>plasma_fire</t>
  </si>
  <si>
    <t>等离子射击音效</t>
  </si>
  <si>
    <t>repairbay</t>
  </si>
  <si>
    <t>修复湾</t>
  </si>
  <si>
    <t>mechBunker</t>
  </si>
  <si>
    <t>机械煤仓</t>
  </si>
  <si>
    <t>menus.settings.option.useCircleSelect</t>
  </si>
  <si>
    <t>启用长按选区模式（对于没有多点触控的设备）</t>
  </si>
  <si>
    <t>beam1_start.png</t>
  </si>
  <si>
    <t>光束1起始图</t>
  </si>
  <si>
    <t>full</t>
  </si>
  <si>
    <t>满</t>
  </si>
  <si>
    <t>plasma_fire2</t>
  </si>
  <si>
    <t>等离子射击2音效</t>
  </si>
  <si>
    <t>seaFactory</t>
  </si>
  <si>
    <t>海军工厂</t>
  </si>
  <si>
    <t>mechArtillery</t>
  </si>
  <si>
    <t>机关炮</t>
  </si>
  <si>
    <t>menus.settings.option.zoomGesture</t>
  </si>
  <si>
    <t>启用3指缩放手势(三指上下滑动)</t>
  </si>
  <si>
    <t>blank.png</t>
  </si>
  <si>
    <t>空白贴图</t>
  </si>
  <si>
    <t>empty</t>
  </si>
  <si>
    <t>闲置</t>
  </si>
  <si>
    <t>idle</t>
  </si>
  <si>
    <t>tank_firing</t>
  </si>
  <si>
    <t>坦克射击音效</t>
  </si>
  <si>
    <t>spiderBot</t>
  </si>
  <si>
    <t>蜘蛛机器人</t>
  </si>
  <si>
    <t>lightSub</t>
  </si>
  <si>
    <t>轻型潜艇</t>
  </si>
  <si>
    <t>menus.settings.option.mouseSupport</t>
  </si>
  <si>
    <t>启用扩展鼠标支持(如USB鼠标)</t>
  </si>
  <si>
    <t>debug_marker.png</t>
  </si>
  <si>
    <t>调试缩放标记图</t>
  </si>
  <si>
    <t>withinRange</t>
  </si>
  <si>
    <t>范围内</t>
  </si>
  <si>
    <t>在建造中</t>
  </si>
  <si>
    <t>underConstruction</t>
  </si>
  <si>
    <t>unit_explode</t>
  </si>
  <si>
    <t>单位爆炸音效</t>
  </si>
  <si>
    <t>spreadingFire</t>
  </si>
  <si>
    <t>火势蔓延</t>
  </si>
  <si>
    <t>lightGunship</t>
  </si>
  <si>
    <t>轻型武装直升机</t>
  </si>
  <si>
    <t>menus.settings.option.keyboardSupport</t>
  </si>
  <si>
    <t>启用键盘支持</t>
  </si>
  <si>
    <t>experimental_tank_turret.png</t>
  </si>
  <si>
    <t>实验坦克炮塔图</t>
  </si>
  <si>
    <t>需标签</t>
  </si>
  <si>
    <t>建造中并将动画拉伸至建造时长</t>
  </si>
  <si>
    <t>underConstructionWithLinkedBuiltTime</t>
  </si>
  <si>
    <t>unit_explode_old</t>
  </si>
  <si>
    <t>单位爆炸(旧)音效</t>
  </si>
  <si>
    <t>supplyDepot</t>
  </si>
  <si>
    <t>补给站</t>
  </si>
  <si>
    <t>laboratory</t>
  </si>
  <si>
    <t>实验室</t>
  </si>
  <si>
    <t>menus.settings.option.forceEnglish</t>
  </si>
  <si>
    <t>强制使用英语（而非系​​统默认语言）</t>
  </si>
  <si>
    <t>experimental_tank_turret2.png</t>
  </si>
  <si>
    <t>实验坦克炮塔图2</t>
  </si>
  <si>
    <t>incompleteBuildings</t>
  </si>
  <si>
    <t>包含未完成的</t>
  </si>
  <si>
    <t>生产中</t>
  </si>
  <si>
    <t>queuedUnits</t>
  </si>
  <si>
    <t>warning</t>
  </si>
  <si>
    <t>警报音效</t>
  </si>
  <si>
    <t>tank</t>
  </si>
  <si>
    <t>坦克</t>
  </si>
  <si>
    <t>heavySub</t>
  </si>
  <si>
    <t>重型潜艇</t>
  </si>
  <si>
    <t>menus.settings.option.batterySaving</t>
  </si>
  <si>
    <t>省电模式（30 FPS限制）</t>
  </si>
  <si>
    <t>experimental_tank_turret3.png</t>
  </si>
  <si>
    <t>实验坦克炮塔图3</t>
  </si>
  <si>
    <t>factoryQueue</t>
  </si>
  <si>
    <t>包含队列中的</t>
  </si>
  <si>
    <t>未知</t>
  </si>
  <si>
    <t>Unknown</t>
  </si>
  <si>
    <t>tankDestroyer</t>
  </si>
  <si>
    <t>坦克杀手</t>
  </si>
  <si>
    <t>heavyMissileShip</t>
  </si>
  <si>
    <t>重型导弹船</t>
  </si>
  <si>
    <t>menus.settings.option.showUnitWaypoints</t>
  </si>
  <si>
    <t>显示单位目标路径点（选择单位时显示）</t>
  </si>
  <si>
    <t>foot.png</t>
  </si>
  <si>
    <t>脚图</t>
  </si>
  <si>
    <t>withinSeconds</t>
  </si>
  <si>
    <t>指定时间内</t>
  </si>
  <si>
    <t>修复</t>
  </si>
  <si>
    <t>队伍类型</t>
  </si>
  <si>
    <t>test_tank</t>
  </si>
  <si>
    <t>试验坦克</t>
  </si>
  <si>
    <t>heavyInterceptor</t>
  </si>
  <si>
    <t>重型拦截器</t>
  </si>
  <si>
    <t>menus.settings.option.alwayUnitHealth</t>
  </si>
  <si>
    <t>始终显示单位生命值（受到伤害的单位都会显示）</t>
  </si>
  <si>
    <t>leg.png</t>
  </si>
  <si>
    <t>腿图</t>
  </si>
  <si>
    <t>laterThanSeconds</t>
  </si>
  <si>
    <t>指定时间后</t>
  </si>
  <si>
    <t>己方</t>
  </si>
  <si>
    <t>own</t>
  </si>
  <si>
    <t>tree</t>
  </si>
  <si>
    <t>heavyBattleship</t>
  </si>
  <si>
    <t>重型战列舰</t>
  </si>
  <si>
    <t>menus.settings.option.unitIcons</t>
  </si>
  <si>
    <t>缩小后显示单位图标</t>
  </si>
  <si>
    <t>glow_green.png</t>
  </si>
  <si>
    <t>绿光</t>
  </si>
  <si>
    <t>关系</t>
  </si>
  <si>
    <t>创建时</t>
  </si>
  <si>
    <t>除自己外任何</t>
  </si>
  <si>
    <t>notOwn</t>
  </si>
  <si>
    <t>turret</t>
  </si>
  <si>
    <t>heavyArtillery</t>
  </si>
  <si>
    <t>重型火炮</t>
  </si>
  <si>
    <t>menus.settings.option.zoomButton</t>
  </si>
  <si>
    <t>显示缩放按钮</t>
  </si>
  <si>
    <t>glow_sharp.png</t>
  </si>
  <si>
    <t>发光锐利的图</t>
  </si>
  <si>
    <t>source</t>
  </si>
  <si>
    <t>来源</t>
  </si>
  <si>
    <t>neutral</t>
  </si>
  <si>
    <t>turret_artillery</t>
  </si>
  <si>
    <t>炮塔火炮</t>
  </si>
  <si>
    <t>flare_10s</t>
  </si>
  <si>
    <t>火炬10s</t>
  </si>
  <si>
    <t>menus.settings.option.useMinimapAllyColors</t>
  </si>
  <si>
    <t>小地图显示队友颜色</t>
  </si>
  <si>
    <t>icon_attack_point.png</t>
  </si>
  <si>
    <t>攻击点图标</t>
  </si>
  <si>
    <t>compareTarget</t>
  </si>
  <si>
    <t>比较目标</t>
  </si>
  <si>
    <t>贴花绘制图层类型</t>
  </si>
  <si>
    <t>单位的可控制状态</t>
  </si>
  <si>
    <t>除自己外盟友</t>
  </si>
  <si>
    <t>allyNotOwn</t>
  </si>
  <si>
    <t>turret_flamethrower</t>
  </si>
  <si>
    <t>炮塔火焰喷射器</t>
  </si>
  <si>
    <t>fireBee</t>
  </si>
  <si>
    <t>火蜂</t>
  </si>
  <si>
    <t>menus.settings.option.showWarLogOnScreen</t>
  </si>
  <si>
    <t>显示作战日志</t>
  </si>
  <si>
    <t>icon_build.png</t>
  </si>
  <si>
    <t>byMoreThan</t>
  </si>
  <si>
    <t>更多</t>
  </si>
  <si>
    <t>maxHp</t>
  </si>
  <si>
    <t>血量上限</t>
  </si>
  <si>
    <t>盟友</t>
  </si>
  <si>
    <t>ally</t>
  </si>
  <si>
    <t>turretT2</t>
  </si>
  <si>
    <t>转塔T2</t>
  </si>
  <si>
    <t>fabricatorT3</t>
  </si>
  <si>
    <t>工厂t3</t>
  </si>
  <si>
    <t>menus.settings.option.smartSelection</t>
  </si>
  <si>
    <t>智能过滤框选内容</t>
  </si>
  <si>
    <t>icon_downgrade.png</t>
  </si>
  <si>
    <t>降级图标</t>
  </si>
  <si>
    <t>multiplyTargetBy</t>
  </si>
  <si>
    <t>目标乘数</t>
  </si>
  <si>
    <t>beforeBody</t>
  </si>
  <si>
    <t>在主体之下</t>
  </si>
  <si>
    <t>敌人</t>
  </si>
  <si>
    <t>enemy</t>
  </si>
  <si>
    <t>turretT3</t>
  </si>
  <si>
    <t>转塔T3</t>
  </si>
  <si>
    <t>fabricatorT2</t>
  </si>
  <si>
    <t>工厂t2</t>
  </si>
  <si>
    <t>menus.settings.option.showSelectedUnitsList</t>
  </si>
  <si>
    <t>显示所选单位的类型列表</t>
  </si>
  <si>
    <t>icon_upgrade.png</t>
  </si>
  <si>
    <t>升级图标</t>
  </si>
  <si>
    <t>allteams</t>
  </si>
  <si>
    <t>全体队伍</t>
  </si>
  <si>
    <t>afterBody</t>
  </si>
  <si>
    <t>在主体之上</t>
  </si>
  <si>
    <t>selfRegenRate</t>
  </si>
  <si>
    <t>自身回血速度</t>
  </si>
  <si>
    <t>任何</t>
  </si>
  <si>
    <t>any</t>
  </si>
  <si>
    <t>wall_v</t>
  </si>
  <si>
    <t>墙壁v</t>
  </si>
  <si>
    <t>fabricatorT1</t>
  </si>
  <si>
    <t>工厂t1</t>
  </si>
  <si>
    <t>menus.settings.option.halfResolution</t>
  </si>
  <si>
    <t>渲染半分辨率（为高密度显示屏设计）</t>
  </si>
  <si>
    <t>icon_nuke_stockpile.png</t>
  </si>
  <si>
    <t>核弹储备图标</t>
  </si>
  <si>
    <t>neutralteam</t>
  </si>
  <si>
    <t>中立队伍</t>
  </si>
  <si>
    <t>onTop</t>
  </si>
  <si>
    <t>在最顶端</t>
  </si>
  <si>
    <t>maxShield</t>
  </si>
  <si>
    <t>护盾上限</t>
  </si>
  <si>
    <t>zoneMarker</t>
  </si>
  <si>
    <t>区域标记</t>
  </si>
  <si>
    <t>extractorT3_reinforced</t>
  </si>
  <si>
    <t>提取器t3加固</t>
  </si>
  <si>
    <t>menus.settings.option.renderVsync</t>
  </si>
  <si>
    <t>强制垂直同步</t>
  </si>
  <si>
    <t>icon_off.png</t>
  </si>
  <si>
    <t>关闭图标</t>
  </si>
  <si>
    <t>aggressiveteam</t>
  </si>
  <si>
    <t>侵略性队伍</t>
  </si>
  <si>
    <t>beforeUI</t>
  </si>
  <si>
    <t>在显示界面之上</t>
  </si>
  <si>
    <t>extractorT3_overclocked</t>
  </si>
  <si>
    <t>提取器t3超频</t>
  </si>
  <si>
    <t>menus.settings.option.renderClouds</t>
  </si>
  <si>
    <t>渲染云彩效果</t>
  </si>
  <si>
    <t>icon_on.png</t>
  </si>
  <si>
    <t>启动图标</t>
  </si>
  <si>
    <t>inactive</t>
  </si>
  <si>
    <t>在行动里</t>
  </si>
  <si>
    <t>shieldRegen</t>
  </si>
  <si>
    <t>护盾恢复速度</t>
  </si>
  <si>
    <t>extractorT3</t>
  </si>
  <si>
    <t>提取器t3</t>
  </si>
  <si>
    <t>menus.settings.option.highRefreshRate</t>
  </si>
  <si>
    <t>高刷新率（如果屏幕支持）</t>
  </si>
  <si>
    <t>icon_sell_top.png</t>
  </si>
  <si>
    <t>出售图标</t>
  </si>
  <si>
    <t>underwater</t>
  </si>
  <si>
    <t>在水下</t>
  </si>
  <si>
    <t>maxEnergy</t>
  </si>
  <si>
    <t>能量上限</t>
  </si>
  <si>
    <t>extractorT2</t>
  </si>
  <si>
    <t>提取器t2</t>
  </si>
  <si>
    <t>menus.settings.option.unlockedScreenRotation</t>
  </si>
  <si>
    <t>允许纵向屏幕旋转</t>
  </si>
  <si>
    <t>icon_upgrade_top.png</t>
  </si>
  <si>
    <t>升级到顶图标</t>
  </si>
  <si>
    <t>teamColoringMode可填</t>
  </si>
  <si>
    <t>代码内的可用图像</t>
  </si>
  <si>
    <t>extractorT1</t>
  </si>
  <si>
    <t>提取器t1</t>
  </si>
  <si>
    <t>menus.settings.option.classicInterface</t>
  </si>
  <si>
    <t>使用经典的游戏界面（需要重新启动）</t>
  </si>
  <si>
    <t>large_turret.png</t>
  </si>
  <si>
    <t>大炮塔图</t>
  </si>
  <si>
    <t>包括</t>
  </si>
  <si>
    <t>armour</t>
  </si>
  <si>
    <t>装甲</t>
  </si>
  <si>
    <t>法线图像(光线扭曲)</t>
  </si>
  <si>
    <t>experimentalSpider</t>
  </si>
  <si>
    <t>实验蜘蛛</t>
  </si>
  <si>
    <t>menus.settings.option.showFps</t>
  </si>
  <si>
    <t>显示FPS(帧率)</t>
  </si>
  <si>
    <t>light_25.png</t>
  </si>
  <si>
    <t>闪光25图(长宽25格像素)</t>
  </si>
  <si>
    <t>X坐标</t>
  </si>
  <si>
    <t>hueShift</t>
  </si>
  <si>
    <t>色相偏移</t>
  </si>
  <si>
    <t>mass</t>
  </si>
  <si>
    <t>质量</t>
  </si>
  <si>
    <t>ripple_normal_128.png</t>
  </si>
  <si>
    <t>水波法线图(长宽128像素)</t>
  </si>
  <si>
    <t>实验武装直升机降落</t>
  </si>
  <si>
    <t>menus.settings.option.videoRecord</t>
  </si>
  <si>
    <t>添加录制视频-JPG选项（实验性功能，十分缓慢且需要较大存储空间）</t>
  </si>
  <si>
    <t>light_50.png</t>
  </si>
  <si>
    <t>闪光50图(长宽50格像素)</t>
  </si>
  <si>
    <t>Y坐标</t>
  </si>
  <si>
    <t>hueAdd</t>
  </si>
  <si>
    <t>色相添加</t>
  </si>
  <si>
    <t>开火间隔倍数</t>
  </si>
  <si>
    <t>shockwave_normal_64.png</t>
  </si>
  <si>
    <t>冲击波法线图(长宽64像素)</t>
  </si>
  <si>
    <t>实验武装直升机</t>
  </si>
  <si>
    <t>menus.settings.option.saveReplays</t>
  </si>
  <si>
    <t>保存多人录像</t>
  </si>
  <si>
    <t>lighting_charge.png</t>
  </si>
  <si>
    <t>蓄能亮光图</t>
  </si>
  <si>
    <t>name</t>
  </si>
  <si>
    <t>pureGreen</t>
  </si>
  <si>
    <t>纯绿</t>
  </si>
  <si>
    <t>开火伤害倍数</t>
  </si>
  <si>
    <t>shockwave_normal_128.png</t>
  </si>
  <si>
    <t>冲击波法线图(长宽128像素)</t>
  </si>
  <si>
    <t>experimentalDropship</t>
  </si>
  <si>
    <t>实验空投船</t>
  </si>
  <si>
    <t>menus.settings.option.replaysShowRecordedChat</t>
  </si>
  <si>
    <t>显示聊天记录</t>
  </si>
  <si>
    <t>lighting_charge2.png</t>
  </si>
  <si>
    <t>蓄能亮光图2</t>
  </si>
  <si>
    <t>nukesEnabled</t>
  </si>
  <si>
    <t>禁用核弹</t>
  </si>
  <si>
    <t>movespeed</t>
  </si>
  <si>
    <t>最大移动速度</t>
  </si>
  <si>
    <t>shockwave_normal_256.png</t>
  </si>
  <si>
    <t>冲击波法线图(长宽256像素)</t>
  </si>
  <si>
    <t>experiementalCarrier</t>
  </si>
  <si>
    <t>经验携带者</t>
  </si>
  <si>
    <t>menus.settings.option.enableMouseCapture</t>
  </si>
  <si>
    <t>在窗口化游戏时捕获鼠标(通过将鼠标移到在窗口边界以移动视角, 部分鼠标可能会有延迟)</t>
  </si>
  <si>
    <t>mammoth_tank_turret.png</t>
  </si>
  <si>
    <t>猛犸坦克炮塔图</t>
  </si>
  <si>
    <t>withoutTag</t>
  </si>
  <si>
    <t>除开标签</t>
  </si>
  <si>
    <t>最大转弯速度</t>
  </si>
  <si>
    <t>不可用但是drawable文件夹里存在的图像素材</t>
  </si>
  <si>
    <t>example_faction_picker</t>
  </si>
  <si>
    <t>派系选择器示例</t>
  </si>
  <si>
    <t>menus.settings.option.quickRally</t>
  </si>
  <si>
    <t>快速设置集结点 (使用移动操作快速设置集合点)</t>
  </si>
  <si>
    <t>mega_tank_turret.png</t>
  </si>
  <si>
    <t>巨型坦克炮塔图</t>
  </si>
  <si>
    <t>最大攻击距离</t>
  </si>
  <si>
    <t>air_factory.png</t>
  </si>
  <si>
    <t>空军工厂图</t>
  </si>
  <si>
    <t>custom_tank</t>
  </si>
  <si>
    <t>定制储罐</t>
  </si>
  <si>
    <t>menus.settings.option.doubleClickToAttackMove</t>
  </si>
  <si>
    <t>双击以发送进军指令</t>
  </si>
  <si>
    <t>mega_tank_turret2.png</t>
  </si>
  <si>
    <t>巨型坦克炮塔图2</t>
  </si>
  <si>
    <t>nanoRange</t>
  </si>
  <si>
    <t>修复范围</t>
  </si>
  <si>
    <t>air_factory_t2_dead.png</t>
  </si>
  <si>
    <t>空军工厂T2死亡图</t>
  </si>
  <si>
    <t>menus.settings.option.udpInMultiplayer</t>
  </si>
  <si>
    <t>使用UDP协议降低网络延迟（实验性功能）</t>
  </si>
  <si>
    <t>nano_turret.png</t>
  </si>
  <si>
    <t>纳米修复炮塔图</t>
  </si>
  <si>
    <t>fogOfWarSightRange</t>
  </si>
  <si>
    <t>迷雾视野</t>
  </si>
  <si>
    <t>amphibious_jet_p2.png</t>
  </si>
  <si>
    <t>两栖喷气机左臂图</t>
  </si>
  <si>
    <t>creditsCrates</t>
  </si>
  <si>
    <t>资金箱子</t>
  </si>
  <si>
    <t>menus.settings.option.showChatAndPingShortcuts</t>
  </si>
  <si>
    <t>在屏幕右方显示团队消息与地图指示的快捷操作</t>
  </si>
  <si>
    <t>no_icon.png</t>
  </si>
  <si>
    <t>禁止图标</t>
  </si>
  <si>
    <t>nanoFactorySpeed</t>
  </si>
  <si>
    <t>工厂制造速度倍数</t>
  </si>
  <si>
    <t>amphibious_jet_p1.png</t>
  </si>
  <si>
    <t>两栖喷气机右臂图</t>
  </si>
  <si>
    <t>combatEngineer</t>
  </si>
  <si>
    <t>战斗工程师</t>
  </si>
  <si>
    <t>menus.settings.option.showMapPingsOnBattlefield</t>
  </si>
  <si>
    <t>在作战界面显示地图指示</t>
  </si>
  <si>
    <t>ripple.png</t>
  </si>
  <si>
    <t>水波</t>
  </si>
  <si>
    <t>amphibious_jet_dead.png</t>
  </si>
  <si>
    <t>两栖喷气机死亡图</t>
  </si>
  <si>
    <t>c_turret_t3_gun</t>
  </si>
  <si>
    <t>c炮塔t3炮</t>
  </si>
  <si>
    <t>menus.settings.option.showMapPingsOnMinimap</t>
  </si>
  <si>
    <t>在小地图显示地图指示</t>
  </si>
  <si>
    <t>small_laser_turret.png</t>
  </si>
  <si>
    <t>小激光坦克炮塔图</t>
  </si>
  <si>
    <t>amphibious_jet_shadow.png</t>
  </si>
  <si>
    <t>两栖喷气机阴影图</t>
  </si>
  <si>
    <t>c_turret_t2_lightning</t>
  </si>
  <si>
    <t>c炮塔t2雷电</t>
  </si>
  <si>
    <t>menus.settings.option.showPlayerChatInGame</t>
  </si>
  <si>
    <t>显示玩家聊天消息（游戏内）</t>
  </si>
  <si>
    <t>small_laser_turretT2.png</t>
  </si>
  <si>
    <t>小激光坦克T2炮塔图</t>
  </si>
  <si>
    <t>amphibious_jet.png</t>
  </si>
  <si>
    <t>两栖喷气机图</t>
  </si>
  <si>
    <t>c_turret_t2_gun</t>
  </si>
  <si>
    <t>c炮塔t2炮</t>
  </si>
  <si>
    <t>menus.settings.option.sendReports</t>
  </si>
  <si>
    <t>发送崩溃报告</t>
  </si>
  <si>
    <t>spark.png</t>
  </si>
  <si>
    <t>电火花图</t>
  </si>
  <si>
    <t>anti_air_top.png</t>
  </si>
  <si>
    <t>防空炮塔跑塔图</t>
  </si>
  <si>
    <t>c_turret_t2_flame</t>
  </si>
  <si>
    <t>c炮塔t2火焰</t>
  </si>
  <si>
    <t>menus.settings.option.immersiveFullScreen</t>
  </si>
  <si>
    <t>沉浸式全屏（如果可用）</t>
  </si>
  <si>
    <t>turret_artillery_large.png</t>
  </si>
  <si>
    <t>大型火炮炮塔图</t>
  </si>
  <si>
    <t>antinuke_launcher.png</t>
  </si>
  <si>
    <t>反核发射器图</t>
  </si>
  <si>
    <t>c_turret_t2_artillery</t>
  </si>
  <si>
    <t>c炮塔t2火炮</t>
  </si>
  <si>
    <t>menus.settings.option.androidOpenGL</t>
  </si>
  <si>
    <t>使用实验性 opengl 渲染（更好的性能）</t>
  </si>
  <si>
    <t>turret_large_laser.png</t>
  </si>
  <si>
    <t>大型激光炮塔图</t>
  </si>
  <si>
    <t>antinuke_launcher_dead.png</t>
  </si>
  <si>
    <t>反核发射器死亡图</t>
  </si>
  <si>
    <t>c_turret_t1_lightning</t>
  </si>
  <si>
    <t>c炮塔t1闪电</t>
  </si>
  <si>
    <t>menus.settings.option.shaderEffects</t>
  </si>
  <si>
    <t>着色器效果（需要快速的GPU）</t>
  </si>
  <si>
    <t>turret_main.png</t>
  </si>
  <si>
    <t>主要炮塔图</t>
  </si>
  <si>
    <t>artillery1_dead.png</t>
  </si>
  <si>
    <t>自行火炮1死亡图</t>
  </si>
  <si>
    <t>c_turret_t1_artillery</t>
  </si>
  <si>
    <t>c炮塔t1火炮</t>
  </si>
  <si>
    <t>menus.settings.option.teamShaders</t>
  </si>
  <si>
    <t>团队颜色着色器（使用模组大幅减少纹理内存，但需要更快的GPU）</t>
  </si>
  <si>
    <t>turret_missile.png</t>
  </si>
  <si>
    <t>导弹炮塔图</t>
  </si>
  <si>
    <t>attack_submarine_dead.png</t>
  </si>
  <si>
    <t>潜水艇死亡图</t>
  </si>
  <si>
    <t>c_turret_t1</t>
  </si>
  <si>
    <t>c炮塔t1</t>
  </si>
  <si>
    <t>menus.settings.option.shaderEffectsPC</t>
  </si>
  <si>
    <t>着色器效果</t>
  </si>
  <si>
    <t>turret_small.png</t>
  </si>
  <si>
    <t>小炮塔图</t>
  </si>
  <si>
    <t>base_dead.png</t>
  </si>
  <si>
    <t>指挥中心死亡图</t>
  </si>
  <si>
    <t>c_tank</t>
  </si>
  <si>
    <t>c坦克</t>
  </si>
  <si>
    <t>menus.settings.option.teamShadersPC</t>
  </si>
  <si>
    <t>团队颜色着色器（使用模组大幅减少纹理内存）</t>
  </si>
  <si>
    <t>white_pixel.png</t>
  </si>
  <si>
    <t>一个白色像素图</t>
  </si>
  <si>
    <t>battle_ship_t2.png</t>
  </si>
  <si>
    <t>战列舰T2图</t>
  </si>
  <si>
    <t>c_mammothTank</t>
  </si>
  <si>
    <t>c巨型坦克</t>
  </si>
  <si>
    <t>menus.settings.option.autoSaveEnabled</t>
  </si>
  <si>
    <t>启用自动保存</t>
  </si>
  <si>
    <t>多帧动画</t>
  </si>
  <si>
    <t>battle_ship_turret.png</t>
  </si>
  <si>
    <t>战列舰炮塔图</t>
  </si>
  <si>
    <t>c_laserTank</t>
  </si>
  <si>
    <t>c激光槽</t>
  </si>
  <si>
    <t>menus.settings.button.done</t>
  </si>
  <si>
    <t>完成</t>
  </si>
  <si>
    <t>lightning_shock.png</t>
  </si>
  <si>
    <t>击中闪电动画图(共14帧)</t>
  </si>
  <si>
    <t>battle_ship2_turret.png</t>
  </si>
  <si>
    <t>战列舰2炮塔图</t>
  </si>
  <si>
    <t>c_interceptor</t>
  </si>
  <si>
    <t>c拦截器</t>
  </si>
  <si>
    <t>menus.settings.button.cancel</t>
  </si>
  <si>
    <t>取消</t>
  </si>
  <si>
    <t>btn_black.9.png</t>
  </si>
  <si>
    <t>黑色按钮9图</t>
  </si>
  <si>
    <t>c_helicopter</t>
  </si>
  <si>
    <t>c直升机</t>
  </si>
  <si>
    <t>menus.settings.button.credits</t>
  </si>
  <si>
    <t>致谢名单</t>
  </si>
  <si>
    <t>cone_inverted_normal_128.png</t>
  </si>
  <si>
    <t>圆锥反转法线图</t>
  </si>
  <si>
    <t>btn_dropdown_pressed.9.png</t>
  </si>
  <si>
    <t>被按下的下拉列表按钮9图</t>
  </si>
  <si>
    <t>c_experimentalTank</t>
  </si>
  <si>
    <t>c实验槽</t>
  </si>
  <si>
    <t>menus.common.ok</t>
  </si>
  <si>
    <t>确定</t>
  </si>
  <si>
    <t>水波波纹法线图</t>
  </si>
  <si>
    <t>btn_red.9.png</t>
  </si>
  <si>
    <t>红色按钮9图</t>
  </si>
  <si>
    <t>c_artillery</t>
  </si>
  <si>
    <t>c火炮</t>
  </si>
  <si>
    <t>menus.common.cancel</t>
  </si>
  <si>
    <t>冲击波法线图</t>
  </si>
  <si>
    <t>builder_dead.png</t>
  </si>
  <si>
    <t>建造者死亡图</t>
  </si>
  <si>
    <t>c_antiAirTurretT3</t>
  </si>
  <si>
    <t>c防空炮塔t3</t>
  </si>
  <si>
    <t>menus.common.back</t>
  </si>
  <si>
    <t>返回</t>
  </si>
  <si>
    <t>builder_ship_dead.png</t>
  </si>
  <si>
    <t>战列舰死亡图</t>
  </si>
  <si>
    <t>c_antiAirTurretT2</t>
  </si>
  <si>
    <t>c防空炮塔t2</t>
  </si>
  <si>
    <t>menus.common.delete</t>
  </si>
  <si>
    <t>删除</t>
  </si>
  <si>
    <t>代码可用内置图像帧</t>
  </si>
  <si>
    <t>air_factory_dead.png</t>
  </si>
  <si>
    <t>空军工厂死亡图</t>
  </si>
  <si>
    <t>c_antiAirTurret</t>
  </si>
  <si>
    <t>c防空炮塔</t>
  </si>
  <si>
    <t>menus.common.yes</t>
  </si>
  <si>
    <t>anti_air_top_flakgun.png</t>
  </si>
  <si>
    <t>火炮T2炮塔图</t>
  </si>
  <si>
    <t>c_amphibiousJet_underwater</t>
  </si>
  <si>
    <t>c水下两栖喷气式飞机</t>
  </si>
  <si>
    <t>menus.common.no</t>
  </si>
  <si>
    <t>否</t>
  </si>
  <si>
    <t>抛射体节([projectile_&lt;string&gt;])代码</t>
  </si>
  <si>
    <t>artillery2.png</t>
  </si>
  <si>
    <t>自行火炮2图</t>
  </si>
  <si>
    <t>c_amphibiousJet_transition</t>
  </si>
  <si>
    <t>c水陆两栖喷气式飞机过渡</t>
  </si>
  <si>
    <t>menus.common.submit</t>
  </si>
  <si>
    <t>提交</t>
  </si>
  <si>
    <t>左侧数字是绘制类型的可填写数字。</t>
  </si>
  <si>
    <t>0：projectiles.png
1：projectiles_large.png
2：projectiles2.png</t>
  </si>
  <si>
    <t>back.png</t>
  </si>
  <si>
    <t>返回图</t>
  </si>
  <si>
    <t>c_amphibiousJet</t>
  </si>
  <si>
    <t>c水陆两用喷气式飞机</t>
  </si>
  <si>
    <t>menus.ingame.resume</t>
  </si>
  <si>
    <t>base.png</t>
  </si>
  <si>
    <t>指挥中心图(共4帧)</t>
  </si>
  <si>
    <t>bugWasp</t>
  </si>
  <si>
    <t>昆虫黄蜂</t>
  </si>
  <si>
    <t>menus.ingame.save</t>
  </si>
  <si>
    <t>保存</t>
  </si>
  <si>
    <t>base_no_front.png</t>
  </si>
  <si>
    <t>无正面指挥中心图(共4帧)</t>
  </si>
  <si>
    <t>bugTurret</t>
  </si>
  <si>
    <t>窃听器炮塔</t>
  </si>
  <si>
    <t>menus.ingame.exportMap</t>
  </si>
  <si>
    <t>导出为地图</t>
  </si>
  <si>
    <t>battle_ship_t2_dead.png</t>
  </si>
  <si>
    <t>战列舰T2死亡图</t>
  </si>
  <si>
    <t>bugSpore</t>
  </si>
  <si>
    <t>昆虫孢子</t>
  </si>
  <si>
    <t>menus.ingame.settings</t>
  </si>
  <si>
    <t>battle_ship2.png</t>
  </si>
  <si>
    <t>战列舰2图</t>
  </si>
  <si>
    <t>bugRangedT2</t>
  </si>
  <si>
    <t>远程虫子t2</t>
  </si>
  <si>
    <t>menus.ingame.briefing</t>
  </si>
  <si>
    <t>作战指示</t>
  </si>
  <si>
    <t>blood_mark.png</t>
  </si>
  <si>
    <t>血印图(共4帧)</t>
  </si>
  <si>
    <t>bugRanged</t>
  </si>
  <si>
    <t>远程虫子</t>
  </si>
  <si>
    <t>menus.ingame.chat</t>
  </si>
  <si>
    <t>聊天</t>
  </si>
  <si>
    <t>btn_dropdown_selected.9.png</t>
  </si>
  <si>
    <t>降级选择按钮9图</t>
  </si>
  <si>
    <t>bugPickup</t>
  </si>
  <si>
    <t>运输虫</t>
  </si>
  <si>
    <t>menus.ingame.players</t>
  </si>
  <si>
    <t>玩家</t>
  </si>
  <si>
    <t>builder.png</t>
  </si>
  <si>
    <t>建造者图</t>
  </si>
  <si>
    <t>bugNest</t>
  </si>
  <si>
    <t>虫巢</t>
  </si>
  <si>
    <t>menus.ingame.steam_reinvite</t>
  </si>
  <si>
    <t>再次邀请</t>
  </si>
  <si>
    <t>builder_decharge.png</t>
  </si>
  <si>
    <t>建造者回收效果图</t>
  </si>
  <si>
    <t>bugMeleeT31</t>
  </si>
  <si>
    <t>虫子近战t31</t>
  </si>
  <si>
    <t>menus.ingame.voteSurrender</t>
  </si>
  <si>
    <t>发起投票投降</t>
  </si>
  <si>
    <t>builder_ship_turret.png</t>
  </si>
  <si>
    <t>建造者船炮塔图</t>
  </si>
  <si>
    <t>bugMeleeSmall</t>
  </si>
  <si>
    <t>小虫子近战</t>
  </si>
  <si>
    <t>menus.ingame.surrender</t>
  </si>
  <si>
    <t>投降</t>
  </si>
  <si>
    <t>左侧数字是帧的可填写数字。当然，需要注意最上面的条件</t>
  </si>
  <si>
    <t>&lt;绘制类型(drawType)填0时&gt;
0：黑色抛射体帧
1：棕色抛射体帧
2：中等火焰帧
3：大火焰帧
4：小导弹帧
5：黄色抛射体帧
6：绿色抛射体帧
7：红色抛射体帧
8：大离子抛射体帧
9：大型火抛射体帧
10：大导弹帧
11：小离子抛射体帧</t>
  </si>
  <si>
    <t>&lt;绘制类型(drawType)填1时&gt;
1：核弹帧
2：核弹阴影帧
3：T2核弹帧
4：[空]</t>
  </si>
  <si>
    <t>&lt;绘制类型(drawType)填2时&gt;
0：白色粗大离子矛弹
1：黄色粗大离子矛弹
2：白色中等离子矛弹
3：黄色中等离子矛弹
4：白色较细离子矛弹
5：白色较细离子矛弹
6：[空]
7：[空]
8：[空]
9：[空]
10：[空]
11：[空]</t>
  </si>
  <si>
    <t>air_factory_t2.png</t>
  </si>
  <si>
    <t>空军工厂T2图</t>
  </si>
  <si>
    <t>bugMeleeLarge</t>
  </si>
  <si>
    <t>虫子近战大型</t>
  </si>
  <si>
    <t>menus.ingame.disconnect</t>
  </si>
  <si>
    <t>断开连接</t>
  </si>
  <si>
    <t>anti_air_top_l2.png</t>
  </si>
  <si>
    <t>防空导弹T2炮塔图</t>
  </si>
  <si>
    <t>bugMelee</t>
  </si>
  <si>
    <t>虫族混战</t>
  </si>
  <si>
    <t>menus.ingame.reconnect</t>
  </si>
  <si>
    <t>重新连接</t>
  </si>
  <si>
    <t>artillery1.png</t>
  </si>
  <si>
    <t>自行火炮1图</t>
  </si>
  <si>
    <t>bugGeneratorT2</t>
  </si>
  <si>
    <t>虫子生成器t2</t>
  </si>
  <si>
    <t>menus.ingame.hideInterface</t>
  </si>
  <si>
    <t>隐藏界面</t>
  </si>
  <si>
    <t>attack_submarine.png</t>
  </si>
  <si>
    <t>潜水艇图</t>
  </si>
  <si>
    <t>bugGeneratorNT2</t>
  </si>
  <si>
    <t>虫子生成器nt2</t>
  </si>
  <si>
    <t>menus.ingame.showLeaderboard</t>
  </si>
  <si>
    <t>排行榜</t>
  </si>
  <si>
    <t>back_circle.png</t>
  </si>
  <si>
    <t>返回圈图</t>
  </si>
  <si>
    <t>bugGeneratorN</t>
  </si>
  <si>
    <t>虫子生成器n</t>
  </si>
  <si>
    <t>menus.ingame.leaderboard.title</t>
  </si>
  <si>
    <t>显示排行榜</t>
  </si>
  <si>
    <t>base_back.png</t>
  </si>
  <si>
    <t>指挥中心背景图</t>
  </si>
  <si>
    <t>bugGenerator</t>
  </si>
  <si>
    <t>虫子生成器</t>
  </si>
  <si>
    <t>menus.ingame.leaderboard.type</t>
  </si>
  <si>
    <t>排行榜类型:</t>
  </si>
  <si>
    <t>battle_ship_experimental.png</t>
  </si>
  <si>
    <t>实验级战列舰图</t>
  </si>
  <si>
    <t>bugFly</t>
  </si>
  <si>
    <t>飞行建造虫</t>
  </si>
  <si>
    <t>menus.ingame.leaderboard.grouping</t>
  </si>
  <si>
    <t>排行榜分组:</t>
  </si>
  <si>
    <t>battle_ship_t2_turret.png</t>
  </si>
  <si>
    <t>战列舰T2炮塔图</t>
  </si>
  <si>
    <t>bugExtractorT2</t>
  </si>
  <si>
    <t>虫族资源提取器t2</t>
  </si>
  <si>
    <t>menus.ingame.exitGame</t>
  </si>
  <si>
    <t>退出游戏</t>
  </si>
  <si>
    <t>battle_ship2_dead.png</t>
  </si>
  <si>
    <t>战列舰2死亡图</t>
  </si>
  <si>
    <t>bugExtractor</t>
  </si>
  <si>
    <t>虫族资源提取器</t>
  </si>
  <si>
    <t>menus.ingame.quit</t>
  </si>
  <si>
    <t>btn_dropdown_normal.9.png</t>
  </si>
  <si>
    <t>下拉列表按钮9普通图</t>
  </si>
  <si>
    <t>bugBee</t>
  </si>
  <si>
    <t>自爆虫</t>
  </si>
  <si>
    <t>menus.ingame.multiplayerReconnect.message</t>
  </si>
  <si>
    <t>多人游戏意外断开连接.</t>
  </si>
  <si>
    <t>btn_orange.9.png</t>
  </si>
  <si>
    <t>橙色按钮9图</t>
  </si>
  <si>
    <t>bomber</t>
  </si>
  <si>
    <t>轰炸机</t>
  </si>
  <si>
    <t>menus.ingame.multiplayerClose.titleDisconnect</t>
  </si>
  <si>
    <t>断开连接？</t>
  </si>
  <si>
    <t>builder_charge.png</t>
  </si>
  <si>
    <t>建造者维修(建造)效果图</t>
  </si>
  <si>
    <t>antiNukeLauncherC</t>
  </si>
  <si>
    <t>反核发射器c</t>
  </si>
  <si>
    <t>menus.ingame.multiplayerClose.title</t>
  </si>
  <si>
    <t>关闭？</t>
  </si>
  <si>
    <t>builder_ship.png</t>
  </si>
  <si>
    <t>建造船图</t>
  </si>
  <si>
    <t>antiAirTurretFlak</t>
  </si>
  <si>
    <t>防空炮塔高射炮</t>
  </si>
  <si>
    <t>menus.ingame.multiplayerClose.message</t>
  </si>
  <si>
    <t>多人游戏正在进行中，你要怎么做？</t>
  </si>
  <si>
    <t>button_add.png</t>
  </si>
  <si>
    <t>添加按钮图</t>
  </si>
  <si>
    <t>aaBeamGunship_afterburn</t>
  </si>
  <si>
    <t>AA炮舰喷射</t>
  </si>
  <si>
    <t>menus.ingame.multiplayerClose.disconnectButton</t>
  </si>
  <si>
    <t>button_more.png</t>
  </si>
  <si>
    <t>更多按钮图</t>
  </si>
  <si>
    <t>aaBeamGunship</t>
  </si>
  <si>
    <t>防空AA炮舰</t>
  </si>
  <si>
    <t>menus.ingame.multiplayerClose.minimizeButton</t>
  </si>
  <si>
    <t>最小化</t>
  </si>
  <si>
    <t>button_no.png</t>
  </si>
  <si>
    <t>否定按钮图</t>
  </si>
  <si>
    <t>menus.ingame.multiplayerClose.stayButton</t>
  </si>
  <si>
    <t>继续游戏</t>
  </si>
  <si>
    <t>button_subtract.png</t>
  </si>
  <si>
    <t>减少按钮图</t>
  </si>
  <si>
    <t>&lt;制造者&gt;陆军工厂</t>
  </si>
  <si>
    <t>menus.ingame.multiplayerClose.returnToBattleroom</t>
  </si>
  <si>
    <t>返回至战役室</t>
  </si>
  <si>
    <t>button_yes.png</t>
  </si>
  <si>
    <t>是的按钮图</t>
  </si>
  <si>
    <t>侦察者</t>
  </si>
  <si>
    <t>menus.ingame.multiplayerClose.messageDisconnect</t>
  </si>
  <si>
    <t>您确定要断开连接吗？ 您可以在它仍处于运行状态时重新加入。</t>
  </si>
  <si>
    <t>crystal.png</t>
  </si>
  <si>
    <t>水晶图</t>
  </si>
  <si>
    <t>menus.ingame.multiplayerClose.messageEndGame</t>
  </si>
  <si>
    <t>你确定要结束这个多人游戏吗？</t>
  </si>
  <si>
    <t>dropship.png</t>
  </si>
  <si>
    <t>运输机图</t>
  </si>
  <si>
    <t>小坦克</t>
  </si>
  <si>
    <t>tank(老)
c_tank</t>
  </si>
  <si>
    <t>menus.ingame.surrender.title</t>
  </si>
  <si>
    <t>是否投降？</t>
  </si>
  <si>
    <t>dropship_dead.png</t>
  </si>
  <si>
    <t>运输机死亡图</t>
  </si>
  <si>
    <t>menus.ingame.surrender.message</t>
  </si>
  <si>
    <t>你确定要放弃这场游戏吗？</t>
  </si>
  <si>
    <t>dropship_shadow.png</t>
  </si>
  <si>
    <t>运输机阴影图</t>
  </si>
  <si>
    <t>自行火炮</t>
  </si>
  <si>
    <t>menus.ingame.surrender.messageWithVote</t>
  </si>
  <si>
    <t>你想投票投降这场游戏吗？</t>
  </si>
  <si>
    <t>error.png</t>
  </si>
  <si>
    <t>错误图</t>
  </si>
  <si>
    <t>&lt;制造者&gt;二级陆军工厂</t>
  </si>
  <si>
    <t>menus.ingame.surrender.surrenderButton</t>
  </si>
  <si>
    <t>效果节([effect_&lt;string&gt;])代码</t>
  </si>
  <si>
    <t>error_general.png</t>
  </si>
  <si>
    <t>menus.ingame.ping.type.normal</t>
  </si>
  <si>
    <t>提醒此处</t>
  </si>
  <si>
    <t>左侧数字是帧索引的可填写数字。当然，需要注意最上面的条件</t>
  </si>
  <si>
    <t>&lt;集索引(stripIndex)填effect时&gt;
0：白色烟雾帧
1：绿色粘液痕迹帧
2：绿色粘液模糊痕迹帧
3：[空]
4：回收时红色光球帧
5：回收时红色粒子帧
6：建造或修复时绿色粒子帧
7：白色迷你云帧
8：普通路径点选择图标帧
9：攻击路径点选择图标帧
10：建造或修复路径点选择图标帧
11：进入载具路径点选择图标帧
12：回收路径点选择图标帧
13：水花帧
14：小土坑帧/血迹帧
15：旧版白色烟雾帧
16：[空]
17：白色光球帧
18：旧版迷您云帧1
19：旧版迷您云帧2
20：旧版血迹帧
21：黄色血迹帧
22：[空]
23：旧版普通路径点选择图标帧
24：[空]
25：旧版建造或修复路径点选择图标帧
26：旧版进入载具路径点选择图标帧
27：[空]
28：[空]
29：[空]</t>
  </si>
  <si>
    <t>&lt;集索引(stripIndex)填effect2时&gt;
0：黑屏帧
1：水渍帧
2：湮灭的灰色箭头帧
3：灰尘帧
4：树叶帧1
5：树叶帧2
6："Ping Map"(地图映射标记)指向图标帧(灰色)
7："Ping Map"(地图映射标记)-提醒此处-图标帧
8："Ping Map"(地图映射标记)-攻击这里-图标帧
9："Ping Map"(地图映射标记)-守住这里-图标帧
10："Ping Map"(地图映射标记)-核平目标-图标帧
11："Ping Map"(地图映射标记)-在此建造-图标帧
12："Ping Map"(地图映射标记)-请升级-图标帧
13："Ping Map"(地图映射标记)-OK-图标帧
14："Ping Map"(地图映射标记)-No!-图标帧
15："Ping Map"(地图映射标记)-表示快乐-图标帧
16："Ping Map"(地图映射标记)-表示难过-图标帧
17："Ping Map"(地图映射标记)-开始撤退-图标帧</t>
  </si>
  <si>
    <t>&lt;集索引(stripIndex)填effect3时&gt;
0：攻击路径点选择环绕图标帧
1：Ping Map - 守住这里 图标帧
2：进军路径点选择图标帧
3：[空]
4：[空]</t>
  </si>
  <si>
    <t>error_missingmap.png</t>
  </si>
  <si>
    <t>地图图标错误图</t>
  </si>
  <si>
    <t>重型气垫坦克</t>
  </si>
  <si>
    <t>heavyhoverTank</t>
  </si>
  <si>
    <t>menus.ingame.ping.type.attack</t>
  </si>
  <si>
    <t>攻击这里</t>
  </si>
  <si>
    <t>error_outmem.png</t>
  </si>
  <si>
    <t>输出内存错误图</t>
  </si>
  <si>
    <t>等离子坦克</t>
  </si>
  <si>
    <t>menus.ingame.ping.type.defend</t>
  </si>
  <si>
    <t>守住这里</t>
  </si>
  <si>
    <t>error_toolargethumb.png</t>
  </si>
  <si>
    <t>地图图标过大图</t>
  </si>
  <si>
    <t>menus.ingame.ping.type.build</t>
  </si>
  <si>
    <t>在此建造</t>
  </si>
  <si>
    <t>experimental_hovertank.png</t>
  </si>
  <si>
    <t>实验型悬浮坦克图</t>
  </si>
  <si>
    <t>menus.ingame.ping.type.upgrade</t>
  </si>
  <si>
    <t>请升级</t>
  </si>
  <si>
    <t>experimental_hovertank_dead.png</t>
  </si>
  <si>
    <t>实验型悬浮坦克死亡图</t>
  </si>
  <si>
    <t>menus.ingame.ping.type.ok</t>
  </si>
  <si>
    <t>OK</t>
  </si>
  <si>
    <t>experimental_hovertank_shield.png</t>
  </si>
  <si>
    <t>实验型悬浮坦克护盾图</t>
  </si>
  <si>
    <t>防空坦克</t>
  </si>
  <si>
    <t>menus.ingame.ping.type.no</t>
  </si>
  <si>
    <t>No!</t>
  </si>
  <si>
    <t>experimental_hovertank_turret.png</t>
  </si>
  <si>
    <t>实验型悬浮坦克炮塔图</t>
  </si>
  <si>
    <t>menus.ingame.ping.type.happy</t>
  </si>
  <si>
    <t>表示快乐</t>
  </si>
  <si>
    <t>experimental_tank.png</t>
  </si>
  <si>
    <t>实验型坦克图</t>
  </si>
  <si>
    <t>&lt;制造者&gt;机械工厂</t>
  </si>
  <si>
    <t>menus.ingame.ping.type.sad</t>
  </si>
  <si>
    <t>表示难过</t>
  </si>
  <si>
    <t>experimental_tank_dead.png</t>
  </si>
  <si>
    <t>实验型坦克死亡图</t>
  </si>
  <si>
    <t>小机甲</t>
  </si>
  <si>
    <t>menus.ingame.ping.type.retreat</t>
  </si>
  <si>
    <t>开始撤退</t>
  </si>
  <si>
    <t>实验型坦克炮塔图</t>
  </si>
  <si>
    <t>防空机甲</t>
  </si>
  <si>
    <t>menus.ingame.ping.type.nuke</t>
  </si>
  <si>
    <t>核平目标!</t>
  </si>
  <si>
    <t>experimental_unit_factory_base.png</t>
  </si>
  <si>
    <t>实验工厂图</t>
  </si>
  <si>
    <t>火炮机甲</t>
  </si>
  <si>
    <t>menus.ingame.multiplayerReinvite.title</t>
  </si>
  <si>
    <t>重新邀请玩家</t>
  </si>
  <si>
    <t>experimental_unit_factory_dead.png</t>
  </si>
  <si>
    <t>实验工厂死亡图</t>
  </si>
  <si>
    <t>移动炮台</t>
  </si>
  <si>
    <t>menus.mods.headerInfoAndroid</t>
  </si>
  <si>
    <t>为单人游戏和自创房间启用Mod。在加入多人游戏服务器时，如果服务器需要某Mod，禁用的Mod甚至也会启用</t>
  </si>
  <si>
    <t>experimental_unit_factory_front.png</t>
  </si>
  <si>
    <t>实验工厂工厂框架图</t>
  </si>
  <si>
    <t>移动炮台部署状态</t>
  </si>
  <si>
    <t>menus.mods.save</t>
  </si>
  <si>
    <t>extractor.png</t>
  </si>
  <si>
    <t>资源提取仪图(共4帧)</t>
  </si>
  <si>
    <t>&lt;制造者&gt;二级机械工厂</t>
  </si>
  <si>
    <t>menus.mods.cancel</t>
  </si>
  <si>
    <t>extractor_back.png</t>
  </si>
  <si>
    <t>资源提取仪背景图</t>
  </si>
  <si>
    <t>机枪机甲</t>
  </si>
  <si>
    <t>menus.mods.reload</t>
  </si>
  <si>
    <t>重载数据</t>
  </si>
  <si>
    <t>extractor_dead.png</t>
  </si>
  <si>
    <t>资源提取仪死亡图</t>
  </si>
  <si>
    <t>机械师</t>
  </si>
  <si>
    <t>menus.mods.createFolder</t>
  </si>
  <si>
    <t>创建Mod文件夹</t>
  </si>
  <si>
    <t>extractor_t2.png</t>
  </si>
  <si>
    <t>资源提取仪T2图(共4帧)</t>
  </si>
  <si>
    <t>等离子机甲</t>
  </si>
  <si>
    <t>menus.mods.importMod</t>
  </si>
  <si>
    <t>导入新的Mod</t>
  </si>
  <si>
    <t>extractor_t3.png</t>
  </si>
  <si>
    <t>资源提取仪T3图(共4帧)</t>
  </si>
  <si>
    <t>特斯拉机甲</t>
  </si>
  <si>
    <t>menus.mods.importMap</t>
  </si>
  <si>
    <t>导入新的地图</t>
  </si>
  <si>
    <t>fast.png</t>
  </si>
  <si>
    <t>快进图</t>
  </si>
  <si>
    <t>重型防空机甲</t>
  </si>
  <si>
    <t>menus.mods.importFile</t>
  </si>
  <si>
    <t>导入文件</t>
  </si>
  <si>
    <t>flame_large.png</t>
  </si>
  <si>
    <t>大开火动画图(共4帧)</t>
  </si>
  <si>
    <t>喷火机甲</t>
  </si>
  <si>
    <t>menus.mods.linkModFolder</t>
  </si>
  <si>
    <t>链接mod开发文件夹</t>
  </si>
  <si>
    <t>fog_dithering.png</t>
  </si>
  <si>
    <t>迷雾发散图(共4帧)</t>
  </si>
  <si>
    <t>&lt;制造者&gt;空军基地</t>
  </si>
  <si>
    <t>menus.mods.linkModFolderInfo</t>
  </si>
  <si>
    <t>这适用于使用 Android SDK 30 的mod制作者。\n大多数玩家应该使用“导入 Mod”按钮来添加 .rwmod 文件\n\n这链接到外部mod文件夹以允许mod制作者无需重新导入即可进行更改，但 IO 读取速度较慢。 请在其根目录中选择一个包含“mod-info.txt”文件的未打包的 mod 文件夹。</t>
  </si>
  <si>
    <t>fog_smooth.png</t>
  </si>
  <si>
    <t>迷雾平滑图(16帧可用,共18帧)</t>
  </si>
  <si>
    <t>menus.mods.androidStorageChangeWarningTitle</t>
  </si>
  <si>
    <t>Android存储更改</t>
  </si>
  <si>
    <t>gun_boat.png</t>
  </si>
  <si>
    <t>机枪艇图</t>
  </si>
  <si>
    <t>拦截机</t>
  </si>
  <si>
    <t>menus.mods.androidStorageChangeWarning</t>
  </si>
  <si>
    <t>注意：由于 Android/Play Store 存储更改，如果您想访问旧的保存/回放/等，则需要设置外部存储文件夹。 您还可以使用内部游戏存储并导入旧数据，但这些文件会在卸载时被操作系统删除。</t>
  </si>
  <si>
    <t>gun_boat_dead.png</t>
  </si>
  <si>
    <t>机枪艇死亡图</t>
  </si>
  <si>
    <t>menus.mods.androidStorageChangeWarningButton</t>
  </si>
  <si>
    <t>我知道了</t>
  </si>
  <si>
    <t>gunship.png</t>
  </si>
  <si>
    <t>武装直升机图</t>
  </si>
  <si>
    <t xml:space="preserve">&lt;制造者&gt;二级空军基地  </t>
  </si>
  <si>
    <t>menus.mods.androidStorageChangeWarningButtonSetup</t>
  </si>
  <si>
    <t>立即设置</t>
  </si>
  <si>
    <t>gunship_dead.png</t>
  </si>
  <si>
    <t>武装直升机死亡图</t>
  </si>
  <si>
    <t>武装直升机</t>
  </si>
  <si>
    <t>menus.mods.androidStorageSetupTitle</t>
  </si>
  <si>
    <t>选择存储位置</t>
  </si>
  <si>
    <t>gunship_shadow.png</t>
  </si>
  <si>
    <t>武装直升机阴影图</t>
  </si>
  <si>
    <t>重型拦截机</t>
  </si>
  <si>
    <t>menus.mods.androidStorageSetupMessage</t>
  </si>
  <si>
    <t>由于Android的变化，需要先设置外部存储才能使用。\n\\n选择存储地点：\n\
-外部存储：可以为所有保存/重播/地图/模组/等选择一个文件夹（过去版本的游戏默认设置，对模组制作者有用，因为它可以被其他应用程序看到）。\n\
-内部应用程序存储：不需要权限，但这些文件会在应用程序卸载时被操作系统删除，任何其他应用程序都无法看到。\n\
(建议使用外部存储)</t>
  </si>
  <si>
    <t>heavy_hover_tank.png</t>
  </si>
  <si>
    <t>重型气垫坦克图</t>
  </si>
  <si>
    <t>运输机</t>
  </si>
  <si>
    <t>menus.mods.androidStorageSetupInternal</t>
  </si>
  <si>
    <t>使用内部（卸载时删除）</t>
  </si>
  <si>
    <t>heavy_hover_tank_dead.png</t>
  </si>
  <si>
    <t>重型气垫坦克死亡图</t>
  </si>
  <si>
    <t>两栖战机</t>
  </si>
  <si>
    <t>amphibiousjet</t>
  </si>
  <si>
    <t>menus.mods.androidStorageSetupExternal</t>
  </si>
  <si>
    <t>使用外部文件夹</t>
  </si>
  <si>
    <t>heavy_hover_tank_shadow.png</t>
  </si>
  <si>
    <t>重型气垫坦克阴影图</t>
  </si>
  <si>
    <t>menus.mods.androidStorageSetupInternalWarning</t>
  </si>
  <si>
    <t>使用内部存储。 注意：您将无法看到过去游戏版本中的任何旧存档/重播/地图/模组/等。 您可以随时在设置中更改此设置。</t>
  </si>
  <si>
    <t>heavy_tank.png</t>
  </si>
  <si>
    <t>重型坦克图</t>
  </si>
  <si>
    <t>menus.storage.notSetupInfo</t>
  </si>
  <si>
    <t>存储路径还未设置! 请转到游戏设置进行配置.</t>
  </si>
  <si>
    <t>&lt;集索引(stripIndex)填pojectiles时&gt;
0：黑色抛射体帧
1：棕色抛射体帧
2：中等火焰帧
3：大火焰帧
4：小导弹帧
5：黄色抛射体帧
6：绿色抛射体帧
7：红色抛射体帧
8：大离子抛射体帧
9：大型火抛射体帧
10：大导弹帧
11：小离子抛射体帧</t>
  </si>
  <si>
    <t>&lt;集索引(stripIndex)填projectiles2时&gt;
0：白色粗大离子矛弹
1：黄色粗大离子矛弹
2：白色中等离子矛弹
3：黄色中等离子矛弹
4：白色较细离子矛弹
5：白色较细离子矛弹
6：[空]
7：[空]
8：[空]
9：[空]
10：[空]
11：[空]</t>
  </si>
  <si>
    <t>heavy_tank_dead.png</t>
  </si>
  <si>
    <t>重型坦克死亡图</t>
  </si>
  <si>
    <t>激光战机</t>
  </si>
  <si>
    <t>menus.storage.noExternalRead</t>
  </si>
  <si>
    <t>注意: 当前为仅使用游戏内部存储. 可以到设置里变更存储方式.</t>
  </si>
  <si>
    <t>heavy_tank_turret.png</t>
  </si>
  <si>
    <t>重型坦克炮塔图</t>
  </si>
  <si>
    <t>间谍无人机</t>
  </si>
  <si>
    <t>spyDrone</t>
  </si>
  <si>
    <t>menus.externalStorage.button</t>
  </si>
  <si>
    <t>设置外部文件夹</t>
  </si>
  <si>
    <t>helicopter.png</t>
  </si>
  <si>
    <t>直升机图</t>
  </si>
  <si>
    <t>&lt;制造者&gt;海军工厂</t>
  </si>
  <si>
    <t>menus.externalStorage.inactive</t>
  </si>
  <si>
    <t>没有外部文件夹设置。</t>
  </si>
  <si>
    <t>helicopter_blades.png</t>
  </si>
  <si>
    <t>直升机螺旋桨图</t>
  </si>
  <si>
    <t>机枪艇</t>
  </si>
  <si>
    <t>menus.externalStorage.active</t>
  </si>
  <si>
    <t>外部文件夹：</t>
  </si>
  <si>
    <t>helicopter_dead.png</t>
  </si>
  <si>
    <t>直升机死亡图</t>
  </si>
  <si>
    <t>menus.externalStorage.failed</t>
  </si>
  <si>
    <t>无法读取文件夹：</t>
  </si>
  <si>
    <t>helicopter_shadow.png</t>
  </si>
  <si>
    <t>直升机炮塔图</t>
  </si>
  <si>
    <t>运输艇</t>
  </si>
  <si>
    <t>menus.externalStorage.legacy</t>
  </si>
  <si>
    <t>外部：旧版直接文件访问</t>
  </si>
  <si>
    <t>helicopter_shadow_blades.png</t>
  </si>
  <si>
    <t>直升机螺旋桨阴影图</t>
  </si>
  <si>
    <t>导弹舰</t>
  </si>
  <si>
    <t>missileship</t>
  </si>
  <si>
    <t>menus.externalStorage.legacyWarning</t>
  </si>
  <si>
    <t>在 Android 11 或更高版本中会出现问题！</t>
  </si>
  <si>
    <t>help1.png</t>
  </si>
  <si>
    <t>帮助1图</t>
  </si>
  <si>
    <t>潜水艇</t>
  </si>
  <si>
    <t>menus.externalStorage.disabled</t>
  </si>
  <si>
    <t>外部访问被禁用！</t>
  </si>
  <si>
    <t>help2.png</t>
  </si>
  <si>
    <t>帮助2图</t>
  </si>
  <si>
    <t>战列舰</t>
  </si>
  <si>
    <t>menus.externalStorage.internalNote</t>
  </si>
  <si>
    <t>注意：内部存储不需要权限，但在卸载时会被删除，其他应用无法看到。</t>
  </si>
  <si>
    <t>help3.png</t>
  </si>
  <si>
    <t>帮助3图</t>
  </si>
  <si>
    <t>&lt;制造者&gt;二级海军工厂</t>
  </si>
  <si>
    <t>menus.externalStorage.confirm.title</t>
  </si>
  <si>
    <t>外部文件夹设置</t>
  </si>
  <si>
    <t>help4.png</t>
  </si>
  <si>
    <t>帮助4图</t>
  </si>
  <si>
    <t>menus.externalStorage.confirm.createNew</t>
  </si>
  <si>
    <t>新建文件夹</t>
  </si>
  <si>
    <t>hover_tank.png</t>
  </si>
  <si>
    <t>悬浮坦克图</t>
  </si>
  <si>
    <t>menus.externalStorage.confirm.useThis</t>
  </si>
  <si>
    <t>使用这个文件夹</t>
  </si>
  <si>
    <t>hover_tank_dead.png</t>
  </si>
  <si>
    <t>悬浮坦克死亡图</t>
  </si>
  <si>
    <t>重型导弹舰</t>
  </si>
  <si>
    <t>menus.battleroom.sectionHeader.game</t>
  </si>
  <si>
    <t>&lt;&lt; 游戏 &gt;&gt;</t>
  </si>
  <si>
    <t>效果节([effect_&lt;string&gt;])集索引(stripIndex)里的可填值(此处省略.png，不要填写)</t>
  </si>
  <si>
    <t>hover,_tank_shadow.png</t>
  </si>
  <si>
    <t>悬浮坦克阴影图</t>
  </si>
  <si>
    <t>menus.battleroom.sectionHeader.playerList</t>
  </si>
  <si>
    <t>&lt;&lt; 玩家列表 &gt;&gt;</t>
  </si>
  <si>
    <t>effects：效果集(21帧可用，共30帧)(通用效果图集)
effects2：效果集二(共18帧)(地图标记效果图集)
effects3：效果集三(3帧可用，共5帧)(路径点效果图集)
projectiles：抛射体集(共12帧)(通用抛射体图集)
projectiles2：抛射体集2(前6帧可用，大约12帧)(粒子抛射体图集)
explode_big：爆炸效果动画(共14帧)
explode_big2：爆炸效果动画2(共14帧)
light_50：闪光50贴图(长宽50像素)
flame：开火图火焰动画(共5帧)
dust：灰尘贴图(共4帧)
smoke_white：白烟(共2帧)
smoke_black：黑烟(共2帧)
shockwave：冲击波
fire：火焰图
lava_bubble：岩浆冒泡(共16帧)
plasma_shot：等离子开火动画(共5帧)(蓝色的开火图火焰动画)
shockwave2：冲击波2
shockwave_large：大冲击波
explode_bits：爆炸碎片(共10帧)
explode_bits_bug：虫爆炸碎片(共7帧)</t>
  </si>
  <si>
    <t>hovercraft.png</t>
  </si>
  <si>
    <t>登陆艇图</t>
  </si>
  <si>
    <t>鹦鹉螺潜水状态</t>
  </si>
  <si>
    <t>menus.battleroom.sectionHeader.chat</t>
  </si>
  <si>
    <t>&lt;&lt; 聊天 &gt;&gt;</t>
  </si>
  <si>
    <t>hovercraft_dead.png</t>
  </si>
  <si>
    <t>登陆艇死亡图</t>
  </si>
  <si>
    <t>menus.battleroom.heading.name</t>
  </si>
  <si>
    <t>hovercraft_shadow.png</t>
  </si>
  <si>
    <t>登陆艇阴影图</t>
  </si>
  <si>
    <t>AA重型防空舰</t>
  </si>
  <si>
    <t>heavyAAShip</t>
  </si>
  <si>
    <t>menus.battleroom.heading.spawnPoint</t>
  </si>
  <si>
    <t>出生点</t>
  </si>
  <si>
    <t>icon.png</t>
  </si>
  <si>
    <t>图标图</t>
  </si>
  <si>
    <t>&lt;制造者&gt;实验工厂</t>
  </si>
  <si>
    <t>menus.battleroom.heading.team</t>
  </si>
  <si>
    <t>icon_back_round.png</t>
  </si>
  <si>
    <t>圆角图标背景图</t>
  </si>
  <si>
    <t>火蜂战机</t>
  </si>
  <si>
    <t>menus.battleroom.heading.ping</t>
  </si>
  <si>
    <t>延迟</t>
  </si>
  <si>
    <t>icon_rally.png</t>
  </si>
  <si>
    <t>集结图标图</t>
  </si>
  <si>
    <t>概念坦克</t>
  </si>
  <si>
    <t>menus.battleroom.button.startGame</t>
  </si>
  <si>
    <t>开始游戏</t>
  </si>
  <si>
    <t>icon_save.png</t>
  </si>
  <si>
    <t>保存图标图</t>
  </si>
  <si>
    <t>概念悬浮坦克</t>
  </si>
  <si>
    <t>menus.battleroom.button.sendChat</t>
  </si>
  <si>
    <t>发送</t>
  </si>
  <si>
    <t>icon_search.png</t>
  </si>
  <si>
    <t>搜索图标图</t>
  </si>
  <si>
    <t>飞行堡垒</t>
  </si>
  <si>
    <t>menus.battleroom.button.ready</t>
  </si>
  <si>
    <t>就绪</t>
  </si>
  <si>
    <t>升级图标图</t>
  </si>
  <si>
    <t>实验型战斗蜘蛛</t>
  </si>
  <si>
    <t>menus.battleroom.button.changeTeam</t>
  </si>
  <si>
    <t>更换位置</t>
  </si>
  <si>
    <t>icon_window.png</t>
  </si>
  <si>
    <t>电脑图标图</t>
  </si>
  <si>
    <t>&lt;类型&gt;建筑</t>
  </si>
  <si>
    <t>menus.battleroom.button.gameOptions</t>
  </si>
  <si>
    <t>游戏选项</t>
  </si>
  <si>
    <t>icon_window16.png</t>
  </si>
  <si>
    <t>电脑图标16图(长宽16像素)</t>
  </si>
  <si>
    <t>menus.battleroom.button.addAI</t>
  </si>
  <si>
    <t>添加人机</t>
  </si>
  <si>
    <t>icon_window24.png</t>
  </si>
  <si>
    <t>电脑图标24图(长宽24像素)</t>
  </si>
  <si>
    <t>menus.battleroom.button.startBluetooth</t>
  </si>
  <si>
    <t>创建蓝牙房间</t>
  </si>
  <si>
    <t>icon_window128.png</t>
  </si>
  <si>
    <t>电脑图标128图(长宽128像素)</t>
  </si>
  <si>
    <t>二级资源提取器</t>
  </si>
  <si>
    <t>menus.battleroom.button.stopBluetooth</t>
  </si>
  <si>
    <t>关闭蓝牙</t>
  </si>
  <si>
    <t>icon2.png</t>
  </si>
  <si>
    <t>图标2图</t>
  </si>
  <si>
    <t>三级资源提取器</t>
  </si>
  <si>
    <t>menus.battleroom.button.joinBluetooth</t>
  </si>
  <si>
    <t>连接蓝牙</t>
  </si>
  <si>
    <t>ladybug.png</t>
  </si>
  <si>
    <t>瓢虫图</t>
  </si>
  <si>
    <t>资源提取器守护模式</t>
  </si>
  <si>
    <t>menus.battleroom.message.bluetoothReady</t>
  </si>
  <si>
    <t>蓝牙准备就绪</t>
  </si>
  <si>
    <t>land_factory.png</t>
  </si>
  <si>
    <t>陆军工厂图</t>
  </si>
  <si>
    <t>资源提取器超频模式</t>
  </si>
  <si>
    <t>menus.battleroom.playerpopup.apply</t>
  </si>
  <si>
    <t>应用</t>
  </si>
  <si>
    <t>land_factory_back.png</t>
  </si>
  <si>
    <t>陆军工厂背景图</t>
  </si>
  <si>
    <t>资源建造仪</t>
  </si>
  <si>
    <t>menus.battleroom.playerpopup.kick</t>
  </si>
  <si>
    <t>踢出</t>
  </si>
  <si>
    <t>land_factory_dead.png</t>
  </si>
  <si>
    <t>陆军工厂死亡图</t>
  </si>
  <si>
    <t>二级资源建造仪</t>
  </si>
  <si>
    <t>menus.battleroom.playerpopup.give</t>
  </si>
  <si>
    <t>给予权限</t>
  </si>
  <si>
    <t>land_factory_front.png</t>
  </si>
  <si>
    <t>陆军工厂工厂框架图</t>
  </si>
  <si>
    <t>三级资源建造仪</t>
  </si>
  <si>
    <t>menus.battleroom.playerpopup.cancel</t>
  </si>
  <si>
    <t>land_factory_front_t2.png</t>
  </si>
  <si>
    <t>陆军工厂T2工厂框架图</t>
  </si>
  <si>
    <t>二级机枪塔</t>
  </si>
  <si>
    <t>menus.battleroom.gameoptions.fogMode</t>
  </si>
  <si>
    <t>迷雾模式:</t>
  </si>
  <si>
    <t>large_gunship.png</t>
  </si>
  <si>
    <t>大型武装直升机图</t>
  </si>
  <si>
    <t>三级机枪塔</t>
  </si>
  <si>
    <t>menus.battleroom.gameoptions.startRevealed</t>
  </si>
  <si>
    <t>开始时显示地图</t>
  </si>
  <si>
    <t>large_gunship_shadow.png</t>
  </si>
  <si>
    <t>大型武装直升机阴影图</t>
  </si>
  <si>
    <t>喷火塔</t>
  </si>
  <si>
    <t>menus.battleroom.gameoptions.startingCredits</t>
  </si>
  <si>
    <t>初始资金:</t>
  </si>
  <si>
    <t>laser_defence.png</t>
  </si>
  <si>
    <t>激光拦截仪图(共2帧)</t>
  </si>
  <si>
    <t>火炮塔</t>
  </si>
  <si>
    <t>menus.battleroom.gameoptions.startingUnits</t>
  </si>
  <si>
    <t>初始单位:</t>
  </si>
  <si>
    <t>laser_defence_dead.png</t>
  </si>
  <si>
    <t>激光拦截仪死亡图</t>
  </si>
  <si>
    <t>二级火炮塔</t>
  </si>
  <si>
    <t>menus.battleroom.gameoptions.doubleIncome</t>
  </si>
  <si>
    <t>双倍收入</t>
  </si>
  <si>
    <t>laser_defence_t2.png</t>
  </si>
  <si>
    <t>激光拦截仪T2图(共2帧)</t>
  </si>
  <si>
    <t>电塔</t>
  </si>
  <si>
    <t>menus.battleroom.gameoptions.incomeMultiplier</t>
  </si>
  <si>
    <t>收入倍速</t>
  </si>
  <si>
    <t>laser_tank_base.png</t>
  </si>
  <si>
    <t>激光坦克主体图</t>
  </si>
  <si>
    <t>二级电塔</t>
  </si>
  <si>
    <t>c_turret_t2_lightnin</t>
  </si>
  <si>
    <t>menus.battleroom.gameoptions.noNukes</t>
  </si>
  <si>
    <t>laser_tank_charge.png</t>
  </si>
  <si>
    <t>激光坦克充能闪光图</t>
  </si>
  <si>
    <t>防空塔</t>
  </si>
  <si>
    <t>menus.battleroom.gameoptions.aiDifficulty</t>
  </si>
  <si>
    <t>laser_tank_dead.png</t>
  </si>
  <si>
    <t>激光坦克死亡图</t>
  </si>
  <si>
    <t>二级防空塔</t>
  </si>
  <si>
    <t>menus.battleroom.gameoptions.sharedControl</t>
  </si>
  <si>
    <t>分享控制权 (盟友之间)</t>
  </si>
  <si>
    <t>laser_tank_turrent.png</t>
  </si>
  <si>
    <t>激光坦克炮塔图</t>
  </si>
  <si>
    <t>三级防空塔</t>
  </si>
  <si>
    <t>menus.battleroom.gameoptions.setTeamLayout</t>
  </si>
  <si>
    <t>充能闪光图</t>
  </si>
  <si>
    <t>高射炮</t>
  </si>
  <si>
    <t>menus.battleroom.gameoptions.playerOverrides</t>
  </si>
  <si>
    <t>覆盖</t>
  </si>
  <si>
    <t>lock_icon_menu.png</t>
  </si>
  <si>
    <t>彩蛋锁定图标图</t>
  </si>
  <si>
    <t>menus.battleroom.gameoptions.playerColor</t>
  </si>
  <si>
    <t>玩家颜色:</t>
  </si>
  <si>
    <t>logo.png</t>
  </si>
  <si>
    <t>标志图</t>
  </si>
  <si>
    <t>激光防御塔</t>
  </si>
  <si>
    <t>menus.battleroom.gameoptions.apply</t>
  </si>
  <si>
    <t>mammoth_tank.png</t>
  </si>
  <si>
    <t>猛犸坦克图</t>
  </si>
  <si>
    <t>视野塔</t>
  </si>
  <si>
    <t>menus.battleroom.gameoptions.cancel</t>
  </si>
  <si>
    <t>mammoth_tank_dead.png</t>
  </si>
  <si>
    <t>猛犸坦克死亡图</t>
  </si>
  <si>
    <t>二级视野塔</t>
  </si>
  <si>
    <t>menus.lobby.button.hostNewGame</t>
  </si>
  <si>
    <t>创建房间</t>
  </si>
  <si>
    <t>会核爆的实验室</t>
  </si>
  <si>
    <t>menus.lobby.button.joinGame</t>
  </si>
  <si>
    <t>加入</t>
  </si>
  <si>
    <t>mega_tank.png</t>
  </si>
  <si>
    <t>巨型坦克图</t>
  </si>
  <si>
    <t>menus.lobby.button.refresh</t>
  </si>
  <si>
    <t>刷新</t>
  </si>
  <si>
    <t>mega_tank_dead.png</t>
  </si>
  <si>
    <t>巨型坦克死亡图</t>
  </si>
  <si>
    <t>反核</t>
  </si>
  <si>
    <t>menus.lobby.button.refreshing</t>
  </si>
  <si>
    <t>刷新中...</t>
  </si>
  <si>
    <t>水晶</t>
  </si>
  <si>
    <t>menus.lobby.activeGamesHeader</t>
  </si>
  <si>
    <t>&lt;&lt; 服务器列表 &gt;&gt;</t>
  </si>
  <si>
    <t>menu.png</t>
  </si>
  <si>
    <t>菜单按钮图</t>
  </si>
  <si>
    <t>中型水晶</t>
  </si>
  <si>
    <t>menus.lobby.hostHeader</t>
  </si>
  <si>
    <t>&lt;&lt; 主机 &gt;&gt;</t>
  </si>
  <si>
    <t>metal.png</t>
  </si>
  <si>
    <t>金属背景图</t>
  </si>
  <si>
    <t>钱箱</t>
  </si>
  <si>
    <t>menus.lobby.directJoinHeader</t>
  </si>
  <si>
    <t>&lt;&lt; 直接加入 &gt;&gt;</t>
  </si>
  <si>
    <t>metal_dark.png</t>
  </si>
  <si>
    <t>暗金属背景图</t>
  </si>
  <si>
    <t>&lt;制造者&gt;虫族虫巢</t>
  </si>
  <si>
    <t>menus.lobby.joinGameHint</t>
  </si>
  <si>
    <t>-请输入IP地址-</t>
  </si>
  <si>
    <t>noise.png</t>
  </si>
  <si>
    <t>云彩阴影图</t>
  </si>
  <si>
    <t>建造虫</t>
  </si>
  <si>
    <t>menus.lobby.usernameLabel</t>
  </si>
  <si>
    <t>用户名:</t>
  </si>
  <si>
    <t>noise3.png</t>
  </si>
  <si>
    <t>云彩阴影3图</t>
  </si>
  <si>
    <t>menus.lobby.listheading.state</t>
  </si>
  <si>
    <t>状态</t>
  </si>
  <si>
    <t>nuke_launcher.png</t>
  </si>
  <si>
    <t>核弹发射器图</t>
  </si>
  <si>
    <t>噬咬虫</t>
  </si>
  <si>
    <t>menus.lobby.listheading.host</t>
  </si>
  <si>
    <t>玩家昵称</t>
  </si>
  <si>
    <t>nuke_launcher_dead.png</t>
  </si>
  <si>
    <t>核弹发射器死亡图</t>
  </si>
  <si>
    <t>飞行虫</t>
  </si>
  <si>
    <t>menus.lobby.listheading.playerCount</t>
  </si>
  <si>
    <t>人数</t>
  </si>
  <si>
    <t>nuke_launcher2.png</t>
  </si>
  <si>
    <t>核弹发射器2图</t>
  </si>
  <si>
    <t>运输虫(两格)</t>
  </si>
  <si>
    <t>menus.lobby.listheading.map</t>
  </si>
  <si>
    <t>palm_leaves.png</t>
  </si>
  <si>
    <t>棕榈叶图(共3帧)</t>
  </si>
  <si>
    <t>爆炸虫</t>
  </si>
  <si>
    <t>menus.lobby.listheading.version</t>
  </si>
  <si>
    <t>版本</t>
  </si>
  <si>
    <t>palm_tree.png</t>
  </si>
  <si>
    <t>棕榈树图(共5帧)</t>
  </si>
  <si>
    <t>远程虫</t>
  </si>
  <si>
    <t>menus.lobby.listheading.ping</t>
  </si>
  <si>
    <t>pause.png</t>
  </si>
  <si>
    <t>设置图</t>
  </si>
  <si>
    <t>二级远程虫</t>
  </si>
  <si>
    <t>menus.lobby.listheading.open</t>
  </si>
  <si>
    <t>开放</t>
  </si>
  <si>
    <t>pointer.png</t>
  </si>
  <si>
    <t>鼠标图</t>
  </si>
  <si>
    <t>&lt;制造者&gt;虫族建筑</t>
  </si>
  <si>
    <t>menus.lobby.gameState.battleroom</t>
  </si>
  <si>
    <t>战役室</t>
  </si>
  <si>
    <t>power.png</t>
  </si>
  <si>
    <t>资源制造仪图(共3帧)</t>
  </si>
  <si>
    <t>虫族炮台</t>
  </si>
  <si>
    <t>menus.lobby.gameState.ingame</t>
  </si>
  <si>
    <t>游戏中</t>
  </si>
  <si>
    <t>power_dead.png</t>
  </si>
  <si>
    <t>资源制造仪死亡图</t>
  </si>
  <si>
    <t>虫族一级矿</t>
  </si>
  <si>
    <t>menus.lobby.gameState.chat</t>
  </si>
  <si>
    <t>power_t2.png</t>
  </si>
  <si>
    <t>资源制造仪T2图(共3帧)</t>
  </si>
  <si>
    <t>虫族二级矿</t>
  </si>
  <si>
    <t>menus.hostgame.info</t>
  </si>
  <si>
    <t>这里有一些创建多人游戏房间的常用方法:\n-所有设备在同一局域网下\n-一个设备开启WiFi热点让其他人加入\n-通过互联网(房主多半需要设置端口转发)\n-加入官方服务器</t>
  </si>
  <si>
    <t>power_t3.png</t>
  </si>
  <si>
    <t>资源制造仪T3图(共3帧)</t>
  </si>
  <si>
    <t>虫族资源建造茧</t>
  </si>
  <si>
    <t>menus.hostgame.info_pc</t>
  </si>
  <si>
    <t>这里有一些创建多人游戏房间的常用方法:\n-所有设备在同一局域网下\n-通过互联网(房主多半需要设置端口转发)\n-Steam 好友邀请\n-加入官方服务器</t>
  </si>
  <si>
    <t>projectiles_large.png</t>
  </si>
  <si>
    <t>大抛射体图集(3帧可用,共4帧)</t>
  </si>
  <si>
    <t>menus.hostgame.publicCheckbox</t>
  </si>
  <si>
    <t>公开显示房间</t>
  </si>
  <si>
    <t>queenbug.png</t>
  </si>
  <si>
    <t>虫后图</t>
  </si>
  <si>
    <t>&lt;类&gt;虫族隐藏单位</t>
  </si>
  <si>
    <t>menus.hostgame.passwordLabel</t>
  </si>
  <si>
    <t>密码：</t>
  </si>
  <si>
    <t>repair_bay.png</t>
  </si>
  <si>
    <t>修复湾图</t>
  </si>
  <si>
    <t>menus.hostgame.modsLabel</t>
  </si>
  <si>
    <t>启用Mod</t>
  </si>
  <si>
    <t>repair_bay_dead.png</t>
  </si>
  <si>
    <t>修复湾死亡图</t>
  </si>
  <si>
    <t>幼小啃噬虫</t>
  </si>
  <si>
    <t>menus.hostgame.startButton</t>
  </si>
  <si>
    <t>replay_leaderboard.png</t>
  </si>
  <si>
    <t>重播排行榜图</t>
  </si>
  <si>
    <t>巨型啃噬虫</t>
  </si>
  <si>
    <t>menus.hostgame.startButtonPublic</t>
  </si>
  <si>
    <t>创建公开房间</t>
  </si>
  <si>
    <t>replay_pause.png</t>
  </si>
  <si>
    <t>重播暂停图</t>
  </si>
  <si>
    <t>近战虫王</t>
  </si>
  <si>
    <t>menus.hostgame.startButtonPrivate</t>
  </si>
  <si>
    <t>创建私人房间</t>
  </si>
  <si>
    <t>rounded_dark_box.png</t>
  </si>
  <si>
    <t>暗色圆角盒子图</t>
  </si>
  <si>
    <t>资源建造虫幼体</t>
  </si>
  <si>
    <t>menus.hostgame.cancelButton</t>
  </si>
  <si>
    <t>rounded_dark_box_titled.png</t>
  </si>
  <si>
    <t>暗色圆角盒子图标图</t>
  </si>
  <si>
    <t>资源建造虫成体</t>
  </si>
  <si>
    <t>gui.unselectall</t>
  </si>
  <si>
    <t>取消选择全部</t>
  </si>
  <si>
    <t>rounded_glow_button.png</t>
  </si>
  <si>
    <t>圆角发光按钮图</t>
  </si>
  <si>
    <t>&lt;类&gt;铁锈隐藏单位</t>
  </si>
  <si>
    <t>gui.notAvailableInDemoText</t>
  </si>
  <si>
    <t>-试玩版不支持-</t>
  </si>
  <si>
    <t>rounded_glow_highlight_button.png</t>
  </si>
  <si>
    <t>圆角发光高亮按钮图</t>
  </si>
  <si>
    <t>机械螃蟹</t>
  </si>
  <si>
    <t>gui.common.allyUnit</t>
  </si>
  <si>
    <t>盟友单位</t>
  </si>
  <si>
    <t>rounded_green.png</t>
  </si>
  <si>
    <t>绿色圆角图</t>
  </si>
  <si>
    <t>水中的机械螃蟹</t>
  </si>
  <si>
    <t>gui.common.enemyUnit</t>
  </si>
  <si>
    <t>敌方单位</t>
  </si>
  <si>
    <t>rounded_shadow.png</t>
  </si>
  <si>
    <t>圆角阴影图</t>
  </si>
  <si>
    <t>超级坦克</t>
  </si>
  <si>
    <t>gui.common.neutralUnit</t>
  </si>
  <si>
    <t>中立单位</t>
  </si>
  <si>
    <t>rounded_white_button.png</t>
  </si>
  <si>
    <t>圆角白色按钮图</t>
  </si>
  <si>
    <t>gui.infoText.ownedBy</t>
  </si>
  <si>
    <t>拥有者</t>
  </si>
  <si>
    <t>scorch_mark.png</t>
  </si>
  <si>
    <t>爆炸焦痕图(共4帧)</t>
  </si>
  <si>
    <t>悬浮基地</t>
  </si>
  <si>
    <t>gui.infoText.unitCapReached</t>
  </si>
  <si>
    <t>单位到达上限</t>
  </si>
  <si>
    <t>scorch_mark_nuke.png</t>
  </si>
  <si>
    <t>核弹爆炸焦痕图</t>
  </si>
  <si>
    <t>悬浮基地固定状态</t>
  </si>
  <si>
    <t>gui.rategame.text</t>
  </si>
  <si>
    <t>你想评价本游戏吗？</t>
  </si>
  <si>
    <t>scout_ship.png</t>
  </si>
  <si>
    <t>导弹舰图</t>
  </si>
  <si>
    <t>飞行机甲</t>
  </si>
  <si>
    <t>gui.rategame.yes</t>
  </si>
  <si>
    <t>是的!</t>
  </si>
  <si>
    <t>scout_ship_dead.png</t>
  </si>
  <si>
    <t>导弹舰死亡图</t>
  </si>
  <si>
    <t>飞机甲着陆状态</t>
  </si>
  <si>
    <t>gui.rategame.no</t>
  </si>
  <si>
    <t>不再显示</t>
  </si>
  <si>
    <t>sea_factory.png</t>
  </si>
  <si>
    <t>海军工厂图</t>
  </si>
  <si>
    <t>城墙</t>
  </si>
  <si>
    <t>gui.actions.patrol</t>
  </si>
  <si>
    <t>设置巡逻区</t>
  </si>
  <si>
    <t>sea_factory_dead.png</t>
  </si>
  <si>
    <t>海军工厂死亡图</t>
  </si>
  <si>
    <t>gui.actions.patrol.description</t>
  </si>
  <si>
    <t>在点与点之间巡逻或防守单点，在返回之前会攻击附近的任何单位。</t>
  </si>
  <si>
    <t>sea_factory_t2.png</t>
  </si>
  <si>
    <t>T2海军工厂图</t>
  </si>
  <si>
    <t>gui.actions.guardUnit</t>
  </si>
  <si>
    <t>保护单位</t>
  </si>
  <si>
    <t>shield_mid.png</t>
  </si>
  <si>
    <t>通用护盾图</t>
  </si>
  <si>
    <t>永恒之火</t>
  </si>
  <si>
    <t>gui.actions.guardUnit.description</t>
  </si>
  <si>
    <t>守卫一个单位. 将会跟随目标单位并保护它、修复它并帮助它完成建筑工作。</t>
  </si>
  <si>
    <t>ship.png</t>
  </si>
  <si>
    <t>拦截机图</t>
  </si>
  <si>
    <t>信号烟</t>
  </si>
  <si>
    <t>第一关空降移动炮塔的玩意儿</t>
  </si>
  <si>
    <t>gui.actions.setRally</t>
  </si>
  <si>
    <t>ship_dead.png</t>
  </si>
  <si>
    <t>拦截机死亡图</t>
  </si>
  <si>
    <t>注：在老版核弹落地时扩视野用，但现在仍有其它用途。</t>
  </si>
  <si>
    <t>gui.actions.setRally.description</t>
  </si>
  <si>
    <t>设置单位在创建后将会移动到的集结点</t>
  </si>
  <si>
    <t>ship_scout_turret.png</t>
  </si>
  <si>
    <t>机枪炮塔T1炮塔图</t>
  </si>
  <si>
    <t>当单位数据丢失时就会出现</t>
  </si>
  <si>
    <t>gui.actions.reclaimTarget</t>
  </si>
  <si>
    <t>ship_shadow.png</t>
  </si>
  <si>
    <t>船阴影图</t>
  </si>
  <si>
    <t>注：一个白色的圈圈，这将是红圈的下一个缩圈阶段</t>
  </si>
  <si>
    <t>gui.actions.reclaimTarget.description</t>
  </si>
  <si>
    <t>[[选择要回收的单位]] [[仅限同队的单位]] [[只退还75%的资金]]</t>
  </si>
  <si>
    <t>shockwave2.png</t>
  </si>
  <si>
    <t>冲击波2图</t>
  </si>
  <si>
    <t>注：可以对所有在毒区外的单位造成伤害</t>
  </si>
  <si>
    <t>gui.actions.reclaimBuildingTarget</t>
  </si>
  <si>
    <t>small_trees.png</t>
  </si>
  <si>
    <t>小树图(共5帧)</t>
  </si>
  <si>
    <t>注：铁锈最强单位，没有之一！</t>
  </si>
  <si>
    <t>gui.actions.reclaimBuildingTarget.description</t>
  </si>
  <si>
    <t>[[选择要回收的建筑]] [[仅限同队的单位]] [[只退还75%的资金]]</t>
  </si>
  <si>
    <t>smoke_black_small.png</t>
  </si>
  <si>
    <t>小型黑烟图(共2帧)</t>
  </si>
  <si>
    <t>注：用于Items层</t>
  </si>
  <si>
    <t>gui.actions.repairTarget</t>
  </si>
  <si>
    <t>修理</t>
  </si>
  <si>
    <t>smoke_white.png</t>
  </si>
  <si>
    <t>白烟图(共2帧)</t>
  </si>
  <si>
    <t>自定义坦克</t>
  </si>
  <si>
    <t>gui.actions.repairTarget.description</t>
  </si>
  <si>
    <t>选择要修理的单位</t>
  </si>
  <si>
    <t>stats_button_armyvalue.png</t>
  </si>
  <si>
    <t>统计单位数量按钮图</t>
  </si>
  <si>
    <t>阵营选择器</t>
  </si>
  <si>
    <t>注：选择虫族或者人类，但是阵营选择器是被禁止加载的。</t>
  </si>
  <si>
    <t>gui.actions.upgradeT2</t>
  </si>
  <si>
    <t>升级 - T2</t>
  </si>
  <si>
    <t>stats_button_buildingvalue.png</t>
  </si>
  <si>
    <t>统计建筑数量按钮图</t>
  </si>
  <si>
    <t>核弹发射器（老）</t>
  </si>
  <si>
    <t>nukeLaucher</t>
  </si>
  <si>
    <t>注：仅可被远古核弹拦截器拦截</t>
  </si>
  <si>
    <t>gui.actions.upgradeT3</t>
  </si>
  <si>
    <t>升级 - T3</t>
  </si>
  <si>
    <t>stats_button_income.png</t>
  </si>
  <si>
    <t>统计资金收入按钮图</t>
  </si>
  <si>
    <t>反核防御（老）</t>
  </si>
  <si>
    <t>antiNukeLaucher</t>
  </si>
  <si>
    <t>注：用来拦截远古核弹发射器发射的核弹</t>
  </si>
  <si>
    <t>gui.actions.upgradeToGunT2</t>
  </si>
  <si>
    <t>T2 - 机枪</t>
  </si>
  <si>
    <t>stats_button_info.png</t>
  </si>
  <si>
    <t>统计信息按钮图</t>
  </si>
  <si>
    <t>注：占地与回收速度较之前不同，可以设定这个水晶的队伍，并且可以被直接攻击到。</t>
  </si>
  <si>
    <t>gui.actions.upgradeToGunT3</t>
  </si>
  <si>
    <t>T3 - 重机枪</t>
  </si>
  <si>
    <t>stats_button_totalvalue.png</t>
  </si>
  <si>
    <t>统计总值按钮图</t>
  </si>
  <si>
    <t>队伍的伪装非单位</t>
  </si>
  <si>
    <t>dummyNonUnitWithTeam</t>
  </si>
  <si>
    <t>游戏作者专用的调试单位，回收有惊喜</t>
  </si>
  <si>
    <t>gui.actions.upgradeToArtillery</t>
  </si>
  <si>
    <t>stats_toggle_relative.png</t>
  </si>
  <si>
    <t>统计信息相对切换图</t>
  </si>
  <si>
    <t>迷雾清除</t>
  </si>
  <si>
    <t>Units层Items放置均有效</t>
  </si>
  <si>
    <t>gui.actions.upgradeToArtilleryT2</t>
  </si>
  <si>
    <t>T2 - 火炮</t>
  </si>
  <si>
    <t>stats_toggle_teams.png</t>
  </si>
  <si>
    <t>统计切换队伍图</t>
  </si>
  <si>
    <t>&lt;类&gt;模块</t>
  </si>
  <si>
    <t>gui.actions.upgradeToFlamethrower</t>
  </si>
  <si>
    <t>喷火器</t>
  </si>
  <si>
    <t>supply_depot.png</t>
  </si>
  <si>
    <t>补给站图</t>
  </si>
  <si>
    <t>空模块</t>
  </si>
  <si>
    <t>gui.actions.upgradeToLightning</t>
  </si>
  <si>
    <t>闪电炮塔</t>
  </si>
  <si>
    <t>supply_depot_dead.png</t>
  </si>
  <si>
    <t>补给站死亡图</t>
  </si>
  <si>
    <t>反核模块</t>
  </si>
  <si>
    <t>gui.actions.upgradeToLightningT2</t>
  </si>
  <si>
    <t xml:space="preserve">T2 - 闪电炮塔 </t>
  </si>
  <si>
    <t>supply_depot_t2.png</t>
  </si>
  <si>
    <t>t2补给站图</t>
  </si>
  <si>
    <t>防空炮塔模块</t>
  </si>
  <si>
    <t>gui.actions.upgradeToLightningT2.description</t>
  </si>
  <si>
    <t>[[增加额外伤害,攻速,距离以及生命值]]</t>
  </si>
  <si>
    <t>tank1.png</t>
  </si>
  <si>
    <t>坦克1图</t>
  </si>
  <si>
    <t>防空炮塔模块T2</t>
  </si>
  <si>
    <t>gui.actions.upgradeToAAT2</t>
  </si>
  <si>
    <t>T2 - 萨姆导弹</t>
  </si>
  <si>
    <t>tank1_dead.png</t>
  </si>
  <si>
    <t>坦克1死亡图</t>
  </si>
  <si>
    <t>高射炮模块</t>
  </si>
  <si>
    <t>gui.actions.upgradeToAAT2.description</t>
  </si>
  <si>
    <t>增加生命值,攻击速度和射程</t>
  </si>
  <si>
    <t>tank1_turret.png</t>
  </si>
  <si>
    <t>坦克1炮塔图</t>
  </si>
  <si>
    <t>火炮模块</t>
  </si>
  <si>
    <t>gui.actions.upgradeToAAT3</t>
  </si>
  <si>
    <t>T3 - 萨姆导弹</t>
  </si>
  <si>
    <t>tank2.png</t>
  </si>
  <si>
    <t>坦克2图</t>
  </si>
  <si>
    <t>资源制造模块</t>
  </si>
  <si>
    <t>gui.actions.upgradeToAAT3.description</t>
  </si>
  <si>
    <t>tank2_dead.png</t>
  </si>
  <si>
    <t>坦克2死亡图</t>
  </si>
  <si>
    <t>资源制造模块T2</t>
  </si>
  <si>
    <t>gui.actions.upgradeToAAFlak</t>
  </si>
  <si>
    <t>T2 - 高射炮</t>
  </si>
  <si>
    <t>tank2_shadow.png</t>
  </si>
  <si>
    <t>坦克2阴影图</t>
  </si>
  <si>
    <t>机枪模块</t>
  </si>
  <si>
    <t>gui.actions.upgradeToAAFlak.description</t>
  </si>
  <si>
    <t>射程较近,但防御高并且有溅射伤害</t>
  </si>
  <si>
    <t>tank2_turret.png</t>
  </si>
  <si>
    <t>坦克2炮塔图</t>
  </si>
  <si>
    <t>机枪模块T2</t>
  </si>
  <si>
    <t>gui.actions.launchNuke</t>
  </si>
  <si>
    <t>发射核弹</t>
  </si>
  <si>
    <t>temp_workaround_bug_image.png</t>
  </si>
  <si>
    <t>旧版小坦炮塔图</t>
  </si>
  <si>
    <t>激光防御模块</t>
  </si>
  <si>
    <t>gui.actions.launchNuke.description</t>
  </si>
  <si>
    <t>选择发射目标</t>
  </si>
  <si>
    <t>title.png</t>
  </si>
  <si>
    <t>游戏图标图</t>
  </si>
  <si>
    <t>护盾增幅模块</t>
  </si>
  <si>
    <t>gui.actions.buildNuke</t>
  </si>
  <si>
    <t>建造核弹</t>
  </si>
  <si>
    <t>touch_indicator.png</t>
  </si>
  <si>
    <t>触摸指示图</t>
  </si>
  <si>
    <t>等离子炮模块</t>
  </si>
  <si>
    <t>gui.actions.buildNuke.description</t>
  </si>
  <si>
    <t>[[无限距离]] [[大范围强力打击]] [[最多存储4个]]</t>
  </si>
  <si>
    <t>trees.png</t>
  </si>
  <si>
    <t>树图(15帧可用,大约20帧)</t>
  </si>
  <si>
    <t>等离子炮模块T2</t>
  </si>
  <si>
    <t>gui.actions.buildAntiNuke</t>
  </si>
  <si>
    <t>建立反核装置</t>
  </si>
  <si>
    <t>trees_snow.png</t>
  </si>
  <si>
    <t>雪地树图(15帧可用,大约20帧)</t>
  </si>
  <si>
    <t>闪电炮塔模块</t>
  </si>
  <si>
    <t>gui.actions.buildAntiNuke.description</t>
  </si>
  <si>
    <t>[[自动拦截目标在反核装置周围的所有敌方核弹]] [[最多存储12个]]</t>
  </si>
  <si>
    <t>turret_base.png</t>
  </si>
  <si>
    <t>炮塔主体图</t>
  </si>
  <si>
    <t>速度增幅模块</t>
  </si>
  <si>
    <t>modularSpider_speed</t>
  </si>
  <si>
    <t>gui.actions.buildAntiNukeNautilus</t>
  </si>
  <si>
    <t>turret_base_dead.png</t>
  </si>
  <si>
    <t>炮塔主体死亡图</t>
  </si>
  <si>
    <t>传送模块</t>
  </si>
  <si>
    <t>modularSpider_blink</t>
  </si>
  <si>
    <t>gui.actions.buildAntiNukeNautilus.description</t>
  </si>
  <si>
    <t>[[自动拦截目标在反核装置周围的所有敌方核弹]] [[最多存储4个]] [[比普通的反核弹更昂贵]]</t>
  </si>
  <si>
    <t>turret_top.png</t>
  </si>
  <si>
    <t>顶层炮塔图</t>
  </si>
  <si>
    <t>gui.actions.antiNukeCount</t>
  </si>
  <si>
    <t>反核装置</t>
  </si>
  <si>
    <t>turret_top_artillery.png</t>
  </si>
  <si>
    <t>火炮炮塔图</t>
  </si>
  <si>
    <t>gui.actions.antiNukeCountEmpty</t>
  </si>
  <si>
    <t>没有反核武器</t>
  </si>
  <si>
    <t>turret_top_flame.png</t>
  </si>
  <si>
    <t>炮塔开火闪光图</t>
  </si>
  <si>
    <t>gui.actions.antiNukeCountOffline</t>
  </si>
  <si>
    <t>下线</t>
  </si>
  <si>
    <t>turret_top_l2.png</t>
  </si>
  <si>
    <t>机枪炮塔炮塔L2图</t>
  </si>
  <si>
    <t>gui.actions.antiNukeCount.description</t>
  </si>
  <si>
    <t>库存中的反核装置数量</t>
  </si>
  <si>
    <t>turret_top_l3.png</t>
  </si>
  <si>
    <t>机枪炮塔炮塔L3图</t>
  </si>
  <si>
    <t>gui.actions.antiNukeCount.descriptionEmpty</t>
  </si>
  <si>
    <t>[[没有反核武器储备]] [[建造反核武器，方可拦截核导弹]]</t>
  </si>
  <si>
    <t>unit_icon_air.png</t>
  </si>
  <si>
    <t>空军单位地图缩放图标图</t>
  </si>
  <si>
    <t>gui.actions.antiNukeCount.descriptionOffline</t>
  </si>
  <si>
    <t>[[反核武器已被禁用]] [[启用以使用反核防御]]</t>
  </si>
  <si>
    <t>unit_icon_builder.png</t>
  </si>
  <si>
    <t>建造者地图缩放图标图</t>
  </si>
  <si>
    <t>gui.actions.antiNukeCount.descriptionUnderwater</t>
  </si>
  <si>
    <t>[[反核武器已被禁用]] [[需要重新回到水面上]]</t>
  </si>
  <si>
    <t>unit_icon_building.png</t>
  </si>
  <si>
    <t>建筑地图缩放图标图</t>
  </si>
  <si>
    <t>gui.actions.nukesDisabled</t>
  </si>
  <si>
    <t>核弹已禁用</t>
  </si>
  <si>
    <t>unit_icon_building_air_turrent.png</t>
  </si>
  <si>
    <t>空中建筑建造中地图缩放图标图</t>
  </si>
  <si>
    <t>gui.actions.unload</t>
  </si>
  <si>
    <t>卸下单位</t>
  </si>
  <si>
    <t>unit_icon_building_turrent.png</t>
  </si>
  <si>
    <t>建筑建造中地图缩放图标图</t>
  </si>
  <si>
    <t>gui.actions.dive</t>
  </si>
  <si>
    <t>下潜</t>
  </si>
  <si>
    <t>unit_icon_hover.png</t>
  </si>
  <si>
    <t>两栖单位地图缩放图标图</t>
  </si>
  <si>
    <t>gui.actions.surface</t>
  </si>
  <si>
    <t>上浮</t>
  </si>
  <si>
    <t>unit_icon_land.png</t>
  </si>
  <si>
    <t>陆军单位地图缩放图标图</t>
  </si>
  <si>
    <t>gui.actions.fly</t>
  </si>
  <si>
    <t>飞行</t>
  </si>
  <si>
    <t>unit_icon_land_exp.png</t>
  </si>
  <si>
    <t>实验单位地图缩放图标图</t>
  </si>
  <si>
    <t>gui.actions.cancel</t>
  </si>
  <si>
    <t>unit_icon_underwater.png</t>
  </si>
  <si>
    <t>水下单位地图缩放图标图</t>
  </si>
  <si>
    <t>gui.actions.enabled</t>
  </si>
  <si>
    <t>unit_icon_water.png</t>
  </si>
  <si>
    <t>海军单位地图缩放图标图</t>
  </si>
  <si>
    <t>gui.actions.enabled.description</t>
  </si>
  <si>
    <t>当前已启用（单击以禁用）</t>
  </si>
  <si>
    <t>wall_b.png</t>
  </si>
  <si>
    <t>墙B图</t>
  </si>
  <si>
    <t>gui.actions.disabled</t>
  </si>
  <si>
    <t>已禁用</t>
  </si>
  <si>
    <t>wall_h.png</t>
  </si>
  <si>
    <t>墙H图</t>
  </si>
  <si>
    <t>gui.actions.disabled.description</t>
  </si>
  <si>
    <t>当前已禁用（单击以启用）</t>
  </si>
  <si>
    <t>wall_v.png</t>
  </si>
  <si>
    <t>墙V图</t>
  </si>
  <si>
    <t>gui.log.unitCreated</t>
  </si>
  <si>
    <t>单位已生产: %1$s (x%2$d)</t>
  </si>
  <si>
    <t>water_layer1.png</t>
  </si>
  <si>
    <t>水层1图</t>
  </si>
  <si>
    <t>gui.log.buildingConstructed</t>
  </si>
  <si>
    <t>建筑已建成: %1$s (x%2$d)</t>
  </si>
  <si>
    <t>water_layer2.png</t>
  </si>
  <si>
    <t>水层2图</t>
  </si>
  <si>
    <t>gui.log.upgradeCompleted</t>
  </si>
  <si>
    <t>升级已完成: %1$s (x%2$d)</t>
  </si>
  <si>
    <t>zoom_button.png</t>
  </si>
  <si>
    <t>地图缩放范围按钮图</t>
  </si>
  <si>
    <t>gui.log.unitDamaged</t>
  </si>
  <si>
    <t>我方单位受到伤害</t>
  </si>
  <si>
    <t>JPG图像文件</t>
  </si>
  <si>
    <t>gui.log.baseDamaged</t>
  </si>
  <si>
    <t>基地正在遭受攻击！</t>
  </si>
  <si>
    <t>water_cloud.jpg</t>
  </si>
  <si>
    <t>水云图</t>
  </si>
  <si>
    <t>gui.notEnoughResources</t>
  </si>
  <si>
    <t>没有足够的资源</t>
  </si>
  <si>
    <t>XML文件</t>
  </si>
  <si>
    <t>gui.needsMore</t>
  </si>
  <si>
    <t>需要更多</t>
  </si>
  <si>
    <t>backrepeat.xml</t>
  </si>
  <si>
    <t>后中继器</t>
  </si>
  <si>
    <t>gui.creditsResource</t>
  </si>
  <si>
    <t>btn_dropdown.xml</t>
  </si>
  <si>
    <t>按钮下拉</t>
  </si>
  <si>
    <t>gui.cannotPlace.general</t>
  </si>
  <si>
    <t>你不能在这里建造</t>
  </si>
  <si>
    <t>border_shadow.xml</t>
  </si>
  <si>
    <t>边框阴影</t>
  </si>
  <si>
    <t>gui.cannotPlace.needsResourcePool</t>
  </si>
  <si>
    <t>需要建在资源池上</t>
  </si>
  <si>
    <t>cell_shape.xml</t>
  </si>
  <si>
    <t>单元格形状</t>
  </si>
  <si>
    <t>gui.cannotPlace.needsWater</t>
  </si>
  <si>
    <t>需要建在水上</t>
  </si>
  <si>
    <t>custombutton.xml</t>
  </si>
  <si>
    <t>自定义按钮</t>
  </si>
  <si>
    <t>gui.leaderboard.type.none</t>
  </si>
  <si>
    <t>icon_round.xml</t>
  </si>
  <si>
    <t>周边图标</t>
  </si>
  <si>
    <t>gui.leaderboard.type.income</t>
  </si>
  <si>
    <t>资金数</t>
  </si>
  <si>
    <t>rounded_border.xml</t>
  </si>
  <si>
    <t>角边框</t>
  </si>
  <si>
    <t>gui.leaderboard.type.armyValue</t>
  </si>
  <si>
    <t>军队比值</t>
  </si>
  <si>
    <t>gui.leaderboard.type.buildingValue</t>
  </si>
  <si>
    <t>建筑比值</t>
  </si>
  <si>
    <t>gui.leaderboard.type.totalValue</t>
  </si>
  <si>
    <t>总的比值</t>
  </si>
  <si>
    <t>gui.leaderboard.type.credits</t>
  </si>
  <si>
    <t>当前的资金</t>
  </si>
  <si>
    <t>gui.leaderboard.grouping.player</t>
  </si>
  <si>
    <t>来自玩家</t>
  </si>
  <si>
    <t>gui.leaderboard.grouping.allyGroup</t>
  </si>
  <si>
    <t>来自队伍</t>
  </si>
  <si>
    <t>gui.actions.teamChat</t>
  </si>
  <si>
    <t>团队聊天</t>
  </si>
  <si>
    <t>gui.actions.mapPing</t>
  </si>
  <si>
    <t>地图指示</t>
  </si>
  <si>
    <t>network.kick.usernameTooLong</t>
  </si>
  <si>
    <t>你的游戏名太长</t>
  </si>
  <si>
    <t>network.kick.usernameTooShort</t>
  </si>
  <si>
    <t>你的游戏名太短</t>
  </si>
  <si>
    <t>network.kick.usernameRestricted</t>
  </si>
  <si>
    <t>你的游戏名违规，请换一个名字</t>
  </si>
  <si>
    <t>network.kick.clientOutOfDate</t>
  </si>
  <si>
    <t>你的游戏版本太久远了，更新一下吧</t>
  </si>
  <si>
    <t>network.kick.clientOutOfDateBeta</t>
  </si>
  <si>
    <t>服务器运行的是Beta测试版本，请更新到Beta版本以进行游戏</t>
  </si>
  <si>
    <t>network.kick.clientTooNew</t>
  </si>
  <si>
    <t>你的客户端版本高于服务端</t>
  </si>
  <si>
    <t>network.kick.unitDesync</t>
  </si>
  <si>
    <t>游戏无法同步，客户端的单位与服务端不同</t>
  </si>
  <si>
    <t>network.kick.clientDifferent</t>
  </si>
  <si>
    <t>你的'Rusted Warfare'与服务端不同，游戏将无法同步.</t>
  </si>
  <si>
    <t>network.kick.gameStarted</t>
  </si>
  <si>
    <t>你来晚了，游戏已开始</t>
  </si>
  <si>
    <t>network.kick.incorrectPassword</t>
  </si>
  <si>
    <t>密码错误</t>
  </si>
  <si>
    <t>network.kick.noFreeSlots</t>
  </si>
  <si>
    <t>服务器已满</t>
  </si>
  <si>
    <t>network.kick.kickedByHost</t>
  </si>
  <si>
    <t>你被请出了服务器</t>
  </si>
  <si>
    <t>network.action.ready</t>
  </si>
  <si>
    <t>所有玩家已准备完毕</t>
  </si>
  <si>
    <t>network.action.disconnect</t>
  </si>
  <si>
    <t>已断开连接</t>
  </si>
  <si>
    <t>network.action.sharingDisconnect</t>
  </si>
  <si>
    <t>该玩家离线，控制权已自动共享给队友</t>
  </si>
  <si>
    <t>maps.name.mission_1__-__dividing_river</t>
  </si>
  <si>
    <t>任务1 - 分水岭河</t>
  </si>
  <si>
    <t>maps.name.mission_2__-__icy_assault</t>
  </si>
  <si>
    <t>任务2 - 冰上突击</t>
  </si>
  <si>
    <t>maps.name.mission_3__-__crossfire</t>
  </si>
  <si>
    <t>任务3 - 交叉火力</t>
  </si>
  <si>
    <t>maps.name.mission_4__-__sneak_attack</t>
  </si>
  <si>
    <t>任务4 - 潜入偷袭</t>
  </si>
  <si>
    <t>maps.name.mission_5__-__desert_base</t>
  </si>
  <si>
    <t>任务5 - 沙漠基地</t>
  </si>
  <si>
    <t>maps.name.mission_6__-__snowy_outcrop</t>
  </si>
  <si>
    <t>任务6 - 雪封露岩</t>
  </si>
  <si>
    <t>maps.name.mission_7__-__lava_fortress</t>
  </si>
  <si>
    <t>任务7 - 熔岩要塞</t>
  </si>
  <si>
    <t>maps.name.mission_8__-__downstream</t>
  </si>
  <si>
    <t>任务8 - 下游战役</t>
  </si>
  <si>
    <t>maps.name.mission_9__-__spider_battle</t>
  </si>
  <si>
    <t>任务9 - 蜘蛛之战</t>
  </si>
  <si>
    <t>maps.name.mission_10__-__carrier_group</t>
  </si>
  <si>
    <t xml:space="preserve">  任务10 - 航母舰群</t>
  </si>
  <si>
    <t>maps.name.beach_landing</t>
  </si>
  <si>
    <t>抢滩登陆</t>
  </si>
  <si>
    <t>maps.name.big_island</t>
  </si>
  <si>
    <t>巨岛</t>
  </si>
  <si>
    <t>maps.name.ice_island</t>
  </si>
  <si>
    <t>冰岛</t>
  </si>
  <si>
    <t>maps.name.lake</t>
  </si>
  <si>
    <t>陆中之湖</t>
  </si>
  <si>
    <t>maps.name.small_island</t>
  </si>
  <si>
    <t>洋中小岛</t>
  </si>
  <si>
    <t>maps.name.two_cold_sides</t>
  </si>
  <si>
    <t>极地对峙</t>
  </si>
  <si>
    <t>maps.name.king_of_the_middle</t>
  </si>
  <si>
    <t>占中为王</t>
  </si>
  <si>
    <t>maps.name.depth_charges</t>
  </si>
  <si>
    <t>深水炸弹</t>
  </si>
  <si>
    <t>maps.name.desert</t>
  </si>
  <si>
    <t>沙漠</t>
  </si>
  <si>
    <t>maps.name.ice_lake</t>
  </si>
  <si>
    <t>冰湖</t>
  </si>
  <si>
    <t>maps.name.island_freeze</t>
  </si>
  <si>
    <t>冻土岛</t>
  </si>
  <si>
    <t>maps.name.islands</t>
  </si>
  <si>
    <t>岛屿群</t>
  </si>
  <si>
    <t>maps.name.lava_maze</t>
  </si>
  <si>
    <t>熔岩迷宫</t>
  </si>
  <si>
    <t>maps.name.lava_vortex</t>
  </si>
  <si>
    <t>熔岩旋涡</t>
  </si>
  <si>
    <t>maps.name.magma_island</t>
  </si>
  <si>
    <t>岩浆岛</t>
  </si>
  <si>
    <t>maps.name.nuclear_war</t>
  </si>
  <si>
    <t>核武战争</t>
  </si>
  <si>
    <t>maps.name.crossing</t>
  </si>
  <si>
    <t>横越两岸</t>
  </si>
  <si>
    <t>maps.name.shore_to_shore</t>
  </si>
  <si>
    <t>隔岸之争</t>
  </si>
  <si>
    <t>maps.name.valley_pass</t>
  </si>
  <si>
    <t>峡谷山口</t>
  </si>
  <si>
    <t>maps.name.bridges_over_lava</t>
  </si>
  <si>
    <t>熔岩之桥</t>
  </si>
  <si>
    <t>maps.name.coastline</t>
  </si>
  <si>
    <t>海岸线</t>
  </si>
  <si>
    <t>maps.name.interlocked</t>
  </si>
  <si>
    <t>连横交错</t>
  </si>
  <si>
    <t>maps.name.isle_ring</t>
  </si>
  <si>
    <t>岛屿连环</t>
  </si>
  <si>
    <t>maps.name.large_ice_outcrop</t>
  </si>
  <si>
    <t>冰封岩石</t>
  </si>
  <si>
    <t>maps.name.lava_divide</t>
  </si>
  <si>
    <t>熔岩分水岭</t>
  </si>
  <si>
    <t>maps.name.many_islands</t>
  </si>
  <si>
    <t>群岛</t>
  </si>
  <si>
    <t>maps.name.random_islands</t>
  </si>
  <si>
    <t>分散群岛</t>
  </si>
  <si>
    <t>maps.name.tornado_eye</t>
  </si>
  <si>
    <t>凤眼</t>
  </si>
  <si>
    <t>maps.name.two_sides</t>
  </si>
  <si>
    <t>两岸之争</t>
  </si>
  <si>
    <t>maps.name.volcano</t>
  </si>
  <si>
    <t>火山</t>
  </si>
  <si>
    <t>maps.name.1v3_island</t>
  </si>
  <si>
    <t>1v3岛屿</t>
  </si>
  <si>
    <t>maps.name.artillery</t>
  </si>
  <si>
    <t>火炮战争</t>
  </si>
  <si>
    <t>maps.name.beachhead_landing</t>
  </si>
  <si>
    <t>滩头登陆</t>
  </si>
  <si>
    <t>maps.name.ice_base</t>
  </si>
  <si>
    <t>冰雪基地</t>
  </si>
  <si>
    <t>maps.name.flying_fortress</t>
  </si>
  <si>
    <t>maps.name.island_base</t>
  </si>
  <si>
    <t>岛上基地</t>
  </si>
  <si>
    <t>maps.name.middle_ground</t>
  </si>
  <si>
    <t>陆地之中</t>
  </si>
  <si>
    <t>maps.name.surrounded</t>
  </si>
  <si>
    <t>海中地</t>
  </si>
  <si>
    <t>maps.name.single_passage</t>
  </si>
  <si>
    <t>冤家路窄</t>
  </si>
  <si>
    <t>maps.name.cornered_stronghold</t>
  </si>
  <si>
    <t>走投无路</t>
  </si>
  <si>
    <t>maps.name.valley_arena</t>
  </si>
  <si>
    <t>深谷竞技场</t>
  </si>
  <si>
    <t>maps.name.hills</t>
  </si>
  <si>
    <t>丘陵地带</t>
  </si>
  <si>
    <t>maps.name.manipulation</t>
  </si>
  <si>
    <t>操纵</t>
  </si>
  <si>
    <t>maps.name.two_large_islands</t>
  </si>
  <si>
    <t>两岛对峙</t>
  </si>
  <si>
    <t>maps.name.huge_subdivide</t>
  </si>
  <si>
    <t>分割之地</t>
  </si>
  <si>
    <t>maps.name.interlocked_large</t>
  </si>
  <si>
    <t>连横交错阵</t>
  </si>
  <si>
    <t>maps.name.lava_bio-grid</t>
  </si>
  <si>
    <t>岩浆网岛</t>
  </si>
  <si>
    <t>maps.name.volcano_crater</t>
  </si>
  <si>
    <t>火山群岛</t>
  </si>
  <si>
    <t>maps.name.crossing_large</t>
  </si>
  <si>
    <t>大型横越</t>
  </si>
  <si>
    <t>maps.name.enclosed_island</t>
  </si>
  <si>
    <t>镶嵌岛屿</t>
  </si>
  <si>
    <t>maps.name.large_lava_divide</t>
  </si>
  <si>
    <t>割据陆地</t>
  </si>
  <si>
    <t>maps.name.two_sides_remake</t>
  </si>
  <si>
    <t>岩浆两岸(重制版)</t>
  </si>
  <si>
    <t>maps.name.kingdoms</t>
  </si>
  <si>
    <t>王国战役</t>
  </si>
  <si>
    <t>maps.name.fire_bridge</t>
  </si>
  <si>
    <t>火桥</t>
  </si>
  <si>
    <t>maps.name.dire_straight</t>
  </si>
  <si>
    <t>直截了当</t>
  </si>
  <si>
    <t>maps.name.hercules</t>
  </si>
  <si>
    <t>大力神1v2</t>
  </si>
  <si>
    <t>海峡两岸</t>
  </si>
  <si>
    <t>多岛之争</t>
  </si>
  <si>
    <t>maps.name.many_islands_large</t>
  </si>
  <si>
    <t>大型群岛</t>
  </si>
  <si>
    <t>maps.name.wetlands</t>
  </si>
  <si>
    <t>湿地</t>
  </si>
  <si>
    <t>掌控全局</t>
  </si>
  <si>
    <t>units.extractor.name</t>
  </si>
  <si>
    <t>资源抽取器</t>
  </si>
  <si>
    <t>units.extractor.description</t>
  </si>
  <si>
    <t xml:space="preserve"> [[生成资金]] [[只能建造在资源池上]] [[可升级至T3]]</t>
  </si>
  <si>
    <t>units.extractor.upgrade.name</t>
  </si>
  <si>
    <t>units.extractor.upgrade.description</t>
  </si>
  <si>
    <t>[[使资金生成速度加快50%]]</t>
  </si>
  <si>
    <t>units.extractor.upgrade.descriptionT3</t>
  </si>
  <si>
    <t>[[使资金生成速度加快50%]] [[更多生命值]]</t>
  </si>
  <si>
    <t>units.extractorT2.name</t>
  </si>
  <si>
    <t>资源抽取器 T2</t>
  </si>
  <si>
    <t>units.extractorT3.name</t>
  </si>
  <si>
    <t>资源抽取器 T3</t>
  </si>
  <si>
    <t>units.extractor.upgrade_overclock.text</t>
  </si>
  <si>
    <t>超频</t>
  </si>
  <si>
    <t>units.extractor.upgrade_overclock.description</t>
  </si>
  <si>
    <t>[[大幅减少生命值]]] [[加快资金生成速度]] [[升级操作可以撤销]]</t>
  </si>
  <si>
    <t>units.extractor.upgrade_reinforce.text</t>
  </si>
  <si>
    <t>强化</t>
  </si>
  <si>
    <t>units.extractor.upgrade_reinforce.description</t>
  </si>
  <si>
    <t>[[血量更多]] [[增加护盾]] [[可以自我修复]] [[资金生成速度与T3一致]] [[升级操作可以撤销]]</t>
  </si>
  <si>
    <t>units.extractor.downgrade_reinforce.text</t>
  </si>
  <si>
    <t>降级</t>
  </si>
  <si>
    <t>units.extractor.downgrade_reinforce.description</t>
  </si>
  <si>
    <t>[[退回加强]] [[返还升级费用的50%]]</t>
  </si>
  <si>
    <t>units.extractor.downgrade_overclock.text</t>
  </si>
  <si>
    <t>units.extractor.downgrade_overclock.description</t>
  </si>
  <si>
    <t>[[退回超频]] [[返还升级费用的50%]]</t>
  </si>
  <si>
    <t>units.landFactory.name</t>
  </si>
  <si>
    <t>陆军工厂</t>
  </si>
  <si>
    <t>units.landFactory.description</t>
  </si>
  <si>
    <t>[[生产陆地单位]] [[生产便宜并且行动快的坦克]] [[建造两栖的悬浮坦克]] [[可升级]]</t>
  </si>
  <si>
    <t>units.landFactory.upgrade.name</t>
  </si>
  <si>
    <t>units.landFactory.upgrade.description</t>
  </si>
  <si>
    <t>[[允许陆军工厂生产T2高级兵种]]</t>
  </si>
  <si>
    <t>units.airFactory.name</t>
  </si>
  <si>
    <t>空军基地</t>
  </si>
  <si>
    <t>units.airFactory.description</t>
  </si>
  <si>
    <t>[[生产空军单位]] [[可升级]]</t>
  </si>
  <si>
    <t>units.seaFactory.name</t>
  </si>
  <si>
    <t>海军基地</t>
  </si>
  <si>
    <t>units.seaFactory.description</t>
  </si>
  <si>
    <t>[[生产海上部队]] [[只能建在水面上]]</t>
  </si>
  <si>
    <t>units.commandCenter.name</t>
  </si>
  <si>
    <t>units.commandCenter.description</t>
  </si>
  <si>
    <t>[[生产建造者]] [[攻击地面、空中单位]] [[生成资金]]</t>
  </si>
  <si>
    <t>units.turret.name</t>
  </si>
  <si>
    <t>units.turret.description</t>
  </si>
  <si>
    <t xml:space="preserve"> [[攻击地面单位]] [[可升级]]</t>
  </si>
  <si>
    <t>units.turretT2.name</t>
  </si>
  <si>
    <t>机枪 T2</t>
  </si>
  <si>
    <t>units.turretT2.description</t>
  </si>
  <si>
    <t>[[攻击地面单位]]</t>
  </si>
  <si>
    <t>units.turretT3.name</t>
  </si>
  <si>
    <t>重机枪塔 T3</t>
  </si>
  <si>
    <t>units.turretT3.description</t>
  </si>
  <si>
    <t>units.turret_artillery.name</t>
  </si>
  <si>
    <t>units.turret_artillery.description</t>
  </si>
  <si>
    <t>[[远距离打击]] [[攻击速度较慢]]</t>
  </si>
  <si>
    <t>units.turret_artilleryT2.name</t>
  </si>
  <si>
    <t>火炮 T2</t>
  </si>
  <si>
    <t>units.turret_artilleryT2.description</t>
  </si>
  <si>
    <t>[[额外的攻击距离]] [[攻击速度较慢]]</t>
  </si>
  <si>
    <t>units.turret_flamethrower.name</t>
  </si>
  <si>
    <t>火焰喷射器</t>
  </si>
  <si>
    <t>units.turret_flamethrower.description</t>
  </si>
  <si>
    <t>[[短距离范围群伤]] [[自我修复]]</t>
  </si>
  <si>
    <t>units.turret_lightning.name</t>
  </si>
  <si>
    <t>units.turret_lightning.description</t>
  </si>
  <si>
    <t>[[带有电击的炮塔]] [[用雷击攻击地面上的单位]] [[对接地的建筑物伤害较低]] [[电击可以绕过护盾]]</t>
  </si>
  <si>
    <t>units.turret_lightningT2.name</t>
  </si>
  <si>
    <t>闪电炮塔 T2</t>
  </si>
  <si>
    <t>units.turret_lightningT2.description</t>
  </si>
  <si>
    <t>[[T2等级的闪电炮塔]] [[用雷击攻击地面上的单位]] [[对接地的建筑物伤害较低]] [[电击可以绕过护盾]]</t>
  </si>
  <si>
    <t>units.antiAirTurret.name</t>
  </si>
  <si>
    <t>units.antiAirTurret.description</t>
  </si>
  <si>
    <t xml:space="preserve"> [[攻击空中单位]] [[可升级]]</t>
  </si>
  <si>
    <t>units.antiAirTurretT2.name</t>
  </si>
  <si>
    <t>T2 - 防空炮塔</t>
  </si>
  <si>
    <t>units.antiAirTurretT2.description</t>
  </si>
  <si>
    <t>[[攻击空中单位]]</t>
  </si>
  <si>
    <t>units.antiAirTurretT3.name</t>
  </si>
  <si>
    <t>T3 - 防空炮塔</t>
  </si>
  <si>
    <t>units.antiAirTurretT3.description</t>
  </si>
  <si>
    <t>units.antiAirTurretFlak.name</t>
  </si>
  <si>
    <t>units.antiAirTurretFlak.description</t>
  </si>
  <si>
    <t>[[攻击空中单位，溅射伤害]] [[距离较短]]</t>
  </si>
  <si>
    <t>units.builder.name</t>
  </si>
  <si>
    <t>units.builder.description</t>
  </si>
  <si>
    <t>[[建造和维修建筑物]] [[不能攻击]]</t>
  </si>
  <si>
    <t>units.scout.name</t>
  </si>
  <si>
    <t>units.scout.description</t>
  </si>
  <si>
    <t>[[中型装甲-低性价比单位]] [[能够透过迷雾看得更远]] [[能够在水面上移动]] [[能攻击空中和地面单位]]</t>
  </si>
  <si>
    <t>units.tank.name</t>
  </si>
  <si>
    <t>units.tank.description</t>
  </si>
  <si>
    <t>[[只能攻击地面单位]] [[移速较快但生命值较低]]</t>
  </si>
  <si>
    <t>units.hoverTank.name</t>
  </si>
  <si>
    <t>units.hoverTank.description</t>
  </si>
  <si>
    <t>[[轻装甲]] [[能够在水上前进]] [[可以攻击空中和地面单位] [[用于直接作战往往不合算]]</t>
  </si>
  <si>
    <t>units.artillery.name</t>
  </si>
  <si>
    <t>units.artillery.description</t>
  </si>
  <si>
    <t>[[只能攻击地面单位]] [[远距离打击]]</t>
  </si>
  <si>
    <t>units.helicopter.name</t>
  </si>
  <si>
    <t>units.helicopter.description</t>
  </si>
  <si>
    <t>[[可以攻击地面和空中单位]] [[直接作战性价比低]]</t>
  </si>
  <si>
    <t>units.airShip.name</t>
  </si>
  <si>
    <t>units.airShip.description</t>
  </si>
  <si>
    <t>[[移动速度快]] [[只能攻击空中单位]]</t>
  </si>
  <si>
    <t>units.heavyInterceptor.name</t>
  </si>
  <si>
    <t>units.heavyInterceptor.description</t>
  </si>
  <si>
    <t>[[移动速度快]] [[只能攻击空中单位]] [[全副武装并带有护盾]] [[电击可绕过防护盾]]</t>
  </si>
  <si>
    <t>units.lightGunship.name</t>
  </si>
  <si>
    <t>units.lightGunship.description</t>
  </si>
  <si>
    <t>[[非常弱]] [[只能攻击地面单位]] [[飞行速度慢]]</t>
  </si>
  <si>
    <t>units.lightSub.name</t>
  </si>
  <si>
    <t>水下探测器</t>
  </si>
  <si>
    <t>units.lightSub.description</t>
  </si>
  <si>
    <t>[[非常弱]] [[只能使用轻型鱼雷攻击]]</t>
  </si>
  <si>
    <t>units.gunShip.name</t>
  </si>
  <si>
    <t>units.gunShip.description</t>
  </si>
  <si>
    <t>[[只能攻击地面单位]] [[攻击力强]] [[全副武装]]</t>
  </si>
  <si>
    <t>units.missileShip.name</t>
  </si>
  <si>
    <t>units.missileShip.description</t>
  </si>
  <si>
    <t>[[可以攻击地面和空中单位]] [[带有轻型反潜艇鱼雷]]</t>
  </si>
  <si>
    <t>units.gunBoat.name</t>
  </si>
  <si>
    <t>units.gunBoat.description</t>
  </si>
  <si>
    <t>[[移动速度快]] [[能攻击地面单位]]</t>
  </si>
  <si>
    <t>units.megaTank.name</t>
  </si>
  <si>
    <t>units.megaTank.description</t>
  </si>
  <si>
    <t xml:space="preserve"> [[全副武装]] [[能攻击地面]] [[有一定对空能力]</t>
  </si>
  <si>
    <t>units.laserTank.name</t>
  </si>
  <si>
    <t>units.laserTank.description</t>
  </si>
  <si>
    <t>[[可以攻击地面和空中单位 ]] [[不能同时对付多个敌人]] [[强大的单发射击，但是充能慢]]</t>
  </si>
  <si>
    <t>units.hovercraft.name</t>
  </si>
  <si>
    <t>登陆艇</t>
  </si>
  <si>
    <t>units.hovercraft.description</t>
  </si>
  <si>
    <t xml:space="preserve"> [[运输单位]] [[能够在地面和水上移动]] [[不能攻击]]</t>
  </si>
  <si>
    <t>units.ladybug.name</t>
  </si>
  <si>
    <t>units.ladybug.description</t>
  </si>
  <si>
    <t>units.battleShip.name</t>
  </si>
  <si>
    <t>units.battleShip.description</t>
  </si>
  <si>
    <t xml:space="preserve"> [[中程对地攻击]]</t>
  </si>
  <si>
    <t>units.tankDestroyer.name</t>
  </si>
  <si>
    <t>units.tankDestroyer.description</t>
  </si>
  <si>
    <t>[[一种未知的坦克]]</t>
  </si>
  <si>
    <t>units.heavyTank.name</t>
  </si>
  <si>
    <t>units.heavyTank.description</t>
  </si>
  <si>
    <t xml:space="preserve"> [[全副武装]] [[能攻击地面单位]] [[一定对空能力]]</t>
  </si>
  <si>
    <t>units.heavyHoverTank.name</t>
  </si>
  <si>
    <t>units.heavyHoverTank.description</t>
  </si>
  <si>
    <t xml:space="preserve"> [[全副武装]] [[能在水上移动]] [[可以攻击空中和地面单位]]</t>
  </si>
  <si>
    <t>units.laserDefence.name</t>
  </si>
  <si>
    <t>units.laserDefence.description</t>
  </si>
  <si>
    <t xml:space="preserve"> [[拦截敌方炮弹]] [[过载后需要时间来充能]] [[可升级]]</t>
  </si>
  <si>
    <t>units.laserDefence.upgrade.name</t>
  </si>
  <si>
    <t>units.laserDefence.upgrade.description</t>
  </si>
  <si>
    <t>[[拦截范围更广]]  [[减少装填时间,存储能量更多]]  [[更高生命值]]</t>
  </si>
  <si>
    <t>units.outpostT1.name</t>
  </si>
  <si>
    <t>瞭望塔</t>
  </si>
  <si>
    <t>units.outpostT1.description</t>
  </si>
  <si>
    <t>[[可以看透较广范围内的迷雾]] [[不能攻击]]</t>
  </si>
  <si>
    <t>units.outpostT2.name</t>
  </si>
  <si>
    <t>瞭望塔 T2</t>
  </si>
  <si>
    <t>units.outpostT2.description</t>
  </si>
  <si>
    <t>units.outpost.upgrade.name</t>
  </si>
  <si>
    <t>扩大视野</t>
  </si>
  <si>
    <t>units.outpost.upgrade.description</t>
  </si>
  <si>
    <t>[[在更大范围内看透迷雾]]</t>
  </si>
  <si>
    <t>units.dropship.name</t>
  </si>
  <si>
    <t>units.dropship.description</t>
  </si>
  <si>
    <t>[[用于运输单位]][[不能攻击]]</t>
  </si>
  <si>
    <t>units.tree.name</t>
  </si>
  <si>
    <t>units.tree.description</t>
  </si>
  <si>
    <t>units.repairbay.name</t>
  </si>
  <si>
    <t>units.repairbay.description</t>
  </si>
  <si>
    <t>[[[维修单位]] [[也可以辅助建造]] [[可以回收自己的单位]]</t>
  </si>
  <si>
    <t>units.NukeLaucher.name</t>
  </si>
  <si>
    <t>units.NukeLaucher.description</t>
  </si>
  <si>
    <t>[[发射威力巨大的的核导弹]] [[需要建造核弹以发射]] [[最多建造4枚]]</t>
  </si>
  <si>
    <t>units.AntiNukeLaucher.name</t>
  </si>
  <si>
    <t>反核防御</t>
  </si>
  <si>
    <t>units.AntiNukeLaucher.description</t>
  </si>
  <si>
    <t>[[拦截核导弹]] [[需要建造反核导弹]] [[最多建造12枚]]</t>
  </si>
  <si>
    <t>units.mammothTank.name</t>
  </si>
  <si>
    <t>units.mammothTank.description</t>
  </si>
  <si>
    <t xml:space="preserve"> [[重型装甲]] [[能电击地面单位]] [[对接地的建筑物伤害稍低，但攻击护盾效果拔群]]</t>
  </si>
  <si>
    <t>units.experimentalTank.name</t>
  </si>
  <si>
    <t>units.experimentalTank.description</t>
  </si>
  <si>
    <t xml:space="preserve"> [[全副武装]] [[能攻击地面单位]] [[对空能力较弱]]</t>
  </si>
  <si>
    <t>units.experimentalHoverTank.name</t>
  </si>
  <si>
    <t>概念型悬浮坦克</t>
  </si>
  <si>
    <t>units.experimentalHoverTank.description</t>
  </si>
  <si>
    <t>[[高度全副武装并带有护盾]] [[可以攻击地面和空中单位]] [[能在水上移动]]</t>
  </si>
  <si>
    <t>units.experimentalLandFactory.name</t>
  </si>
  <si>
    <t>实验工厂</t>
  </si>
  <si>
    <t>units.experimentalLandFactory.description</t>
  </si>
  <si>
    <t xml:space="preserve"> [[制造昂贵但强大的实验单位]]</t>
  </si>
  <si>
    <t>units.crystalResource.name</t>
  </si>
  <si>
    <t>units.crystalResource.description</t>
  </si>
  <si>
    <t>[[水晶资源,用建造单位开采它吧!]]</t>
  </si>
  <si>
    <t>units.wall_v.name</t>
  </si>
  <si>
    <t>墙 (V)</t>
  </si>
  <si>
    <t>units.wall_v.description</t>
  </si>
  <si>
    <t>[[墙壁]]</t>
  </si>
  <si>
    <t>units.fabricator.name</t>
  </si>
  <si>
    <t>资源制造仪</t>
  </si>
  <si>
    <t>units.fabricator.description</t>
  </si>
  <si>
    <t xml:space="preserve"> [[生成资源比资源抽取器慢4倍]] [[可升级]]</t>
  </si>
  <si>
    <t>units.fabricator.upgrade.name</t>
  </si>
  <si>
    <t>units.fabricator.upgrade.description</t>
  </si>
  <si>
    <t>提升资源产生速度到原来的3.5倍</t>
  </si>
  <si>
    <t>units.fabricator.upgrade.nameT3</t>
  </si>
  <si>
    <t>units.fabricator.upgrade.descriptionT3</t>
  </si>
  <si>
    <t>[[拥有2倍资源产生速度]]</t>
  </si>
  <si>
    <t>units.supplyDepot.name</t>
  </si>
  <si>
    <t>供应站</t>
  </si>
  <si>
    <t>units.supplyDepot.description</t>
  </si>
  <si>
    <t>units.supplyDepot.upgrade.name</t>
  </si>
  <si>
    <t>units.supplyDepot.upgrade.description</t>
  </si>
  <si>
    <t>[[增加供应]]</t>
  </si>
  <si>
    <t>units.attackSubmarine.name</t>
  </si>
  <si>
    <t>units.attackSubmarine.description</t>
  </si>
  <si>
    <t>[[下潜时可以防止被大多数单位攻击]] [[攻击水面上的单位]] [[可以浮出水面以攻击地面和空中单位]]</t>
  </si>
  <si>
    <t>units.builderShip.name</t>
  </si>
  <si>
    <t>units.builderShip.description</t>
  </si>
  <si>
    <t>[[在海岸线周围建造部分建筑物]] [[不能攻击]]</t>
  </si>
  <si>
    <t>units.amphibiousJet.name</t>
  </si>
  <si>
    <t>两栖喷气机</t>
  </si>
  <si>
    <t>units.amphibiousJet.description</t>
  </si>
  <si>
    <t>[[在空中或水下发射闪电攻击]] [[电击可绕过防护盾]] [[对接地的建筑物伤害稍低]]</t>
  </si>
  <si>
    <t>units.experimentalDropship.name</t>
  </si>
  <si>
    <t>units.experimentalDropship.description</t>
  </si>
  <si>
    <t xml:space="preserve"> [[有运输能力]] [[能制造单位]] [[可以对空]] [[降落后可以对地攻击]] [[能自我修复并内置资源制造仪]]</t>
  </si>
  <si>
    <t>units.heavyBattleship.name</t>
  </si>
  <si>
    <t>重型战舰</t>
  </si>
  <si>
    <t>units.heavyBattleship.description</t>
  </si>
  <si>
    <t xml:space="preserve"> [[远距离对地攻击]] [[有防空能力]] [[可发射反潜艇鱼雷]]</t>
  </si>
  <si>
    <t>units.missileTank.name</t>
  </si>
  <si>
    <t>防空导弹坦克</t>
  </si>
  <si>
    <t>units.missileTank.description</t>
  </si>
  <si>
    <t>[[远程对空导弹]] [[轻型护盾]]</t>
  </si>
  <si>
    <t>units.combatEngineer.name</t>
  </si>
  <si>
    <t>units.combatEngineer.description</t>
  </si>
  <si>
    <t>[[可建造单位和T2建筑物]] [[带有重型装甲并且可以对地攻击]] [[在水上时可以攻击潜艇]] [[能自我修复并内置资源制造仪]] [[能在水上移动]]</t>
  </si>
  <si>
    <t>units.heavySub.name</t>
  </si>
  <si>
    <t>units.heavySub.description</t>
  </si>
  <si>
    <t>[[重型装甲,可发射鱼雷]] [[不能攻击水面以外的单位]]</t>
  </si>
  <si>
    <t>units.bomber.name</t>
  </si>
  <si>
    <t>units.bomber.description</t>
  </si>
  <si>
    <t>[[有重装甲但速度慢]] [[需要在投掷炸弹后装填]] [[攻击潜艇时伤害较低]]</t>
  </si>
  <si>
    <t>units.experimentalSpider.name</t>
  </si>
  <si>
    <t>units.experimentalSpider.description</t>
  </si>
  <si>
    <t>[[拥有超强防御,但移动缓慢]] [[能建造单位与建筑物]] [[自动修复附近的单位]] [[自带激光防御]] [[能在水上移动]] [[自我修复并内置资源制造仪]] [[死亡后核爆 (如果未禁止核弹)]]</t>
  </si>
  <si>
    <t>units.fireBee.name</t>
  </si>
  <si>
    <t>units.fireBee.description</t>
  </si>
  <si>
    <t>[[全副武装]] [[可以对空攻击]] [[中级对空能力]] [[开火后需要重新装填]] [[自我修复]]</t>
  </si>
  <si>
    <t>units.missileAirship.name</t>
  </si>
  <si>
    <t>units.missileAirship.description</t>
  </si>
  <si>
    <t>[[有范围伤害的对地对空导弹]] [[开火后需要装填]] [[自我修复]]</t>
  </si>
  <si>
    <t>units.fogRevealer.name</t>
  </si>
  <si>
    <t>system_fogRevealer</t>
  </si>
  <si>
    <t>units.fogRevealer.description</t>
  </si>
  <si>
    <t>units.spreadingFire.name</t>
  </si>
  <si>
    <t>火</t>
  </si>
  <si>
    <t>units.spreadingFire.description</t>
  </si>
  <si>
    <t>火焰</t>
  </si>
  <si>
    <t>units.mechFactory.name</t>
  </si>
  <si>
    <t>机械工厂</t>
  </si>
  <si>
    <t>units.mechFactory.description</t>
  </si>
  <si>
    <t>[[制造T1等级的机甲单位]] [[机甲通常移动缓慢但作战能力强大]] [[更大的T2机甲能够越过峭壁]] [[可以升级]]</t>
  </si>
  <si>
    <t>units.mechFactoryT2.name</t>
  </si>
  <si>
    <t>T2 - 机械工厂</t>
  </si>
  <si>
    <t>units.mechFactoryT2.description</t>
  </si>
  <si>
    <t>[[制造T2等级的机甲单位]] [[机甲通常移动缓慢但作战能力强大]] [[更大的T2机甲能够越过峭壁]]</t>
  </si>
  <si>
    <t>units.mechGun.name</t>
  </si>
  <si>
    <t>units.mechGun.description</t>
  </si>
  <si>
    <t>[[只能攻击陆上单位]] [[相比普通坦克生命值更高,但移动也更缓慢]]</t>
  </si>
  <si>
    <t>units.mechMissile.name</t>
  </si>
  <si>
    <t>units.mechMissile.description</t>
  </si>
  <si>
    <t>[[只能攻击空中单位]] [[范围伤害]] [[不能对地攻击]]</t>
  </si>
  <si>
    <t>units.mechLaser.name</t>
  </si>
  <si>
    <t>units.mechLaser.description</t>
  </si>
  <si>
    <t>[[可以对空与对低]] [[开火后需要装填]] [[射程较远]]</t>
  </si>
  <si>
    <t>units.mechFlame.name</t>
  </si>
  <si>
    <t>units.mechFlame.description</t>
  </si>
  <si>
    <t>[[范围火焰伤害]] [[只能对地攻击]] [[生命值高，能够自我修复]]</t>
  </si>
  <si>
    <t>units.mechBunker.name</t>
  </si>
  <si>
    <t>移动炮塔</t>
  </si>
  <si>
    <t>units.mechBunker.description</t>
  </si>
  <si>
    <t>[[能攻击地面]] [[可原地部署并获得额外射程与防御]]</t>
  </si>
  <si>
    <t>units.mechBunkerDeployed.name</t>
  </si>
  <si>
    <t>units.mechBunkerDeployed.description</t>
  </si>
  <si>
    <t>[[能攻击地面]] [[部署以获得护盾与额外射程]]</t>
  </si>
  <si>
    <t>units.mechArtillery.name</t>
  </si>
  <si>
    <t>units.mechArtillery.description</t>
  </si>
  <si>
    <t>[[能攻击地面]] [[射程远]] [[能够在边开火边移动]]</t>
  </si>
  <si>
    <t>units.mechMinigun.name</t>
  </si>
  <si>
    <t>units.mechMinigun.description</t>
  </si>
  <si>
    <t>[[能攻击地面]] [[高射速]] [[开火速度逐渐加快]] [[有防护盾(能被电击绕过)]]</t>
  </si>
  <si>
    <t>units.mechLightning.name</t>
  </si>
  <si>
    <t>units.mechLightning.description</t>
  </si>
  <si>
    <t>[[对地闪电攻击]] [[可以绕过防护盾]] [[对接地的建筑物伤害较低]]</t>
  </si>
  <si>
    <t>units.heavyArtillery.name</t>
  </si>
  <si>
    <t>units.heavyArtillery.description</t>
  </si>
  <si>
    <t>[[只能对地攻击]] [[较远射程]] [[自带较有限的激光防御]]</t>
  </si>
  <si>
    <t>units.heavyMissileShip.name</t>
  </si>
  <si>
    <t>units.heavyMissileShip.description</t>
  </si>
  <si>
    <t>[[能攻击地面和空中单位]] [[超远射程]]</t>
  </si>
  <si>
    <t>units.experiementalCarrier.name</t>
  </si>
  <si>
    <t>units.experiementalCarrier.description</t>
  </si>
  <si>
    <t>[[重型武器和装甲]] [[可建造空军单位(2倍建造速度)]] [[内置激光防御 &amp; 修复湾]] [[自带高射炮防空]] [[内置资源制造仪]] [[可以制造反核导弹]] [[死亡后核爆 (如果未禁止核弹)]]</t>
  </si>
  <si>
    <t>units.nautilusSubmarine.name</t>
  </si>
  <si>
    <t>units.nautilusSubmarine.description</t>
  </si>
  <si>
    <t>[[重型武器和装甲]] [[可以攻击舰艇]] [[可以副处水面并在陆地上行动]] [[浮出水面后可以攻击陆上和空中单位]]</t>
  </si>
  <si>
    <t>units.plasmaTank.name</t>
  </si>
  <si>
    <t>units.plasmaTank.description</t>
  </si>
  <si>
    <t>[[拥有强大防御]] [[只能攻击陆上单位]] [[有防护盾(能被电击绕过)]]</t>
  </si>
  <si>
    <t>units.mechEngineer.name</t>
  </si>
  <si>
    <t>units.mechEngineer.description</t>
  </si>
  <si>
    <t>[[建造机甲和T2建筑物]][[配有防空导弹]][[全副武装]]</t>
  </si>
  <si>
    <t>units.mechHeavyMissile.name</t>
  </si>
  <si>
    <t>重型防空机械装甲</t>
  </si>
  <si>
    <t>units.mechHeavyMissile.description</t>
  </si>
  <si>
    <t>[[非常强的远程对空能力]] [[区域范围防空]] [[弱陆攻击]]</t>
  </si>
  <si>
    <t>units.aaBeamGunship.name</t>
  </si>
  <si>
    <t>AA激光射束战机</t>
  </si>
  <si>
    <t>units.aaBeamGunship.description</t>
  </si>
  <si>
    <t>[[拥有对空的激光粒子束武器]] [[激光粒子束可直接破盾破甲]] [[但是不能攻击陆地]] [[速度慢，但可以使用加速装置获得一段时间的加速]]</t>
  </si>
  <si>
    <t>units.experimentalGunship.name</t>
  </si>
  <si>
    <t>实验悬浮型气垫船</t>
  </si>
  <si>
    <t>units.experimentalGunship.description</t>
  </si>
  <si>
    <t>[[可建造单位]] [[对地与对陆攻击]] [[反核防御]] [[可添加瞬移模块]] [[可运输单位]] [[部署可获得额外的射程、火力和护盾]]</t>
  </si>
  <si>
    <t>units.experimentalGunshipLanded.name</t>
  </si>
  <si>
    <t>units.experimentalGunshipLanded.description</t>
  </si>
  <si>
    <t>units.heavyAAShip.name</t>
  </si>
  <si>
    <t>重型防空舰</t>
  </si>
  <si>
    <t>units.heavyAAShip.description</t>
  </si>
  <si>
    <t>[[仅能攻击空中单位]] [[拥有大的攻击范围并有溅射伤害]] [[重型装甲与护盾]]</t>
  </si>
  <si>
    <t>units.spyDrone.name</t>
  </si>
  <si>
    <t>units.spyDrone.description</t>
  </si>
  <si>
    <t>[[无法攻击]] [[可以透过迷雾看的更广]] [[厚重的生命值和渐加速的速度]] [[可以自我修复]]</t>
  </si>
  <si>
    <t>units.creditsCrates.name</t>
  </si>
  <si>
    <t>units.creditsCrates.description</t>
  </si>
  <si>
    <t>[[回收可获得资金]]</t>
  </si>
  <si>
    <t>units.modularSpider.name</t>
  </si>
  <si>
    <t>units.modularSpider.description</t>
  </si>
  <si>
    <t>[[最多可在顶部建造6个自定义炮塔或模块]] [[-装甲非常重但速度较慢]] [[-如果附加了任何武器则会降低基本速度]] [[-可以建造单位和建筑物]] [[-可以在附近的单位进行自动维修]] [[-可以在水上移动]] [[-内置制造者]] [[n-死亡会核爆（如果启用了核武器，未启用则不会死亡核爆）]]</t>
  </si>
  <si>
    <t>units.modularSpider_emptySlot.name</t>
  </si>
  <si>
    <t>闲置中...</t>
  </si>
  <si>
    <t>units.modularSpider_emptySlot.description</t>
  </si>
  <si>
    <t>选择一个炮塔在这里建造</t>
  </si>
  <si>
    <t>units.modularSpider_shieldGen.name</t>
  </si>
  <si>
    <t>护盾核心</t>
  </si>
  <si>
    <t>units.modularSpider_shieldGen.description</t>
  </si>
  <si>
    <t>[[护盾恢复核心]] [[-增加护盾恢复效率]]</t>
  </si>
  <si>
    <t>units.modularSpider_speed.name</t>
  </si>
  <si>
    <t>速度模块</t>
  </si>
  <si>
    <t>units.modularSpider_speed.description</t>
  </si>
  <si>
    <t>[[速度核心]] [[增加移动速度]] [[无法叠加]] [[可消除拥有炮塔的速度惩罚]]</t>
  </si>
  <si>
    <t>units.modularSpider_blink.name</t>
  </si>
  <si>
    <t>瞬移模块</t>
  </si>
  <si>
    <t>units.modularSpider_blink.description</t>
  </si>
  <si>
    <t>[[瞬移核心]] [[可短距离使用瞬移]]</t>
  </si>
  <si>
    <t>units.modularSpider_antinuke.name</t>
  </si>
  <si>
    <t>units.modularSpider_antinuke.description</t>
  </si>
  <si>
    <t>[[可以拦截从核弹发射井发射的核导弹。]] [[-若要拦截，需要建造反核导弹]] [[-反核范围1500]] [[可以关闭此模块，关闭后此模块将不会拦截核弹]]</t>
  </si>
  <si>
    <t>units.modularSpider_antiair.name</t>
  </si>
  <si>
    <t>萨姆防空炮T1</t>
  </si>
  <si>
    <t>units.modularSpider_antiair.description</t>
  </si>
  <si>
    <t>[[只能对空！]]</t>
  </si>
  <si>
    <t>units.modularSpider_antiairT2.name</t>
  </si>
  <si>
    <t>萨姆防空炮T2</t>
  </si>
  <si>
    <t>units.modularSpider_antiairT2.description</t>
  </si>
  <si>
    <t>units.modularSpider_smallgunturret.name</t>
  </si>
  <si>
    <t>等离子装置T1</t>
  </si>
  <si>
    <t>units.modularSpider_smallgunturret.description</t>
  </si>
  <si>
    <t>[[可以攻击空中和地面]]</t>
  </si>
  <si>
    <t>units.modularSpider_smallgunturretT2.name</t>
  </si>
  <si>
    <t>等离子装置T2</t>
  </si>
  <si>
    <t>units.modularSpider_smallgunturretT2.description</t>
  </si>
  <si>
    <t>units.modularSpider_fabricator.name</t>
  </si>
  <si>
    <t>资源制造装置T1</t>
  </si>
  <si>
    <t>units.modularSpider_fabricator.description</t>
  </si>
  <si>
    <t>[[资金生成核心]]</t>
  </si>
  <si>
    <t>units.modularSpider_fabricatorT2.name</t>
  </si>
  <si>
    <t>资源制造装置T2</t>
  </si>
  <si>
    <t>units.modularSpider_fabricatorT2.description</t>
  </si>
  <si>
    <t>units.modularSpider_laserdefense.name</t>
  </si>
  <si>
    <t>激光防御装置</t>
  </si>
  <si>
    <t>units.modularSpider_laserdefense.description</t>
  </si>
  <si>
    <t>[[拦截一切靠近的导弹，使之分解]] [[拦截需要消耗能量！]] [[如果能量耗尽需要重新等待充能完毕才可继续使用]]</t>
  </si>
  <si>
    <t>units.modularSpider_lightning.name</t>
  </si>
  <si>
    <t>闪电炮塔T1</t>
  </si>
  <si>
    <t>units.modularSpider_lightning.description</t>
  </si>
  <si>
    <t>[[只能攻击陆地]] [[可以直接破盾破甲]]</t>
  </si>
  <si>
    <t>units.modularSpider_antiairFlak.name</t>
  </si>
  <si>
    <t>高射炮T2</t>
  </si>
  <si>
    <t>units.modularSpider_antiairFlak.description</t>
  </si>
  <si>
    <t>[[只能攻击空中]] [[大范围集群伤害]]</t>
  </si>
  <si>
    <t>units.modularSpider_artillery.name</t>
  </si>
  <si>
    <t>火炮装置T1</t>
  </si>
  <si>
    <t>units.modularSpider_artillery.description</t>
  </si>
  <si>
    <t>[[远距离对地攻击]] [[射击速度慢]]</t>
  </si>
  <si>
    <t>units.modularSpider_gunturret.name</t>
  </si>
  <si>
    <t>机枪T1</t>
  </si>
  <si>
    <t>units.modularSpider_gunturret.description</t>
  </si>
  <si>
    <t>[[只能攻击陆地]]</t>
  </si>
  <si>
    <t>units.modularSpider_gunturretT2.name</t>
  </si>
  <si>
    <t>机枪T2</t>
  </si>
  <si>
    <t>units.modularSpider_gunturretT2.description</t>
  </si>
  <si>
    <t>menus.credits.main</t>
  </si>
  <si>
    <t xml:space="preserve">\n\* Corroding Games 出品\n\
  corrodinggames\u0040gmail.com - http://twitter.com/corrodinggames - http://corrodinggames.com\n\
\n\
* 编程和游戏设计 - Luke Hoschke\n\
\n\
* Daniel Cook (Lostgarden.com)的'Hard Vacuum'艺术包被用作地图图块与单位艺术风格\n\
* 单位设计和艺术 - Sushimaki\n\
* 单位改进 - Uber\n\
* 其它单位艺术 - Sebastien Vakerics\n\
\n\
* 'Tiled地图编辑器'被用于创作游戏地图\n\
\n\
* 地图制作: Luke Hoschke\n\
* 地图制作: 'hxyy' (华夏_有衣)\n\
* 地图制作: Tstis \n\
* 地图制作: Uber \n\
\n\
* 游戏使用了“Slick - 2D Game Library”的Tiled地图加载器的修改版本\n\
\n\
* 音乐 - 'The Grand Scheme' 由 Will P, Lexington 创作\n\
* 音乐 - Gustav Holst - The Planets (1914) \n\
* Ove Melaa的其它采样 (Omsofware@hotmail.com) \n\
* 界面音效采样 - 'Little Robot Sound Factory' \n\
\n\
* 中文翻译由"Google翻译"和yanglei翻译和{Ling-ASDJ翻译}和Qiuye翻译 \n\
* 土耳其语翻译由Taha Sağlam翻译 \n\
* 俄语翻译由Aleksandr Loktionov与其他人翻译 \n\
* 德语翻译由Steven Giese翻译 \n\
* 意大利语翻译由Dario Pedroni (SlowSheep)翻译\n\
* 西班牙语翻译由Alexander Bellafiore (Essential Strategy YouTube)翻译\n\
* 葡萄牙语由Raylan（Meribuzi Gamer YouTube）翻译 \n\
* 日语翻译由Siialosama翻译 \n\
* 法语翻译由Anthony Reynaud翻译 \n\
* 荷兰语翻译由"Pure Smoke"翻译 \n\
* 乌克兰语翻译由Sydorenko Danylo "Prosta4ok_ua"翻译 \n\
---------------------------------
</t>
  </si>
  <si>
    <t>Rusted Warfare（铁锈战争）课外书，其他知识。</t>
  </si>
  <si>
    <t>铁锈战争做mod和测试mod的部分其他知识</t>
  </si>
  <si>
    <t>铁锈战争电脑端快捷键大全(沙盒的特殊快捷键请在最左边表格查看)</t>
  </si>
  <si>
    <t>ACTION（行动）</t>
  </si>
  <si>
    <t>KEY（键）</t>
  </si>
  <si>
    <t>Alt-Key（其他键）</t>
  </si>
  <si>
    <t>“[Language]”是什么?，要填什么?，干什么用的？</t>
  </si>
  <si>
    <t>路径使用斜杠/\</t>
  </si>
  <si>
    <t>Camera Up（屏幕上移）</t>
  </si>
  <si>
    <t>↑（上箭头键）</t>
  </si>
  <si>
    <t>NUMPAD8（小键盘数字8键）</t>
  </si>
  <si>
    <t>ISO 3166-1 联合国统计局统计用国家地区代码</t>
  </si>
  <si>
    <t>/作为路径是通用的,比如网址、路径</t>
  </si>
  <si>
    <t>Camera Down（屏幕下移）</t>
  </si>
  <si>
    <t>↓（下箭头键）</t>
  </si>
  <si>
    <t>NUMPAD2（小键盘数字2键）</t>
  </si>
  <si>
    <t>\似乎只在win资源管理作为路径使用,许多时候作为转义使用，</t>
  </si>
  <si>
    <t>Camera Left（屏幕左移）</t>
  </si>
  <si>
    <t>←（左箭头键）</t>
  </si>
  <si>
    <t>NUMPAD4（小键盘数字4键）</t>
  </si>
  <si>
    <t>二位字母</t>
  </si>
  <si>
    <t>三位字母</t>
  </si>
  <si>
    <t>ISO 3166-2相应代码</t>
  </si>
  <si>
    <t>国家或地区</t>
  </si>
  <si>
    <t>分界线</t>
  </si>
  <si>
    <t>这意味着\\相当于\,如\n则被解析为换行，处理几次\就没了，而/不存在这种问题。</t>
  </si>
  <si>
    <t>Camera Right（屏幕右移）</t>
  </si>
  <si>
    <t>→（右箭头键）</t>
  </si>
  <si>
    <t>NUMPAD6（小键盘数字6键）</t>
  </si>
  <si>
    <t>AD</t>
  </si>
  <si>
    <t>AND</t>
  </si>
  <si>
    <t>ISO 3166-2:AD</t>
  </si>
  <si>
    <t>安道尔</t>
  </si>
  <si>
    <t>ML</t>
  </si>
  <si>
    <t>MLI</t>
  </si>
  <si>
    <t>ISO 3166-2:ML</t>
  </si>
  <si>
    <t>马里</t>
  </si>
  <si>
    <t>注：有一类文件夹叫做..（也就是两个英文句号），这个文件夹里面是上一个文件夹目录（但是铁锈似乎不支持）</t>
  </si>
  <si>
    <t>Zoom In（缩放入）</t>
  </si>
  <si>
    <t>滚轮上滑</t>
  </si>
  <si>
    <t>&lt;unknow&gt;</t>
  </si>
  <si>
    <t>AE</t>
  </si>
  <si>
    <t>ARE</t>
  </si>
  <si>
    <t>ISO 3166-2:AE</t>
  </si>
  <si>
    <t>阿联酋</t>
  </si>
  <si>
    <t>MM</t>
  </si>
  <si>
    <t>MMR</t>
  </si>
  <si>
    <t>ISO 3166-2:MM</t>
  </si>
  <si>
    <t>缅甸</t>
  </si>
  <si>
    <t>语言文件写法示例</t>
  </si>
  <si>
    <t>Zoom Out（缩放出）</t>
  </si>
  <si>
    <t>滚轮下滑</t>
  </si>
  <si>
    <t>AF</t>
  </si>
  <si>
    <t>AFG</t>
  </si>
  <si>
    <t>ISO 3166-2:AF</t>
  </si>
  <si>
    <t>阿富汗</t>
  </si>
  <si>
    <t>MN</t>
  </si>
  <si>
    <t>MNG</t>
  </si>
  <si>
    <t>ISO 3166-2:MN</t>
  </si>
  <si>
    <t>蒙古</t>
  </si>
  <si>
    <t>units.单位名称.name=写单位显示的名称</t>
  </si>
  <si>
    <t>Send Chat（发送全局消息）</t>
  </si>
  <si>
    <t>ENTER（换行键）</t>
  </si>
  <si>
    <t>T（T键）</t>
  </si>
  <si>
    <t>AG</t>
  </si>
  <si>
    <t>ATG</t>
  </si>
  <si>
    <t>ISO 3166-2:AG</t>
  </si>
  <si>
    <t>安提瓜和巴布达</t>
  </si>
  <si>
    <t>MO</t>
  </si>
  <si>
    <t>MAC</t>
  </si>
  <si>
    <t>ISO 3166-2:MO</t>
  </si>
  <si>
    <t>澳门</t>
  </si>
  <si>
    <t>units.单位名称.description= [[填单位显示的描述]]</t>
  </si>
  <si>
    <t>Send Team Chat（发送队伍消息）</t>
  </si>
  <si>
    <t>SHIFT+ENTER（Shift键+换行键）</t>
  </si>
  <si>
    <t>Y（Y键）</t>
  </si>
  <si>
    <t>AIA</t>
  </si>
  <si>
    <t>ISO 3166-2:AI</t>
  </si>
  <si>
    <t>安圭拉</t>
  </si>
  <si>
    <t>MP</t>
  </si>
  <si>
    <t>MNP</t>
  </si>
  <si>
    <t>ISO 3166-2:MP</t>
  </si>
  <si>
    <t>北马里亚纳群岛</t>
  </si>
  <si>
    <t>Ping Map（地图映射标记）</t>
  </si>
  <si>
    <t>CTRL+M（Ctrl键+M键）</t>
  </si>
  <si>
    <r>
      <rPr>
        <b/>
        <charset val="134"/>
        <sz val="10"/>
        <color rgb="FFFFFFFF"/>
        <rFont val="微软雅黑"/>
      </rPr>
      <t>CTRL+P</t>
    </r>
    <r>
      <rPr>
        <charset val="134"/>
        <sz val="10"/>
        <color rgb="FFFFFFFF"/>
        <rFont val="微软雅黑"/>
      </rPr>
      <t>（Ctrl键+P键）</t>
    </r>
  </si>
  <si>
    <t>AL</t>
  </si>
  <si>
    <t>ALB</t>
  </si>
  <si>
    <t>ISO 3166-2:AL</t>
  </si>
  <si>
    <t>阿尔巴尼亚</t>
  </si>
  <si>
    <t>MQ</t>
  </si>
  <si>
    <t>MTQ</t>
  </si>
  <si>
    <t>ISO 3166-2:MQ</t>
  </si>
  <si>
    <t>马提尼克</t>
  </si>
  <si>
    <t>沙盒模式隐藏快捷键</t>
  </si>
  <si>
    <t>Show Menu（显示菜单）</t>
  </si>
  <si>
    <t>ESCAPE</t>
  </si>
  <si>
    <t>F10（F10键）</t>
  </si>
  <si>
    <t>AM</t>
  </si>
  <si>
    <t>ARM</t>
  </si>
  <si>
    <t>ISO 3166-2:AM</t>
  </si>
  <si>
    <t>亚美尼亚</t>
  </si>
  <si>
    <t>MR</t>
  </si>
  <si>
    <t>MRT</t>
  </si>
  <si>
    <t>ISO 3166-2:MR</t>
  </si>
  <si>
    <t>毛里塔尼亚</t>
  </si>
  <si>
    <t>AI debug模式</t>
  </si>
  <si>
    <t>Map debug模式</t>
  </si>
  <si>
    <t>单位无敌模式</t>
  </si>
  <si>
    <t>Save Game（保存游戏）</t>
  </si>
  <si>
    <t>CTRL+S（Ctrl键+S键）</t>
  </si>
  <si>
    <t>AO</t>
  </si>
  <si>
    <t>AGO</t>
  </si>
  <si>
    <t>ISO 3166-2:AO</t>
  </si>
  <si>
    <t>安哥拉</t>
  </si>
  <si>
    <t>MS</t>
  </si>
  <si>
    <t>MSR</t>
  </si>
  <si>
    <t>ISO 3166-2:MS</t>
  </si>
  <si>
    <t>蒙特塞拉特</t>
  </si>
  <si>
    <t>开启按键：Shift+f3</t>
  </si>
  <si>
    <t>开启按键：Shift+f4</t>
  </si>
  <si>
    <t>开启按键：Ctrl+shift+I</t>
  </si>
  <si>
    <t>Deselect units（取消选择单位）</t>
  </si>
  <si>
    <t>SPACE（空格）</t>
  </si>
  <si>
    <t>AQ</t>
  </si>
  <si>
    <t>ATA</t>
  </si>
  <si>
    <t>ISO 3166-2:AQ</t>
  </si>
  <si>
    <t>南极洲</t>
  </si>
  <si>
    <t>MT</t>
  </si>
  <si>
    <t>MLT</t>
  </si>
  <si>
    <t>ISO 3166-2:MT</t>
  </si>
  <si>
    <t>马耳他</t>
  </si>
  <si>
    <t>Debug模式</t>
  </si>
  <si>
    <t>停止游戏</t>
  </si>
  <si>
    <t>Go to notification（转到快报）</t>
  </si>
  <si>
    <t>CTRL+SPACE（Ctrl键+空格）</t>
  </si>
  <si>
    <t>AR</t>
  </si>
  <si>
    <t>ARG</t>
  </si>
  <si>
    <t>ISO 3166-2:AR</t>
  </si>
  <si>
    <t>阿根廷</t>
  </si>
  <si>
    <t>MU</t>
  </si>
  <si>
    <t>MUS</t>
  </si>
  <si>
    <t>ISO 3166-2:MU</t>
  </si>
  <si>
    <t>毛里求斯</t>
  </si>
  <si>
    <t>开启按键：Ctrl+shift+D</t>
  </si>
  <si>
    <t>开启按键：Ctrl+shift+p</t>
  </si>
  <si>
    <t>Select Whole Army（选择所有的单位，非建筑）</t>
  </si>
  <si>
    <t>CTRL+A（Ctrl键+A键）</t>
  </si>
  <si>
    <t>AS</t>
  </si>
  <si>
    <t>ASM</t>
  </si>
  <si>
    <t>ISO 3166-2:AS</t>
  </si>
  <si>
    <t>美属萨摩亚</t>
  </si>
  <si>
    <t>MV</t>
  </si>
  <si>
    <t>MDV</t>
  </si>
  <si>
    <t>ISO 3166-2:MV</t>
  </si>
  <si>
    <t>马尔代夫</t>
  </si>
  <si>
    <t>Select Command Center（选择到指挥中心）</t>
  </si>
  <si>
    <t>CTRL+C（Ctrl键+C键）</t>
  </si>
  <si>
    <t>AT</t>
  </si>
  <si>
    <t>AUT</t>
  </si>
  <si>
    <t>ISO 3166-2:AT</t>
  </si>
  <si>
    <t>奥地利</t>
  </si>
  <si>
    <t>MW</t>
  </si>
  <si>
    <t>MWI</t>
  </si>
  <si>
    <t>ISO 3166-2:MW</t>
  </si>
  <si>
    <t>马拉维</t>
  </si>
  <si>
    <t>放置规则示例</t>
  </si>
  <si>
    <t>Cycle Builders（循环选择建造者）</t>
  </si>
  <si>
    <t>CTRL+B（Ctrl键+B键）</t>
  </si>
  <si>
    <t>AU</t>
  </si>
  <si>
    <t>AUS</t>
  </si>
  <si>
    <t>ISO 3166-2:AU</t>
  </si>
  <si>
    <t>澳大利亚</t>
  </si>
  <si>
    <t>MX</t>
  </si>
  <si>
    <t>MEX</t>
  </si>
  <si>
    <t>ISO 3166-2:MX</t>
  </si>
  <si>
    <t>墨西哥</t>
  </si>
  <si>
    <t>[placementRule_需要靠近主要建筑]</t>
  </si>
  <si>
    <t>Cycle Extractors（循环选择资源抽取器）</t>
  </si>
  <si>
    <t>CTRL+E（Ctrl键+E键）</t>
  </si>
  <si>
    <t>AW</t>
  </si>
  <si>
    <t>ABW</t>
  </si>
  <si>
    <t>ISO 3166-2:AW</t>
  </si>
  <si>
    <t>阿鲁巴</t>
  </si>
  <si>
    <t>MY</t>
  </si>
  <si>
    <t>MYS</t>
  </si>
  <si>
    <t>ISO 3166-2:MY</t>
  </si>
  <si>
    <t>马来西亚</t>
  </si>
  <si>
    <t>#anyRuleInGroup: needmainbuild</t>
  </si>
  <si>
    <t>Cycle Upgradable Fabricators（循环选择可升级单位）</t>
  </si>
  <si>
    <t>CTRL+F（Ctrl键+F键）</t>
  </si>
  <si>
    <t>AX</t>
  </si>
  <si>
    <t>ALA</t>
  </si>
  <si>
    <t>ISO 3166-2:AX</t>
  </si>
  <si>
    <t>奥兰</t>
  </si>
  <si>
    <t>MZ</t>
  </si>
  <si>
    <t>MOZ</t>
  </si>
  <si>
    <t>ISO 3166-2:MZ</t>
  </si>
  <si>
    <t>莫桑比克</t>
  </si>
  <si>
    <t>searchTags: BUIYS</t>
  </si>
  <si>
    <t>Cycle Land Factories（循环选择陆军工厂）</t>
  </si>
  <si>
    <t>CTRL+L（Ctrl键+L键）</t>
  </si>
  <si>
    <t>AZ</t>
  </si>
  <si>
    <t>AZE</t>
  </si>
  <si>
    <t>ISO 3166-2:AZ</t>
  </si>
  <si>
    <t>阿塞拜疆</t>
  </si>
  <si>
    <t>NA</t>
  </si>
  <si>
    <t>NAM</t>
  </si>
  <si>
    <t>ISO 3166-2:NA</t>
  </si>
  <si>
    <t>纳米比亚</t>
  </si>
  <si>
    <t>minCount:1</t>
  </si>
  <si>
    <t>Cycle Air Factories（循环选择空军工厂）</t>
  </si>
  <si>
    <t>CTRL+K（Ctrl键+K键）</t>
  </si>
  <si>
    <t>BA</t>
  </si>
  <si>
    <t>BIH</t>
  </si>
  <si>
    <t>ISO 3166-2:BA</t>
  </si>
  <si>
    <t>波斯尼亚和黑塞哥维那</t>
  </si>
  <si>
    <t>NC</t>
  </si>
  <si>
    <t>NCL</t>
  </si>
  <si>
    <t>ISO 3166-2:NC</t>
  </si>
  <si>
    <t>新喀里多尼亚</t>
  </si>
  <si>
    <t>checkEachTile:true</t>
  </si>
  <si>
    <t>Next Music Track（播放下一首音乐曲目）</t>
  </si>
  <si>
    <t>CTRL+N（Ctrl键+N键）</t>
  </si>
  <si>
    <t>BB</t>
  </si>
  <si>
    <t>BRB</t>
  </si>
  <si>
    <t>ISO 3166-2:BB</t>
  </si>
  <si>
    <t>巴巴多斯</t>
  </si>
  <si>
    <t>NE</t>
  </si>
  <si>
    <t>NER</t>
  </si>
  <si>
    <t>ISO 3166-2:NE</t>
  </si>
  <si>
    <t>尼日尔</t>
  </si>
  <si>
    <t>blocksPlacement:true</t>
  </si>
  <si>
    <t>BD</t>
  </si>
  <si>
    <t>BGD</t>
  </si>
  <si>
    <t>ISO 3166-2:BD</t>
  </si>
  <si>
    <t>孟加拉</t>
  </si>
  <si>
    <t>NF</t>
  </si>
  <si>
    <t>NFK</t>
  </si>
  <si>
    <t>ISO 3166-2:NF</t>
  </si>
  <si>
    <t>诺福克岛</t>
  </si>
  <si>
    <t>cannotPlaceMessage:距离太远,需要靠近主要建筑物</t>
  </si>
  <si>
    <t>&lt;&lt;&lt;Game Speed(Single Player)&gt;&gt;&gt;
《《《全局游戏速度（仅限单人模式）》》》</t>
  </si>
  <si>
    <t>BE</t>
  </si>
  <si>
    <t>BEL</t>
  </si>
  <si>
    <t>ISO 3166-2:BE</t>
  </si>
  <si>
    <t>比利时</t>
  </si>
  <si>
    <t>NG</t>
  </si>
  <si>
    <t>NGA</t>
  </si>
  <si>
    <t>ISO 3166-2:NG</t>
  </si>
  <si>
    <t>尼日利亚</t>
  </si>
  <si>
    <t>searchDistance:180</t>
  </si>
  <si>
    <t>Slower（放慢）</t>
  </si>
  <si>
    <t>MINUS</t>
  </si>
  <si>
    <t>NUMPADSUBTRACT（小键盘Subtract键）</t>
  </si>
  <si>
    <t>excludeIncompleteBuildings:true</t>
  </si>
  <si>
    <t>Faster（快进）</t>
  </si>
  <si>
    <t>EQUALS</t>
  </si>
  <si>
    <t>NUMPADADD（小键盘Add键）</t>
  </si>
  <si>
    <t>ISO 3166-2 联合国统计局统计用国家地区代码</t>
  </si>
  <si>
    <t>excludeNonBuildings:true</t>
  </si>
  <si>
    <t>Pause Game（暂停游戏）</t>
  </si>
  <si>
    <t>BREAK</t>
  </si>
  <si>
    <t>ISO 3166-3相应代码</t>
  </si>
  <si>
    <t>&lt;&lt;&lt;Unit Actions&gt;&gt;&gt;
《《《单位行动》》》</t>
  </si>
  <si>
    <t>ISO 3166-3:AD</t>
  </si>
  <si>
    <t>ISO 3166-3:ML</t>
  </si>
  <si>
    <t>已知</t>
  </si>
  <si>
    <t>Attack Move（进军）</t>
  </si>
  <si>
    <t>A（A键）</t>
  </si>
  <si>
    <t>ISO 3166-3:AE</t>
  </si>
  <si>
    <t>ISO 3166-3:MM</t>
  </si>
  <si>
    <t>SHADOW:[文件]</t>
  </si>
  <si>
    <t>把图像改成全黑</t>
  </si>
  <si>
    <t>Stop（停下）</t>
  </si>
  <si>
    <t>S（S键）</t>
  </si>
  <si>
    <t>ISO 3166-3:AF</t>
  </si>
  <si>
    <t>ISO 3166-3:MN</t>
  </si>
  <si>
    <t>ROOT:[文件/文件路径]</t>
  </si>
  <si>
    <t>从目录距离最近的all-units.template(全单位模板)开始进行引用</t>
  </si>
  <si>
    <t>Guard Unit（保护单位）</t>
  </si>
  <si>
    <t>G（G键）</t>
  </si>
  <si>
    <t>ISO 3166-3:AG</t>
  </si>
  <si>
    <t>ISO 3166-3:MO</t>
  </si>
  <si>
    <t>CORE:[文件/文件路径]</t>
  </si>
  <si>
    <t>引用assets/units文件夹里的图像文件</t>
  </si>
  <si>
    <t>Patrol（巡逻）</t>
  </si>
  <si>
    <t>P（P键）</t>
  </si>
  <si>
    <t>ISO 3166-3:AI</t>
  </si>
  <si>
    <t>ISO 3166-3:MP</t>
  </si>
  <si>
    <t>SHARED:[文件]</t>
  </si>
  <si>
    <t>引用assets/units/shared文件夹里的图像文件</t>
  </si>
  <si>
    <t>Reclaim（回收）</t>
  </si>
  <si>
    <t>ISO 3166-3:AL</t>
  </si>
  <si>
    <t>ISO 3166-3:MQ</t>
  </si>
  <si>
    <t>BUILTIN:</t>
  </si>
  <si>
    <t>使用游戏内置效果</t>
  </si>
  <si>
    <t>Action - Upgrade（行动 - 升级）</t>
  </si>
  <si>
    <t>U（U键）</t>
  </si>
  <si>
    <t>ISO 3166-3:AM</t>
  </si>
  <si>
    <t>ISO 3166-3:MR</t>
  </si>
  <si>
    <t>Action - Set Rally（行动 - 设置集结点）</t>
  </si>
  <si>
    <t>R（R键）</t>
  </si>
  <si>
    <t>ISO 3166-3:AO</t>
  </si>
  <si>
    <t>ISO 3166-3:MS</t>
  </si>
  <si>
    <t>十六进制调色</t>
  </si>
  <si>
    <t>unit action 1（单位行动1）</t>
  </si>
  <si>
    <t>Z（Z键）</t>
  </si>
  <si>
    <t>ISO 3166-3:AQ</t>
  </si>
  <si>
    <t>ISO 3166-3:MT</t>
  </si>
  <si>
    <t>-在铁锈代码中，如果您要进行上色，您必须使用十六进制进行调色</t>
  </si>
  <si>
    <t>unit action 2（单位行动2）</t>
  </si>
  <si>
    <t>X（X键）</t>
  </si>
  <si>
    <t>ISO 3166-3:AR</t>
  </si>
  <si>
    <t>ISO 3166-3:MU</t>
  </si>
  <si>
    <t>在十六进制中，1-9不变</t>
  </si>
  <si>
    <t>unit action 3（单位行动3）</t>
  </si>
  <si>
    <t>C（C键）</t>
  </si>
  <si>
    <t>ISO 3166-3:AS</t>
  </si>
  <si>
    <t>ISO 3166-3:MV</t>
  </si>
  <si>
    <t>此时</t>
  </si>
  <si>
    <t>unit action 4（单位行动4）</t>
  </si>
  <si>
    <t>V（V键）</t>
  </si>
  <si>
    <t>ISO 3166-3:AT</t>
  </si>
  <si>
    <t>ISO 3166-3:MW</t>
  </si>
  <si>
    <t>A = 10</t>
  </si>
  <si>
    <t>unit action 5（单位行动5）</t>
  </si>
  <si>
    <t>B（B键）</t>
  </si>
  <si>
    <t>ISO 3166-3:AU</t>
  </si>
  <si>
    <t>ISO 3166-3:MX</t>
  </si>
  <si>
    <t>B = 11</t>
  </si>
  <si>
    <t>unit action 6（单位行动6）</t>
  </si>
  <si>
    <t>N（N键）</t>
  </si>
  <si>
    <t>ISO 3166-3:AW</t>
  </si>
  <si>
    <t>ISO 3166-3:MY</t>
  </si>
  <si>
    <t>C = 12</t>
  </si>
  <si>
    <t>unit action 7（单位行动7）</t>
  </si>
  <si>
    <t>M（M键）</t>
  </si>
  <si>
    <t>ISO 3166-3:AX</t>
  </si>
  <si>
    <t>ISO 3166-3:MZ</t>
  </si>
  <si>
    <t>D = 13</t>
  </si>
  <si>
    <t>unit action 8（单位行动8）</t>
  </si>
  <si>
    <t>J（J键）</t>
  </si>
  <si>
    <t>ISO 3166-3:AZ</t>
  </si>
  <si>
    <t>ISO 3166-3:NA</t>
  </si>
  <si>
    <t>E = 14</t>
  </si>
  <si>
    <t>unit action 9（单位行动9）</t>
  </si>
  <si>
    <t>K（K键）</t>
  </si>
  <si>
    <t>ISO 3166-3:BA</t>
  </si>
  <si>
    <t>ISO 3166-3:NC</t>
  </si>
  <si>
    <t>F = 15</t>
  </si>
  <si>
    <t>unit action 10（单位行动10）</t>
  </si>
  <si>
    <t>L（L键）</t>
  </si>
  <si>
    <t>ISO 3166-3:BB</t>
  </si>
  <si>
    <t>ISO 3166-3:NE</t>
  </si>
  <si>
    <t>十六进制调色分有很多种</t>
  </si>
  <si>
    <t>ISO 3166-3:BD</t>
  </si>
  <si>
    <t>ISO 3166-3:NF</t>
  </si>
  <si>
    <t>铁锈代码使用的是RGB（红绿蓝）或者RGBA（红绿蓝透）调色</t>
  </si>
  <si>
    <t>&lt;&lt;&lt;Unit Groups&gt;&gt;&gt;
《《《单位编队》》》</t>
  </si>
  <si>
    <t>ISO 3166-3:BE</t>
  </si>
  <si>
    <t>ISO 3166-3:NG</t>
  </si>
  <si>
    <t>PS：在调色中，字母可以不分大小写</t>
  </si>
  <si>
    <t>create group 1（创建编队1）</t>
  </si>
  <si>
    <t>CTRL+1（Ctrl键+数字1键）</t>
  </si>
  <si>
    <t>CK</t>
  </si>
  <si>
    <t>COK</t>
  </si>
  <si>
    <t>ISO 3166-2:CK</t>
  </si>
  <si>
    <t>库克群岛</t>
  </si>
  <si>
    <t>RO</t>
  </si>
  <si>
    <t>ROU</t>
  </si>
  <si>
    <t>ISO 3166-2:RO</t>
  </si>
  <si>
    <t>罗马尼亚</t>
  </si>
  <si>
    <t>几个例子</t>
  </si>
  <si>
    <t>create group 2（创建编队2）</t>
  </si>
  <si>
    <t>CTRL+2（Ctrl键+数字2键）</t>
  </si>
  <si>
    <t>CL</t>
  </si>
  <si>
    <t>CHL</t>
  </si>
  <si>
    <t>ISO 3166-2:CL</t>
  </si>
  <si>
    <t>智利</t>
  </si>
  <si>
    <t>RS</t>
  </si>
  <si>
    <t>SRB</t>
  </si>
  <si>
    <t>ISO 3166-2:RS</t>
  </si>
  <si>
    <t>塞尔维亚</t>
  </si>
  <si>
    <t>#FF0000 = 红色</t>
  </si>
  <si>
    <t>create group 3（创建编队3）</t>
  </si>
  <si>
    <t>CTRL+3（Ctrl键+数字3键）</t>
  </si>
  <si>
    <t>CM</t>
  </si>
  <si>
    <t>CMR</t>
  </si>
  <si>
    <t>ISO 3166-2:CM</t>
  </si>
  <si>
    <t>喀麦隆</t>
  </si>
  <si>
    <t>RU</t>
  </si>
  <si>
    <t>RUS</t>
  </si>
  <si>
    <t>ISO 3166-2:RU</t>
  </si>
  <si>
    <t>俄罗斯</t>
  </si>
  <si>
    <t>#00FF00 = 绿色</t>
  </si>
  <si>
    <t>create group 4（创建编队4）</t>
  </si>
  <si>
    <t>CTRL+4（Ctrl键+数字4键）</t>
  </si>
  <si>
    <t>CN</t>
  </si>
  <si>
    <t>CHN</t>
  </si>
  <si>
    <t>ISO 3166-2:CN</t>
  </si>
  <si>
    <t>中国</t>
  </si>
  <si>
    <t>RW</t>
  </si>
  <si>
    <t>RWA</t>
  </si>
  <si>
    <t>ISO 3166-2:RW</t>
  </si>
  <si>
    <t>卢旺达</t>
  </si>
  <si>
    <t>#0000FF = 蓝色</t>
  </si>
  <si>
    <t>create group 5（创建编队5）</t>
  </si>
  <si>
    <t>CTRL+5（Ctrl键+数字5键）</t>
  </si>
  <si>
    <t>CO</t>
  </si>
  <si>
    <t>COL</t>
  </si>
  <si>
    <t>ISO 3166-2:CO</t>
  </si>
  <si>
    <t>哥伦比亚</t>
  </si>
  <si>
    <t>SA</t>
  </si>
  <si>
    <t>SAU</t>
  </si>
  <si>
    <t>ISO 3166-2:SA</t>
  </si>
  <si>
    <t>沙特阿拉伯</t>
  </si>
  <si>
    <t>#FFFF00 = 黄色</t>
  </si>
  <si>
    <t>create group 6（创建编队6）</t>
  </si>
  <si>
    <t>CTRL+6（Ctrl键+数字6键）</t>
  </si>
  <si>
    <t>CR</t>
  </si>
  <si>
    <t>CRI</t>
  </si>
  <si>
    <t>ISO 3166-2:CR</t>
  </si>
  <si>
    <t>哥斯达黎加</t>
  </si>
  <si>
    <t>SB</t>
  </si>
  <si>
    <t>SLB</t>
  </si>
  <si>
    <t>ISO 3166-2:SB</t>
  </si>
  <si>
    <t>所罗门群岛</t>
  </si>
  <si>
    <t>#FF00FF = 紫色</t>
  </si>
  <si>
    <t>create group 7（创建编队7）</t>
  </si>
  <si>
    <t>CTRL+7（Ctrl键+数字7键）</t>
  </si>
  <si>
    <t>CU</t>
  </si>
  <si>
    <t>CUB</t>
  </si>
  <si>
    <t>ISO 3166-2:CU</t>
  </si>
  <si>
    <t>古巴</t>
  </si>
  <si>
    <t>SC</t>
  </si>
  <si>
    <t>SYC</t>
  </si>
  <si>
    <t>ISO 3166-2:SC</t>
  </si>
  <si>
    <t>塞舌尔</t>
  </si>
  <si>
    <t>#00FFFF = 青色</t>
  </si>
  <si>
    <t>create group 8（创建编队8）</t>
  </si>
  <si>
    <t>CTRL+8（Ctrl键+数字8键）</t>
  </si>
  <si>
    <t>CV</t>
  </si>
  <si>
    <t>CPV</t>
  </si>
  <si>
    <t>ISO 3166-2:CV</t>
  </si>
  <si>
    <t>佛得角</t>
  </si>
  <si>
    <t>SD</t>
  </si>
  <si>
    <t>SDN</t>
  </si>
  <si>
    <t>ISO 3166-2:SD</t>
  </si>
  <si>
    <t>苏丹</t>
  </si>
  <si>
    <t>#00FFFF80 = 半透明的青色</t>
  </si>
  <si>
    <t>create group 9（创建编队9）</t>
  </si>
  <si>
    <t>CTRL+9（Ctrl键+数字9键）</t>
  </si>
  <si>
    <t>CW</t>
  </si>
  <si>
    <t>CUW</t>
  </si>
  <si>
    <t>ISO 3166-2:CW</t>
  </si>
  <si>
    <t>库拉索</t>
  </si>
  <si>
    <t>SE</t>
  </si>
  <si>
    <t>SWE</t>
  </si>
  <si>
    <t>ISO 3166-2:SE</t>
  </si>
  <si>
    <t>瑞典</t>
  </si>
  <si>
    <t>您可能会没看懂为什么要这么写</t>
  </si>
  <si>
    <t>create group 10（创建编队0(10)）</t>
  </si>
  <si>
    <t>CTRL+0（Ctrl键+数字0键）</t>
  </si>
  <si>
    <t>CX</t>
  </si>
  <si>
    <t>CXR</t>
  </si>
  <si>
    <t>ISO 3166-2:CX</t>
  </si>
  <si>
    <t>圣诞岛</t>
  </si>
  <si>
    <t>SG</t>
  </si>
  <si>
    <t>SGP</t>
  </si>
  <si>
    <t>ISO 3166-2:SG</t>
  </si>
  <si>
    <t>新加坡</t>
  </si>
  <si>
    <t>这个规律很简单</t>
  </si>
  <si>
    <t>select group 1（选择编队1）</t>
  </si>
  <si>
    <t>1（数字1键）</t>
  </si>
  <si>
    <t>CY</t>
  </si>
  <si>
    <t>CYP</t>
  </si>
  <si>
    <t>ISO 3166-2:CY</t>
  </si>
  <si>
    <t>塞浦路斯</t>
  </si>
  <si>
    <t>SH</t>
  </si>
  <si>
    <t>SHN</t>
  </si>
  <si>
    <t>ISO 3166-2:SH</t>
  </si>
  <si>
    <t>圣赫勒拿</t>
  </si>
  <si>
    <t>每两位数，用第一位数乘以16，再加上第二位数即可算出RGB或RDBA的值</t>
  </si>
  <si>
    <t>select group 2（选择编队2）</t>
  </si>
  <si>
    <t>2（数字2键）</t>
  </si>
  <si>
    <t>CZ</t>
  </si>
  <si>
    <t>CZE</t>
  </si>
  <si>
    <t>ISO 3166-2:CZ</t>
  </si>
  <si>
    <t>捷克</t>
  </si>
  <si>
    <t>SI</t>
  </si>
  <si>
    <t>SVN</t>
  </si>
  <si>
    <t>ISO 3166-2:SI</t>
  </si>
  <si>
    <t>斯洛文尼亚</t>
  </si>
  <si>
    <t>select group 3（选择编队3）</t>
  </si>
  <si>
    <t>3（数字3键）</t>
  </si>
  <si>
    <t>DE</t>
  </si>
  <si>
    <t>DEU</t>
  </si>
  <si>
    <t>ISO 3166-2:DE</t>
  </si>
  <si>
    <t>德国</t>
  </si>
  <si>
    <t>SJ</t>
  </si>
  <si>
    <t>SJM</t>
  </si>
  <si>
    <t>ISO 3166-2:SJ</t>
  </si>
  <si>
    <t>挪威 斯瓦尔巴群岛和扬马延岛</t>
  </si>
  <si>
    <t>FA=250</t>
  </si>
  <si>
    <t>select group 4（选择编队4）</t>
  </si>
  <si>
    <t>4（数字4键）</t>
  </si>
  <si>
    <t>DJ</t>
  </si>
  <si>
    <t>DJI</t>
  </si>
  <si>
    <t>ISO 3166-2:DJ</t>
  </si>
  <si>
    <t>吉布提</t>
  </si>
  <si>
    <t>SK</t>
  </si>
  <si>
    <t>SVK</t>
  </si>
  <si>
    <t>ISO 3166-2:SK</t>
  </si>
  <si>
    <t>斯洛伐克</t>
  </si>
  <si>
    <t>80=128</t>
  </si>
  <si>
    <t>select group 5（选择编队5）</t>
  </si>
  <si>
    <t>5（数字5键）</t>
  </si>
  <si>
    <t>DK</t>
  </si>
  <si>
    <t>DNK</t>
  </si>
  <si>
    <t>ISO 3166-2:DK</t>
  </si>
  <si>
    <t>丹麦</t>
  </si>
  <si>
    <t>SL</t>
  </si>
  <si>
    <t>SLE</t>
  </si>
  <si>
    <t>ISO 3166-2:SL</t>
  </si>
  <si>
    <t>塞拉利昂</t>
  </si>
  <si>
    <t>A0=160</t>
  </si>
  <si>
    <t>select group 6（选择编队6）</t>
  </si>
  <si>
    <t>6（数字6键）</t>
  </si>
  <si>
    <t>DM</t>
  </si>
  <si>
    <t>DMA</t>
  </si>
  <si>
    <t>ISO 3166-2:DM</t>
  </si>
  <si>
    <t>多米尼克</t>
  </si>
  <si>
    <t>SM</t>
  </si>
  <si>
    <t>SMR</t>
  </si>
  <si>
    <t>ISO 3166-2:SM</t>
  </si>
  <si>
    <t>圣马力诺</t>
  </si>
  <si>
    <t>用其调色就行，记得#后面是按照R（红色），G（绿色），B（蓝色），A（透明度）来调色的哦</t>
  </si>
  <si>
    <t>select group 7（选择编队7）</t>
  </si>
  <si>
    <t>7（数字7键）</t>
  </si>
  <si>
    <t>DO</t>
  </si>
  <si>
    <t>DOM</t>
  </si>
  <si>
    <t>ISO 3166-2:DO</t>
  </si>
  <si>
    <t>多米尼加</t>
  </si>
  <si>
    <t>SN</t>
  </si>
  <si>
    <t>SEN</t>
  </si>
  <si>
    <t>ISO 3166-2:SN</t>
  </si>
  <si>
    <t>塞内加尔</t>
  </si>
  <si>
    <t>select group 8（选择编队8）</t>
  </si>
  <si>
    <t>8（数字8键）</t>
  </si>
  <si>
    <t>DZ</t>
  </si>
  <si>
    <t>DZA</t>
  </si>
  <si>
    <t>ISO 3166-2:DZ</t>
  </si>
  <si>
    <t>阿尔及利亚</t>
  </si>
  <si>
    <t>SO</t>
  </si>
  <si>
    <t>SOM</t>
  </si>
  <si>
    <t>ISO 3166-2:SO</t>
  </si>
  <si>
    <t>索马里</t>
  </si>
  <si>
    <t>select group 9（选择编队9）</t>
  </si>
  <si>
    <t>9（数字9键）</t>
  </si>
  <si>
    <t>EC</t>
  </si>
  <si>
    <t>ECU</t>
  </si>
  <si>
    <t>ISO 3166-2:EC</t>
  </si>
  <si>
    <t>厄瓜多尔</t>
  </si>
  <si>
    <t>SR</t>
  </si>
  <si>
    <t>SUR</t>
  </si>
  <si>
    <t>ISO 3166-2:SR</t>
  </si>
  <si>
    <t>苏里南</t>
  </si>
  <si>
    <t>select group 10（选择编队0(10)）</t>
  </si>
  <si>
    <t>0（数字0键）</t>
  </si>
  <si>
    <t>EE</t>
  </si>
  <si>
    <t>EST</t>
  </si>
  <si>
    <t>ISO 3166-2:EE</t>
  </si>
  <si>
    <t>爱沙尼亚</t>
  </si>
  <si>
    <t>SS</t>
  </si>
  <si>
    <t>SSD</t>
  </si>
  <si>
    <t>ISO 3166-2:SS</t>
  </si>
  <si>
    <t>南苏丹</t>
  </si>
  <si>
    <t>Add group to selection 1（添加单位到编队1）</t>
  </si>
  <si>
    <t>SHIFT+1（Shift键+数字1键）</t>
  </si>
  <si>
    <t>EG</t>
  </si>
  <si>
    <t>EGY</t>
  </si>
  <si>
    <t>ISO 3166-2:EG</t>
  </si>
  <si>
    <t>埃及</t>
  </si>
  <si>
    <t>ST</t>
  </si>
  <si>
    <t>STP</t>
  </si>
  <si>
    <t>ISO 3166-2:ST</t>
  </si>
  <si>
    <t>圣多美和普林西比</t>
  </si>
  <si>
    <t>Add group to selection 2（添加单位到编队2）</t>
  </si>
  <si>
    <t>SHIFT+2（Shift键+数字2键）</t>
  </si>
  <si>
    <t>EH</t>
  </si>
  <si>
    <t>ESH</t>
  </si>
  <si>
    <t>ISO 3166-2:EH</t>
  </si>
  <si>
    <t>阿拉伯撒哈拉民主共和国</t>
  </si>
  <si>
    <t>SV</t>
  </si>
  <si>
    <t>SLV</t>
  </si>
  <si>
    <t>ISO 3166-2:SV</t>
  </si>
  <si>
    <t>萨尔瓦多</t>
  </si>
  <si>
    <t>Add group to selection 3（添加单位到编队3）</t>
  </si>
  <si>
    <t>SHIFT+3（Shift键+数字3键）</t>
  </si>
  <si>
    <t>ER</t>
  </si>
  <si>
    <t>ERI</t>
  </si>
  <si>
    <t>ISO 3166-2:ER</t>
  </si>
  <si>
    <t>厄立特里亚</t>
  </si>
  <si>
    <t>SX</t>
  </si>
  <si>
    <t>SXM</t>
  </si>
  <si>
    <t>ISO 3166-2:SX</t>
  </si>
  <si>
    <t>荷属圣马丁</t>
  </si>
  <si>
    <t>Add group to selection 4（添加单位到编队4）</t>
  </si>
  <si>
    <t>SHIFT+4（Shift键+数字4键）</t>
  </si>
  <si>
    <t>ES</t>
  </si>
  <si>
    <t>ESP</t>
  </si>
  <si>
    <t>ISO 3166-2:ES</t>
  </si>
  <si>
    <t>西班牙</t>
  </si>
  <si>
    <t>SY</t>
  </si>
  <si>
    <t>SYR</t>
  </si>
  <si>
    <t>ISO 3166-2:SY</t>
  </si>
  <si>
    <t>叙利亚</t>
  </si>
  <si>
    <t>Add group to selection 5（添加单位到编队5）</t>
  </si>
  <si>
    <t>SHIFT+5（Shift键+数字5键）</t>
  </si>
  <si>
    <t>ET</t>
  </si>
  <si>
    <t>ETH</t>
  </si>
  <si>
    <t>ISO 3166-2:ET</t>
  </si>
  <si>
    <t>埃塞俄比亚</t>
  </si>
  <si>
    <t>SZ</t>
  </si>
  <si>
    <t>SWZ</t>
  </si>
  <si>
    <t>ISO 3166-2:SZ</t>
  </si>
  <si>
    <t>斯威士兰</t>
  </si>
  <si>
    <t>Add group to selection 6（添加单位到编队6）</t>
  </si>
  <si>
    <t>SHIFT+6（Shift键+数字6键）</t>
  </si>
  <si>
    <t>FI</t>
  </si>
  <si>
    <t>FIN</t>
  </si>
  <si>
    <t>ISO 3166-2:FI</t>
  </si>
  <si>
    <t>芬兰</t>
  </si>
  <si>
    <t>TC</t>
  </si>
  <si>
    <t>TCA</t>
  </si>
  <si>
    <t>ISO 3166-2:TC</t>
  </si>
  <si>
    <t>特克斯和凯科斯群岛</t>
  </si>
  <si>
    <t>Add group to selection 7（添加单位到编队7）</t>
  </si>
  <si>
    <t>SHIFT+7（Shift键+数字7键）</t>
  </si>
  <si>
    <t>FJ</t>
  </si>
  <si>
    <t>FJI</t>
  </si>
  <si>
    <t>ISO 3166-2:FJ</t>
  </si>
  <si>
    <t>斐济</t>
  </si>
  <si>
    <t>TD</t>
  </si>
  <si>
    <t>TCD</t>
  </si>
  <si>
    <t>ISO 3166-2:TD</t>
  </si>
  <si>
    <t>乍得</t>
  </si>
  <si>
    <t>Add group to selection 8（添加单位到编队8）</t>
  </si>
  <si>
    <t>SHIFT+8（Shift键+数字8键）</t>
  </si>
  <si>
    <t>FK</t>
  </si>
  <si>
    <t>FLK</t>
  </si>
  <si>
    <t>ISO 3166-2:FK</t>
  </si>
  <si>
    <t>福克兰群岛</t>
  </si>
  <si>
    <t>TF</t>
  </si>
  <si>
    <t>ATF</t>
  </si>
  <si>
    <t>ISO 3166-2:TF</t>
  </si>
  <si>
    <t>法属南部领地</t>
  </si>
  <si>
    <t>Add group to selection 9（添加单位到编队9）</t>
  </si>
  <si>
    <t>SHIFT+9（Shift键+数字9键）</t>
  </si>
  <si>
    <t>FM</t>
  </si>
  <si>
    <t>FSM</t>
  </si>
  <si>
    <t>ISO 3166-2:FM</t>
  </si>
  <si>
    <t>密克罗尼西亚联邦</t>
  </si>
  <si>
    <t>TG</t>
  </si>
  <si>
    <t>TGO</t>
  </si>
  <si>
    <t>ISO 3166-2:TG</t>
  </si>
  <si>
    <t>多哥</t>
  </si>
  <si>
    <t>Add group to selection 10（添加单位到编队0(100）</t>
  </si>
  <si>
    <t>SHIFT+0（Shift键+数字0键）</t>
  </si>
  <si>
    <t>FO</t>
  </si>
  <si>
    <t>FRO</t>
  </si>
  <si>
    <t>ISO 3166-2:FO</t>
  </si>
  <si>
    <t>法罗群岛</t>
  </si>
  <si>
    <t>TH</t>
  </si>
  <si>
    <t>THA</t>
  </si>
  <si>
    <t>ISO 3166-2:TH</t>
  </si>
  <si>
    <t>泰国</t>
  </si>
  <si>
    <t>FR</t>
  </si>
  <si>
    <t>FRA</t>
  </si>
  <si>
    <t>ISO 3166-2:FR</t>
  </si>
  <si>
    <t>法国</t>
  </si>
  <si>
    <t>TJ</t>
  </si>
  <si>
    <t>TJK</t>
  </si>
  <si>
    <t>ISO 3166-2:TJ</t>
  </si>
  <si>
    <t>塔吉克斯坦</t>
  </si>
  <si>
    <t>GA</t>
  </si>
  <si>
    <t>GAB</t>
  </si>
  <si>
    <t>ISO 3166-2:GA</t>
  </si>
  <si>
    <t>加蓬</t>
  </si>
  <si>
    <t>TK</t>
  </si>
  <si>
    <t>TKL</t>
  </si>
  <si>
    <t>ISO 3166-2:TK</t>
  </si>
  <si>
    <t>托克劳</t>
  </si>
  <si>
    <t>GB</t>
  </si>
  <si>
    <t>GBR</t>
  </si>
  <si>
    <t>ISO 3166-2:GB</t>
  </si>
  <si>
    <t>英国</t>
  </si>
  <si>
    <t>TL</t>
  </si>
  <si>
    <t>TLS</t>
  </si>
  <si>
    <t>ISO 3166-2:TP</t>
  </si>
  <si>
    <t>东帝汶</t>
  </si>
  <si>
    <t>GD</t>
  </si>
  <si>
    <t>GRD</t>
  </si>
  <si>
    <t>ISO 3166-2:GD</t>
  </si>
  <si>
    <t>格林纳达</t>
  </si>
  <si>
    <t>TM</t>
  </si>
  <si>
    <t>TKM</t>
  </si>
  <si>
    <t>ISO 3166-2:TM</t>
  </si>
  <si>
    <t>土库曼斯坦</t>
  </si>
  <si>
    <t>GE</t>
  </si>
  <si>
    <t>GEO</t>
  </si>
  <si>
    <t>ISO 3166-2:GE</t>
  </si>
  <si>
    <t>格鲁吉亚</t>
  </si>
  <si>
    <t>TN</t>
  </si>
  <si>
    <t>TUN</t>
  </si>
  <si>
    <t>ISO 3166-2:TN</t>
  </si>
  <si>
    <t>突尼斯</t>
  </si>
  <si>
    <t>GF</t>
  </si>
  <si>
    <t>GUF</t>
  </si>
  <si>
    <t>ISO 3166-2:GF</t>
  </si>
  <si>
    <t>法属圭亚那</t>
  </si>
  <si>
    <t>TO</t>
  </si>
  <si>
    <t>TON</t>
  </si>
  <si>
    <t>ISO 3166-2:TO</t>
  </si>
  <si>
    <t>汤加</t>
  </si>
  <si>
    <t>GG</t>
  </si>
  <si>
    <t>GGY</t>
  </si>
  <si>
    <t>ISO 3166-2:GG</t>
  </si>
  <si>
    <t>根西</t>
  </si>
  <si>
    <t>TR</t>
  </si>
  <si>
    <t>TUR</t>
  </si>
  <si>
    <t>ISO 3166-2:TR</t>
  </si>
  <si>
    <t>土耳其</t>
  </si>
  <si>
    <t>GH</t>
  </si>
  <si>
    <t>GHA</t>
  </si>
  <si>
    <t>ISO 3166-2:GH</t>
  </si>
  <si>
    <t>加纳</t>
  </si>
  <si>
    <t>TT</t>
  </si>
  <si>
    <t>TTO</t>
  </si>
  <si>
    <t>ISO 3166-2:TT</t>
  </si>
  <si>
    <t>特立尼达和多巴哥</t>
  </si>
  <si>
    <t>GI</t>
  </si>
  <si>
    <t>GIB</t>
  </si>
  <si>
    <t>ISO 3166-2:GI</t>
  </si>
  <si>
    <t>直布罗陀</t>
  </si>
  <si>
    <t>TV</t>
  </si>
  <si>
    <t>TUV</t>
  </si>
  <si>
    <t>ISO 3166-2:TV</t>
  </si>
  <si>
    <t>图瓦卢</t>
  </si>
  <si>
    <t>GL</t>
  </si>
  <si>
    <t>GRL</t>
  </si>
  <si>
    <t>ISO 3166-2:GL</t>
  </si>
  <si>
    <t>格陵兰</t>
  </si>
  <si>
    <t>TW</t>
  </si>
  <si>
    <t>TWN</t>
  </si>
  <si>
    <t>ISO 3166-2:TW</t>
  </si>
  <si>
    <t>台湾 台湾</t>
  </si>
  <si>
    <t>GM</t>
  </si>
  <si>
    <t>GMB</t>
  </si>
  <si>
    <t>ISO 3166-2:GM</t>
  </si>
  <si>
    <t>冈比亚</t>
  </si>
  <si>
    <t>TZ</t>
  </si>
  <si>
    <t>TZA</t>
  </si>
  <si>
    <t>ISO 3166-2:TZ</t>
  </si>
  <si>
    <t>坦桑尼亚</t>
  </si>
  <si>
    <t>GN</t>
  </si>
  <si>
    <t>GIN</t>
  </si>
  <si>
    <t>ISO 3166-2:GN</t>
  </si>
  <si>
    <t>几内亚</t>
  </si>
  <si>
    <t>UA</t>
  </si>
  <si>
    <t>UKR</t>
  </si>
  <si>
    <t>ISO 3166-2:UA</t>
  </si>
  <si>
    <t>乌克兰</t>
  </si>
  <si>
    <t>GP</t>
  </si>
  <si>
    <t>GLP</t>
  </si>
  <si>
    <t>ISO 3166-2:GP</t>
  </si>
  <si>
    <t>瓜德罗普</t>
  </si>
  <si>
    <t>UG</t>
  </si>
  <si>
    <t>UGA</t>
  </si>
  <si>
    <t>ISO 3166-2:UG</t>
  </si>
  <si>
    <t>乌干达</t>
  </si>
  <si>
    <t>GQ</t>
  </si>
  <si>
    <t>GNQ</t>
  </si>
  <si>
    <t>ISO 3166-2:GQ</t>
  </si>
  <si>
    <t>赤道几内亚</t>
  </si>
  <si>
    <t>UM</t>
  </si>
  <si>
    <t>UMI</t>
  </si>
  <si>
    <t>ISO 3166-2:UM</t>
  </si>
  <si>
    <t>美国本土外小岛屿</t>
  </si>
  <si>
    <t>GR</t>
  </si>
  <si>
    <t>GRC</t>
  </si>
  <si>
    <t>ISO 3166-2:GR</t>
  </si>
  <si>
    <t>希腊</t>
  </si>
  <si>
    <t>US</t>
  </si>
  <si>
    <t>USA</t>
  </si>
  <si>
    <t>ISO 3166-2:US</t>
  </si>
  <si>
    <t>美国</t>
  </si>
  <si>
    <t>GS</t>
  </si>
  <si>
    <t>SGS</t>
  </si>
  <si>
    <t>ISO 3166-2:GS</t>
  </si>
  <si>
    <t>南乔治亚和南桑威奇群岛</t>
  </si>
  <si>
    <t>UY</t>
  </si>
  <si>
    <t>URY</t>
  </si>
  <si>
    <t>ISO 3166-2:UY</t>
  </si>
  <si>
    <t>乌拉圭</t>
  </si>
  <si>
    <t>GT</t>
  </si>
  <si>
    <t>GTM</t>
  </si>
  <si>
    <t>ISO 3166-2:GT</t>
  </si>
  <si>
    <t>危地马拉</t>
  </si>
  <si>
    <t>UZ</t>
  </si>
  <si>
    <t>UZB</t>
  </si>
  <si>
    <t>ISO 3166-2:UZ</t>
  </si>
  <si>
    <t>乌兹别克斯坦</t>
  </si>
  <si>
    <t>GU</t>
  </si>
  <si>
    <t>GUM</t>
  </si>
  <si>
    <t>ISO 3166-2:GU</t>
  </si>
  <si>
    <t>关岛</t>
  </si>
  <si>
    <t>VA</t>
  </si>
  <si>
    <t>VAT</t>
  </si>
  <si>
    <t>ISO 3166-2:VA</t>
  </si>
  <si>
    <t>梵蒂冈</t>
  </si>
  <si>
    <t>GW</t>
  </si>
  <si>
    <t>GNB</t>
  </si>
  <si>
    <t>ISO 3166-2:GW</t>
  </si>
  <si>
    <t>几内亚比绍</t>
  </si>
  <si>
    <t>VC</t>
  </si>
  <si>
    <t>VCT</t>
  </si>
  <si>
    <t>ISO 3166-2:VC</t>
  </si>
  <si>
    <t>圣文森特和格林纳丁斯</t>
  </si>
  <si>
    <t>GY</t>
  </si>
  <si>
    <t>GUY</t>
  </si>
  <si>
    <t>ISO 3166-2:GY</t>
  </si>
  <si>
    <t>圭亚那</t>
  </si>
  <si>
    <t>VE</t>
  </si>
  <si>
    <t>VEN</t>
  </si>
  <si>
    <t>ISO 3166-2:VE</t>
  </si>
  <si>
    <t>委内瑞拉</t>
  </si>
  <si>
    <t>HK</t>
  </si>
  <si>
    <t>HKG</t>
  </si>
  <si>
    <t>ISO 3166-2:HK</t>
  </si>
  <si>
    <t>香港</t>
  </si>
  <si>
    <t>VG</t>
  </si>
  <si>
    <t>VGB</t>
  </si>
  <si>
    <t>ISO 3166-2:VG</t>
  </si>
  <si>
    <t>英属维尔京群岛</t>
  </si>
  <si>
    <t>HM</t>
  </si>
  <si>
    <t>HMD</t>
  </si>
  <si>
    <t>ISO 3166-2:HM</t>
  </si>
  <si>
    <t>赫德岛和麦克唐纳群岛</t>
  </si>
  <si>
    <t>VI</t>
  </si>
  <si>
    <t>VIR</t>
  </si>
  <si>
    <t>ISO 3166-2:VI</t>
  </si>
  <si>
    <t>美属维尔京群岛</t>
  </si>
  <si>
    <t>HN</t>
  </si>
  <si>
    <t>HND</t>
  </si>
  <si>
    <t>ISO 3166-2:HN</t>
  </si>
  <si>
    <t>洪都拉斯</t>
  </si>
  <si>
    <t>VN</t>
  </si>
  <si>
    <t>VNM</t>
  </si>
  <si>
    <t>ISO 3166-2:VN</t>
  </si>
  <si>
    <t>越南</t>
  </si>
  <si>
    <t>HR</t>
  </si>
  <si>
    <t>HRV</t>
  </si>
  <si>
    <t>ISO 3166-2:HR</t>
  </si>
  <si>
    <t>克罗地亚</t>
  </si>
  <si>
    <t>VU</t>
  </si>
  <si>
    <t>VUT</t>
  </si>
  <si>
    <t>ISO 3166-2:VU</t>
  </si>
  <si>
    <t>瓦努阿图</t>
  </si>
  <si>
    <t>HT</t>
  </si>
  <si>
    <t>HTI</t>
  </si>
  <si>
    <t>ISO 3166-2:HT</t>
  </si>
  <si>
    <t>海地</t>
  </si>
  <si>
    <t>WF</t>
  </si>
  <si>
    <t>WLF</t>
  </si>
  <si>
    <t>ISO 3166-2:WF</t>
  </si>
  <si>
    <t>瓦利斯和富图纳</t>
  </si>
  <si>
    <t>HU</t>
  </si>
  <si>
    <t>HUN</t>
  </si>
  <si>
    <t>ISO 3166-2:HU</t>
  </si>
  <si>
    <t>匈牙利</t>
  </si>
  <si>
    <t>WS</t>
  </si>
  <si>
    <t>WSM</t>
  </si>
  <si>
    <t>ISO 3166-2:WS</t>
  </si>
  <si>
    <t>萨摩亚</t>
  </si>
  <si>
    <t>IDN</t>
  </si>
  <si>
    <t>ISO 3166-2:ID</t>
  </si>
  <si>
    <t>印尼</t>
  </si>
  <si>
    <t>YE</t>
  </si>
  <si>
    <t>YEM</t>
  </si>
  <si>
    <t>ISO 3166-2:YE</t>
  </si>
  <si>
    <t>也门</t>
  </si>
  <si>
    <t>IE</t>
  </si>
  <si>
    <t>IRL</t>
  </si>
  <si>
    <t>ISO 3166-2:IE</t>
  </si>
  <si>
    <t>爱尔兰</t>
  </si>
  <si>
    <t>YT</t>
  </si>
  <si>
    <t>MYT</t>
  </si>
  <si>
    <t>ISO 3166-2:YT</t>
  </si>
  <si>
    <t>马约特</t>
  </si>
  <si>
    <t>IL</t>
  </si>
  <si>
    <t>ISR</t>
  </si>
  <si>
    <t>ISO 3166-2:IL</t>
  </si>
  <si>
    <t>以色列</t>
  </si>
  <si>
    <t>ZA</t>
  </si>
  <si>
    <t>ZAF</t>
  </si>
  <si>
    <t>ISO 3166-2:ZA</t>
  </si>
  <si>
    <t>南非</t>
  </si>
  <si>
    <t>IM</t>
  </si>
  <si>
    <t>IMN</t>
  </si>
  <si>
    <t>ISO 3166-2:IM</t>
  </si>
  <si>
    <t>马恩岛</t>
  </si>
  <si>
    <t>ZM</t>
  </si>
  <si>
    <t>ZMB</t>
  </si>
  <si>
    <t>ISO 3166-2:ZM</t>
  </si>
  <si>
    <t>赞比亚</t>
  </si>
  <si>
    <t>IN</t>
  </si>
  <si>
    <t>IND</t>
  </si>
  <si>
    <t>ISO 3166-2:IN</t>
  </si>
  <si>
    <t>印度</t>
  </si>
  <si>
    <t>ZW</t>
  </si>
  <si>
    <t>ZWE</t>
  </si>
  <si>
    <t>ISO 3166-2:ZW</t>
  </si>
  <si>
    <t>津巴布韦</t>
  </si>
  <si>
    <t>IO</t>
  </si>
  <si>
    <t>IOT</t>
  </si>
  <si>
    <t>ISO 3166-2:IO</t>
  </si>
  <si>
    <t>英属印度洋领地</t>
  </si>
  <si>
    <t>IQ</t>
  </si>
  <si>
    <t>IRQ</t>
  </si>
  <si>
    <t>ISO 3166-2:IQ</t>
  </si>
  <si>
    <t>伊拉克</t>
  </si>
  <si>
    <t>IR</t>
  </si>
  <si>
    <t>IRN</t>
  </si>
  <si>
    <t>ISO 3166-2:IR</t>
  </si>
  <si>
    <t>伊朗</t>
  </si>
  <si>
    <t>IS</t>
  </si>
  <si>
    <t>ISL</t>
  </si>
  <si>
    <t>ISO 3166-2:IS</t>
  </si>
  <si>
    <t>IT</t>
  </si>
  <si>
    <t>ITA</t>
  </si>
  <si>
    <t>ISO 3166-2:IT</t>
  </si>
  <si>
    <t>意大利</t>
  </si>
  <si>
    <t>JE</t>
  </si>
  <si>
    <t>JEY</t>
  </si>
  <si>
    <t>ISO 3166-2:JE</t>
  </si>
  <si>
    <t>泽西</t>
  </si>
  <si>
    <t>JM</t>
  </si>
  <si>
    <t>JAM</t>
  </si>
  <si>
    <t>ISO 3166-2:JM</t>
  </si>
  <si>
    <t>牙买加</t>
  </si>
  <si>
    <t>JO</t>
  </si>
  <si>
    <t>JOR</t>
  </si>
  <si>
    <t>ISO 3166-2:JO</t>
  </si>
  <si>
    <t>约旦</t>
  </si>
  <si>
    <t>JP</t>
  </si>
  <si>
    <t>JPN</t>
  </si>
  <si>
    <t>ISO 3166-2:JP</t>
  </si>
  <si>
    <t>日本</t>
  </si>
  <si>
    <t>KE</t>
  </si>
  <si>
    <t>KEN</t>
  </si>
  <si>
    <t>ISO 3166-2:KE</t>
  </si>
  <si>
    <t>肯尼亚</t>
  </si>
  <si>
    <t>KG</t>
  </si>
  <si>
    <t>KGZ</t>
  </si>
  <si>
    <t>ISO 3166-2:KG</t>
  </si>
  <si>
    <t>吉尔吉斯斯坦</t>
  </si>
  <si>
    <t>KH</t>
  </si>
  <si>
    <t>KHM</t>
  </si>
  <si>
    <t>ISO 3166-2:KH</t>
  </si>
  <si>
    <t>柬埔寨</t>
  </si>
  <si>
    <t>KI</t>
  </si>
  <si>
    <t>KIR</t>
  </si>
  <si>
    <t>ISO 3166-2:KI</t>
  </si>
  <si>
    <t>基里巴斯</t>
  </si>
  <si>
    <t>KM</t>
  </si>
  <si>
    <t>COM</t>
  </si>
  <si>
    <t>ISO 3166-2:KM</t>
  </si>
  <si>
    <t>科摩罗</t>
  </si>
  <si>
    <t>KN</t>
  </si>
  <si>
    <t>KNA</t>
  </si>
  <si>
    <t>ISO 3166-2:KN</t>
  </si>
  <si>
    <t>圣基茨和尼维斯</t>
  </si>
  <si>
    <t>KP</t>
  </si>
  <si>
    <t>PRK</t>
  </si>
  <si>
    <t>ISO 3166-2:KP</t>
  </si>
  <si>
    <t>朝鲜</t>
  </si>
  <si>
    <t>KR</t>
  </si>
  <si>
    <t>KOR</t>
  </si>
  <si>
    <t>ISO 3166-2:KR</t>
  </si>
  <si>
    <t>韩国</t>
  </si>
  <si>
    <t>KW</t>
  </si>
  <si>
    <t>KWT</t>
  </si>
  <si>
    <t>ISO 3166-2:KW</t>
  </si>
  <si>
    <t>科威特</t>
  </si>
  <si>
    <t>KY</t>
  </si>
  <si>
    <t>CYM</t>
  </si>
  <si>
    <t>ISO 3166-2:KY</t>
  </si>
  <si>
    <t>开曼群岛</t>
  </si>
  <si>
    <t>KZ</t>
  </si>
  <si>
    <t>KAZ</t>
  </si>
  <si>
    <t>ISO 3166-2:KZ</t>
  </si>
  <si>
    <t>哈萨克斯坦</t>
  </si>
  <si>
    <t>LA</t>
  </si>
  <si>
    <t>LAO</t>
  </si>
  <si>
    <t>ISO 3166-2:LA</t>
  </si>
  <si>
    <t>老挝</t>
  </si>
  <si>
    <t>LB</t>
  </si>
  <si>
    <t>LBN</t>
  </si>
  <si>
    <t>ISO 3166-2:LB</t>
  </si>
  <si>
    <t>黎巴嫩</t>
  </si>
  <si>
    <t>LC</t>
  </si>
  <si>
    <t>LCA</t>
  </si>
  <si>
    <t>ISO 3166-2:LC</t>
  </si>
  <si>
    <t>圣卢西亚</t>
  </si>
  <si>
    <t>LI</t>
  </si>
  <si>
    <t>LIE</t>
  </si>
  <si>
    <t>ISO 3166-2:LI</t>
  </si>
  <si>
    <t>列支敦士登</t>
  </si>
  <si>
    <t>LK</t>
  </si>
  <si>
    <t>LKA</t>
  </si>
  <si>
    <t>ISO 3166-2:LK</t>
  </si>
  <si>
    <t>斯里兰卡</t>
  </si>
  <si>
    <t>LR</t>
  </si>
  <si>
    <t>LBR</t>
  </si>
  <si>
    <t>ISO 3166-2:LR</t>
  </si>
  <si>
    <t>利比里亚</t>
  </si>
  <si>
    <t>LS</t>
  </si>
  <si>
    <t>LSO</t>
  </si>
  <si>
    <t>ISO 3166-2:LS</t>
  </si>
  <si>
    <t>莱索托</t>
  </si>
  <si>
    <t>LT</t>
  </si>
  <si>
    <t>LTU</t>
  </si>
  <si>
    <t>ISO 3166-2:LT</t>
  </si>
  <si>
    <t>立陶宛</t>
  </si>
  <si>
    <t>LU</t>
  </si>
  <si>
    <t>LUX</t>
  </si>
  <si>
    <t>ISO 3166-2:LU</t>
  </si>
  <si>
    <t>卢森堡</t>
  </si>
  <si>
    <t>LV</t>
  </si>
  <si>
    <t>LVA</t>
  </si>
  <si>
    <t>ISO 3166-2:LV</t>
  </si>
  <si>
    <t>拉脱维亚</t>
  </si>
  <si>
    <t>LY</t>
  </si>
  <si>
    <t>LBY</t>
  </si>
  <si>
    <t>ISO 3166-2:LY</t>
  </si>
  <si>
    <t>利比亚</t>
  </si>
  <si>
    <t>MA</t>
  </si>
  <si>
    <t>MAR</t>
  </si>
  <si>
    <t>ISO 3166-2:MA</t>
  </si>
  <si>
    <t>摩洛哥</t>
  </si>
  <si>
    <t>MC</t>
  </si>
  <si>
    <t>MCO</t>
  </si>
  <si>
    <t>ISO 3166-2:MC</t>
  </si>
  <si>
    <t>摩纳哥</t>
  </si>
  <si>
    <t>MD</t>
  </si>
  <si>
    <t>MDA</t>
  </si>
  <si>
    <t>ISO 3166-2:MD</t>
  </si>
  <si>
    <t>摩尔多瓦</t>
  </si>
  <si>
    <t>ME</t>
  </si>
  <si>
    <t>MNE</t>
  </si>
  <si>
    <t>ISO 3166-2:ME</t>
  </si>
  <si>
    <t>黑山</t>
  </si>
  <si>
    <t>MF</t>
  </si>
  <si>
    <t>MAF</t>
  </si>
  <si>
    <t>ISO 3166-2:MF</t>
  </si>
  <si>
    <t>法属圣马丁</t>
  </si>
  <si>
    <t>MG</t>
  </si>
  <si>
    <t>MDG</t>
  </si>
  <si>
    <t>ISO 3166-2:MG</t>
  </si>
  <si>
    <t>马达加斯加</t>
  </si>
  <si>
    <t>MH</t>
  </si>
  <si>
    <t>MHL</t>
  </si>
  <si>
    <t>ISO 3166-2:MH</t>
  </si>
  <si>
    <t>马绍尔群岛</t>
  </si>
  <si>
    <t>MK</t>
  </si>
  <si>
    <t>MKD</t>
  </si>
  <si>
    <t>ISO 3166-2:MK</t>
  </si>
  <si>
    <t>马其顿</t>
  </si>
  <si>
    <t>ISO 639-1 国际标准化组织语言编码标准(此处的大写字母，填写时建议填小写)</t>
  </si>
  <si>
    <t>阿法尔语</t>
  </si>
  <si>
    <t>AA</t>
  </si>
  <si>
    <t>卡纳达语</t>
  </si>
  <si>
    <t>英文(美国)</t>
  </si>
  <si>
    <t>en_US</t>
  </si>
  <si>
    <t>法语</t>
  </si>
  <si>
    <t>普什图语</t>
  </si>
  <si>
    <t>PS</t>
  </si>
  <si>
    <t>加泰罗尼亚文(西班牙)</t>
  </si>
  <si>
    <t>ca_ES</t>
  </si>
  <si>
    <t>林堡语</t>
  </si>
  <si>
    <t>沃拉普克语</t>
  </si>
  <si>
    <t>VO</t>
  </si>
  <si>
    <t>加泰罗尼亚文(西班牙,Euro)</t>
  </si>
  <si>
    <t>ca_ES_EURO</t>
  </si>
  <si>
    <t>北萨米语</t>
  </si>
  <si>
    <t>英语</t>
  </si>
  <si>
    <t>EN</t>
  </si>
  <si>
    <t>阿拉伯文(阿拉伯联合酋长国)</t>
  </si>
  <si>
    <t>ar_AE</t>
  </si>
  <si>
    <t>阿布哈兹语</t>
  </si>
  <si>
    <t>AB</t>
  </si>
  <si>
    <t>朝鲜语、韩语</t>
  </si>
  <si>
    <t>KO</t>
  </si>
  <si>
    <t>阿拉伯文(巴林)</t>
  </si>
  <si>
    <t>ar_BH</t>
  </si>
  <si>
    <t>弗里西亚语</t>
  </si>
  <si>
    <t>FY</t>
  </si>
  <si>
    <t>葡萄牙语</t>
  </si>
  <si>
    <t>PT</t>
  </si>
  <si>
    <t>阿拉伯文(阿尔及利亚)</t>
  </si>
  <si>
    <t>ar_DZ</t>
  </si>
  <si>
    <t>林加拉语</t>
  </si>
  <si>
    <t>LN</t>
  </si>
  <si>
    <t>沃伦语</t>
  </si>
  <si>
    <t>WA</t>
  </si>
  <si>
    <t>阿拉伯文(埃及)</t>
  </si>
  <si>
    <t>ar_EG</t>
  </si>
  <si>
    <t>桑戈语</t>
  </si>
  <si>
    <t>世界语</t>
  </si>
  <si>
    <t>EO</t>
  </si>
  <si>
    <t>阿拉伯文(伊拉克)</t>
  </si>
  <si>
    <t>ar_IQ</t>
  </si>
  <si>
    <t>阿维斯陀语</t>
  </si>
  <si>
    <t>卡努里语</t>
  </si>
  <si>
    <t>阿拉伯文(约旦)</t>
  </si>
  <si>
    <t>ar_JO</t>
  </si>
  <si>
    <t>爱尔兰语</t>
  </si>
  <si>
    <t>凯楚亚语</t>
  </si>
  <si>
    <t>QU</t>
  </si>
  <si>
    <t>阿拉伯文(科威特)</t>
  </si>
  <si>
    <t>ar_KW</t>
  </si>
  <si>
    <t>老挝语</t>
  </si>
  <si>
    <t>LO</t>
  </si>
  <si>
    <t>沃洛夫语</t>
  </si>
  <si>
    <t>WO</t>
  </si>
  <si>
    <t>阿拉伯文(黎巴嫩)</t>
  </si>
  <si>
    <t>ar_LB</t>
  </si>
  <si>
    <t>塞尔维亚_克罗地亚语</t>
  </si>
  <si>
    <t>西班牙语</t>
  </si>
  <si>
    <t>阿拉伯文(利比亚)</t>
  </si>
  <si>
    <t>ar_LY</t>
  </si>
  <si>
    <t>南非语</t>
  </si>
  <si>
    <t>克什米尔语</t>
  </si>
  <si>
    <t>KS</t>
  </si>
  <si>
    <t>阿拉伯文(摩洛哥)</t>
  </si>
  <si>
    <t>ar_MA</t>
  </si>
  <si>
    <t>苏格兰盖尔语</t>
  </si>
  <si>
    <t>罗曼什语</t>
  </si>
  <si>
    <t>RM</t>
  </si>
  <si>
    <t>阿拉伯文(阿曼)</t>
  </si>
  <si>
    <t>ar_OM</t>
  </si>
  <si>
    <t>立陶宛语</t>
  </si>
  <si>
    <t>科萨语</t>
  </si>
  <si>
    <t>XH</t>
  </si>
  <si>
    <t>阿拉伯文(卡塔尔)</t>
  </si>
  <si>
    <t>ar_QA</t>
  </si>
  <si>
    <t>僧加罗语</t>
  </si>
  <si>
    <t>爱沙尼亚语</t>
  </si>
  <si>
    <t>阿拉伯文(沙特阿拉伯)</t>
  </si>
  <si>
    <t>ar_SA</t>
  </si>
  <si>
    <t>阿坎语</t>
  </si>
  <si>
    <t>AK</t>
  </si>
  <si>
    <t>库尔德语</t>
  </si>
  <si>
    <t>KU</t>
  </si>
  <si>
    <t>阿拉伯文(苏丹)</t>
  </si>
  <si>
    <t>ar_SD</t>
  </si>
  <si>
    <t>加利西亚语</t>
  </si>
  <si>
    <t>基隆迪语</t>
  </si>
  <si>
    <t>RN</t>
  </si>
  <si>
    <t>阿拉伯文(叙利亚)</t>
  </si>
  <si>
    <t>ar_SY</t>
  </si>
  <si>
    <t>卢巴语</t>
  </si>
  <si>
    <t>依地语</t>
  </si>
  <si>
    <t>YI</t>
  </si>
  <si>
    <t>阿拉伯文(突尼斯)</t>
  </si>
  <si>
    <t>ar_TN</t>
  </si>
  <si>
    <t>斯洛伐克语</t>
  </si>
  <si>
    <t>巴斯克语</t>
  </si>
  <si>
    <t>EU</t>
  </si>
  <si>
    <t>阿拉伯文(也门)</t>
  </si>
  <si>
    <t>ar_YE</t>
  </si>
  <si>
    <t>阿姆哈拉语</t>
  </si>
  <si>
    <t>科米语</t>
  </si>
  <si>
    <t>KV</t>
  </si>
  <si>
    <t>保加利亚文(保加利亚)</t>
  </si>
  <si>
    <t>bg_BG</t>
  </si>
  <si>
    <t>瓜拉尼语</t>
  </si>
  <si>
    <t>罗马尼亚语</t>
  </si>
  <si>
    <t>捷克文(捷克共和国)</t>
  </si>
  <si>
    <t>cs_CZ</t>
  </si>
  <si>
    <t>拉脱维亚语</t>
  </si>
  <si>
    <t>约鲁巴语</t>
  </si>
  <si>
    <t>YO</t>
  </si>
  <si>
    <t>丹麦文(丹麦)</t>
  </si>
  <si>
    <t>da_DK</t>
  </si>
  <si>
    <t>斯洛文尼亚语</t>
  </si>
  <si>
    <t>波斯语</t>
  </si>
  <si>
    <t>FA</t>
  </si>
  <si>
    <t>白俄罗斯文(白俄罗斯)</t>
  </si>
  <si>
    <t>be_BY</t>
  </si>
  <si>
    <t>阿拉贡语</t>
  </si>
  <si>
    <t>AN</t>
  </si>
  <si>
    <t>康沃尔语</t>
  </si>
  <si>
    <t>德文(奥地利)</t>
  </si>
  <si>
    <t>de_AT</t>
  </si>
  <si>
    <t>古吉拉特语</t>
  </si>
  <si>
    <t>俄语</t>
  </si>
  <si>
    <t>德文(奥地利,Euro)</t>
  </si>
  <si>
    <t>de_AT_EURO</t>
  </si>
  <si>
    <t>马达加斯加语</t>
  </si>
  <si>
    <t>壮语</t>
  </si>
  <si>
    <t>德文(瑞士)</t>
  </si>
  <si>
    <t>de_CH</t>
  </si>
  <si>
    <t>萨摩亚语</t>
  </si>
  <si>
    <t>富拉语</t>
  </si>
  <si>
    <t>FF</t>
  </si>
  <si>
    <t>德文(德国)</t>
  </si>
  <si>
    <t>de_DE</t>
  </si>
  <si>
    <t>阿拉伯语</t>
  </si>
  <si>
    <t>吉尔吉斯语</t>
  </si>
  <si>
    <t>德文(德国,Euro)</t>
  </si>
  <si>
    <t>de_DE_EURO</t>
  </si>
  <si>
    <t>马恩岛语</t>
  </si>
  <si>
    <t>GV</t>
  </si>
  <si>
    <t>卢旺达语</t>
  </si>
  <si>
    <t>德文(卢森堡)</t>
  </si>
  <si>
    <t>de_LU</t>
  </si>
  <si>
    <t>马绍尔语</t>
  </si>
  <si>
    <t>中文</t>
  </si>
  <si>
    <t>ZH</t>
  </si>
  <si>
    <t>德文(卢森堡,Euro)</t>
  </si>
  <si>
    <t>de_LU_EURO</t>
  </si>
  <si>
    <t>绍纳语</t>
  </si>
  <si>
    <t>芬兰语</t>
  </si>
  <si>
    <t>希腊文(希腊)</t>
  </si>
  <si>
    <t>el_GR</t>
  </si>
  <si>
    <t>阿萨姆语</t>
  </si>
  <si>
    <t>拉丁语</t>
  </si>
  <si>
    <t>英文(澳大利亚)</t>
  </si>
  <si>
    <t>en_AU</t>
  </si>
  <si>
    <t>豪萨语</t>
  </si>
  <si>
    <t>HA</t>
  </si>
  <si>
    <t>梵语</t>
  </si>
  <si>
    <t>英文(加拿大)</t>
  </si>
  <si>
    <t>en_CA</t>
  </si>
  <si>
    <t>毛利语</t>
  </si>
  <si>
    <t>MI</t>
  </si>
  <si>
    <t>祖鲁语</t>
  </si>
  <si>
    <t>ZU</t>
  </si>
  <si>
    <t>英文(英国)</t>
  </si>
  <si>
    <t>en_GB</t>
  </si>
  <si>
    <t>索马里语</t>
  </si>
  <si>
    <t>斐济语</t>
  </si>
  <si>
    <t>英文(爱尔兰)</t>
  </si>
  <si>
    <t>en_IE</t>
  </si>
  <si>
    <t>阿瓦尔语</t>
  </si>
  <si>
    <t>AV</t>
  </si>
  <si>
    <t>卢森堡语</t>
  </si>
  <si>
    <t>英文(爱尔兰,Euro)</t>
  </si>
  <si>
    <t>en_IE_EURO</t>
  </si>
  <si>
    <t>希伯来语</t>
  </si>
  <si>
    <t>HE</t>
  </si>
  <si>
    <t>萨丁尼亚语</t>
  </si>
  <si>
    <t>英文(新西兰)</t>
  </si>
  <si>
    <t>en_NZ</t>
  </si>
  <si>
    <t>马其顿语</t>
  </si>
  <si>
    <t>法罗语</t>
  </si>
  <si>
    <t>英文(南非)</t>
  </si>
  <si>
    <t>en_ZA</t>
  </si>
  <si>
    <t>阿尔巴尼亚语</t>
  </si>
  <si>
    <t>SQ</t>
  </si>
  <si>
    <t>卢干达语</t>
  </si>
  <si>
    <t>LG</t>
  </si>
  <si>
    <t>西班牙文</t>
  </si>
  <si>
    <t>es</t>
  </si>
  <si>
    <t>艾马拉语</t>
  </si>
  <si>
    <t>AY</t>
  </si>
  <si>
    <t>信德语</t>
  </si>
  <si>
    <t>西班牙文(玻利维亚)</t>
  </si>
  <si>
    <t>es_BO</t>
  </si>
  <si>
    <t>印地语</t>
  </si>
  <si>
    <t>HI</t>
  </si>
  <si>
    <t>西班牙文(阿根廷)</t>
  </si>
  <si>
    <t>es_AR</t>
  </si>
  <si>
    <t>马拉亚拉姆语</t>
  </si>
  <si>
    <t>西班牙文(智利)</t>
  </si>
  <si>
    <t>es_CL</t>
  </si>
  <si>
    <t>塞尔维亚语</t>
  </si>
  <si>
    <t>西班牙文(哥伦比亚)</t>
  </si>
  <si>
    <t>es_CO</t>
  </si>
  <si>
    <t>阿塞拜疆语</t>
  </si>
  <si>
    <t>西班牙文(哥斯达黎加)</t>
  </si>
  <si>
    <t>es_CR</t>
  </si>
  <si>
    <t>希里莫图语</t>
  </si>
  <si>
    <t>HO</t>
  </si>
  <si>
    <t>西班牙文(多米尼加共和国)</t>
  </si>
  <si>
    <t>es_DO</t>
  </si>
  <si>
    <t>蒙古语</t>
  </si>
  <si>
    <t>西班牙文(厄瓜多尔)</t>
  </si>
  <si>
    <t>es_EC</t>
  </si>
  <si>
    <t>斯瓦特语</t>
  </si>
  <si>
    <t>西班牙文(西班牙)</t>
  </si>
  <si>
    <t>es_ES</t>
  </si>
  <si>
    <t>巴什基尔语</t>
  </si>
  <si>
    <t>西班牙文(西班牙,Euro)</t>
  </si>
  <si>
    <t>es_ES_EURO</t>
  </si>
  <si>
    <t>克罗地亚语</t>
  </si>
  <si>
    <t>西班牙文(危地马拉)</t>
  </si>
  <si>
    <t>es_GT</t>
  </si>
  <si>
    <t>摩尔达维亚语</t>
  </si>
  <si>
    <t>西班牙文(洪都拉斯)</t>
  </si>
  <si>
    <t>es_HN</t>
  </si>
  <si>
    <t>南索托语</t>
  </si>
  <si>
    <t>西班牙文(墨西哥)</t>
  </si>
  <si>
    <t>es_MX</t>
  </si>
  <si>
    <t>白俄罗斯语</t>
  </si>
  <si>
    <t>西班牙文(尼加拉瓜)</t>
  </si>
  <si>
    <t>es_NI</t>
  </si>
  <si>
    <t>海地克里奥尔语</t>
  </si>
  <si>
    <t>爱沙尼亚文</t>
  </si>
  <si>
    <t>et</t>
  </si>
  <si>
    <t>马拉提语</t>
  </si>
  <si>
    <t>西班牙文(巴拿马)</t>
  </si>
  <si>
    <t>es_PA</t>
  </si>
  <si>
    <t>巽他语</t>
  </si>
  <si>
    <t>SU</t>
  </si>
  <si>
    <t>西班牙文(秘鲁)</t>
  </si>
  <si>
    <t>es_PE</t>
  </si>
  <si>
    <t>保加利亚语</t>
  </si>
  <si>
    <t>BG</t>
  </si>
  <si>
    <t>西班牙文(波多黎哥)</t>
  </si>
  <si>
    <t>es_PR</t>
  </si>
  <si>
    <t>匈牙利语</t>
  </si>
  <si>
    <t>西班牙文(巴拉圭)</t>
  </si>
  <si>
    <t>es_PY</t>
  </si>
  <si>
    <t>马来语</t>
  </si>
  <si>
    <t>西班牙文(萨尔瓦多)</t>
  </si>
  <si>
    <t>es_SV</t>
  </si>
  <si>
    <t>瑞典语</t>
  </si>
  <si>
    <t>西班牙文(乌拉圭)</t>
  </si>
  <si>
    <t>es_UY</t>
  </si>
  <si>
    <t>比哈尔语</t>
  </si>
  <si>
    <t>BH</t>
  </si>
  <si>
    <t>西班牙文(委内瑞拉)</t>
  </si>
  <si>
    <t>es_VE</t>
  </si>
  <si>
    <t>亚美尼亚语</t>
  </si>
  <si>
    <t>HY</t>
  </si>
  <si>
    <t>爱沙尼亚文(爱沙尼亚)</t>
  </si>
  <si>
    <t>et_EE</t>
  </si>
  <si>
    <t>马耳他语</t>
  </si>
  <si>
    <t>法文(比利时)</t>
  </si>
  <si>
    <t>fr_BE</t>
  </si>
  <si>
    <t>斯瓦希里语</t>
  </si>
  <si>
    <t>SW</t>
  </si>
  <si>
    <t>意大利文(瑞士)</t>
  </si>
  <si>
    <t>it_CH</t>
  </si>
  <si>
    <t>比斯拉马语</t>
  </si>
  <si>
    <t>BI</t>
  </si>
  <si>
    <t>意大利文(意大利)</t>
  </si>
  <si>
    <t>it_IT</t>
  </si>
  <si>
    <t>赫雷罗语</t>
  </si>
  <si>
    <t>HZ</t>
  </si>
  <si>
    <t>匈牙利文(匈牙利)</t>
  </si>
  <si>
    <t>hu_HU</t>
  </si>
  <si>
    <t>缅甸语</t>
  </si>
  <si>
    <t>冰岛文(冰岛)</t>
  </si>
  <si>
    <t>is_IS</t>
  </si>
  <si>
    <t>泰米尔语</t>
  </si>
  <si>
    <t>TA</t>
  </si>
  <si>
    <t>克罗地亚文(克罗地亚)</t>
  </si>
  <si>
    <t>hr_HR</t>
  </si>
  <si>
    <t>班巴拉语</t>
  </si>
  <si>
    <t>BM</t>
  </si>
  <si>
    <t>意大利文(意大利,Euro)</t>
  </si>
  <si>
    <t>it_IT_EURO</t>
  </si>
  <si>
    <t>国际语A</t>
  </si>
  <si>
    <t>IA</t>
  </si>
  <si>
    <t>法文(比利时,Euro)</t>
  </si>
  <si>
    <t>fr_BE_EURO</t>
  </si>
  <si>
    <t>瑙鲁语</t>
  </si>
  <si>
    <t>法文(加拿大)</t>
  </si>
  <si>
    <t>fr_CA</t>
  </si>
  <si>
    <t>泰卢固语</t>
  </si>
  <si>
    <t>TE</t>
  </si>
  <si>
    <t>法文(瑞士)</t>
  </si>
  <si>
    <t>fr_CH</t>
  </si>
  <si>
    <t>孟加拉语</t>
  </si>
  <si>
    <t>BN</t>
  </si>
  <si>
    <t>法文(法国)</t>
  </si>
  <si>
    <t>fr_FR</t>
  </si>
  <si>
    <t>印尼语</t>
  </si>
  <si>
    <t>法文(法国,Euro)</t>
  </si>
  <si>
    <t>fr_FR_EURO</t>
  </si>
  <si>
    <t>书面挪威语</t>
  </si>
  <si>
    <t>NB</t>
  </si>
  <si>
    <t>法文(卢森堡)</t>
  </si>
  <si>
    <t>fr_LU</t>
  </si>
  <si>
    <t>塔吉克语</t>
  </si>
  <si>
    <t>法文(卢森堡,Euro)</t>
  </si>
  <si>
    <t>fr_LU_EURO</t>
  </si>
  <si>
    <t>藏语</t>
  </si>
  <si>
    <t>BO</t>
  </si>
  <si>
    <t>芬兰文(芬兰)</t>
  </si>
  <si>
    <t>fi_FI</t>
  </si>
  <si>
    <t>国际语E</t>
  </si>
  <si>
    <t>芬兰文(芬兰,Euro)</t>
  </si>
  <si>
    <t>fi_FI_EURO</t>
  </si>
  <si>
    <t>北恩德贝勒语</t>
  </si>
  <si>
    <t>ND</t>
  </si>
  <si>
    <t>希伯来文(以色列)</t>
  </si>
  <si>
    <t>iw_IL</t>
  </si>
  <si>
    <t>泰语</t>
  </si>
  <si>
    <t>日文(日本)</t>
  </si>
  <si>
    <t>ja_JP</t>
  </si>
  <si>
    <t>布列塔尼语</t>
  </si>
  <si>
    <t>BR</t>
  </si>
  <si>
    <t>朝鲜文(南朝鲜)</t>
  </si>
  <si>
    <t>ko_KR</t>
  </si>
  <si>
    <t>伊博语</t>
  </si>
  <si>
    <t>IG</t>
  </si>
  <si>
    <t>马其顿文(马其顿王国)</t>
  </si>
  <si>
    <t>mk_MK</t>
  </si>
  <si>
    <t>尼泊尔语</t>
  </si>
  <si>
    <t>立陶宛文(立陶宛)</t>
  </si>
  <si>
    <t>lt_LT</t>
  </si>
  <si>
    <t>提格里尼亚语</t>
  </si>
  <si>
    <t>TI</t>
  </si>
  <si>
    <t>拉托维亚文(列托)</t>
  </si>
  <si>
    <t>lv</t>
  </si>
  <si>
    <t>波斯尼亚语</t>
  </si>
  <si>
    <t>BS</t>
  </si>
  <si>
    <t>拉托维亚文(列托)(拉脱维亚)</t>
  </si>
  <si>
    <t>lv_LV</t>
  </si>
  <si>
    <t>四川彝语（诺苏语）</t>
  </si>
  <si>
    <t>II</t>
  </si>
  <si>
    <t>挪威文(挪威)</t>
  </si>
  <si>
    <t>no_NO</t>
  </si>
  <si>
    <t>恩敦加语</t>
  </si>
  <si>
    <t>挪威文(挪威,Nynorsk)</t>
  </si>
  <si>
    <t>no_NO_NY</t>
  </si>
  <si>
    <t>土库曼语</t>
  </si>
  <si>
    <t>荷兰文(比利时)</t>
  </si>
  <si>
    <t>nl_BE</t>
  </si>
  <si>
    <t>加泰隆语</t>
  </si>
  <si>
    <t>CA</t>
  </si>
  <si>
    <t>荷兰文(比利时,Euro)</t>
  </si>
  <si>
    <t>nl_BE_EURO</t>
  </si>
  <si>
    <t>依努庇克语</t>
  </si>
  <si>
    <t>IK</t>
  </si>
  <si>
    <t>荷兰文(荷兰)</t>
  </si>
  <si>
    <t>nl_NL</t>
  </si>
  <si>
    <t>荷兰语</t>
  </si>
  <si>
    <t>NL</t>
  </si>
  <si>
    <t>荷兰文(荷兰,Euro)</t>
  </si>
  <si>
    <t>nl_NL_EURO</t>
  </si>
  <si>
    <t>他加禄语</t>
  </si>
  <si>
    <t>罗马尼亚文(罗马尼亚)</t>
  </si>
  <si>
    <t>ro_RO</t>
  </si>
  <si>
    <t>车臣语</t>
  </si>
  <si>
    <t>CE</t>
  </si>
  <si>
    <t>葡萄牙文(巴西)</t>
  </si>
  <si>
    <t>pt_BR</t>
  </si>
  <si>
    <t>伊多语</t>
  </si>
  <si>
    <t>葡萄牙文(葡萄牙)</t>
  </si>
  <si>
    <t>pt_PT</t>
  </si>
  <si>
    <t>新挪威语</t>
  </si>
  <si>
    <t>NN</t>
  </si>
  <si>
    <t>葡萄牙文(葡萄牙,Euro)</t>
  </si>
  <si>
    <t>pt_PT_EURO</t>
  </si>
  <si>
    <t>塞茨瓦纳语</t>
  </si>
  <si>
    <t>波兰文(波兰)</t>
  </si>
  <si>
    <t>pl_PL</t>
  </si>
  <si>
    <t>查莫罗语</t>
  </si>
  <si>
    <t>CH</t>
  </si>
  <si>
    <t>塞波尼斯_克罗地亚文(南斯拉夫)</t>
  </si>
  <si>
    <t>sh_YU</t>
  </si>
  <si>
    <t>冰岛语</t>
  </si>
  <si>
    <t>俄文(俄罗斯)</t>
  </si>
  <si>
    <t>ru_RU</t>
  </si>
  <si>
    <t>挪威语</t>
  </si>
  <si>
    <t>NO</t>
  </si>
  <si>
    <t>斯洛文尼亚文(斯洛文尼亚)</t>
  </si>
  <si>
    <t>sl_SI</t>
  </si>
  <si>
    <t>汤加语</t>
  </si>
  <si>
    <t>斯洛伐克文(斯洛伐克)</t>
  </si>
  <si>
    <t>sk_SK</t>
  </si>
  <si>
    <t>科西嘉语</t>
  </si>
  <si>
    <t>阿尔巴尼亚文(阿尔巴尼亚)</t>
  </si>
  <si>
    <t>sq_AL</t>
  </si>
  <si>
    <t>意大利语</t>
  </si>
  <si>
    <t>塞尔维亚文(南斯拉夫)</t>
  </si>
  <si>
    <t>sr_YU</t>
  </si>
  <si>
    <t>南恩德贝勒语</t>
  </si>
  <si>
    <t>NR</t>
  </si>
  <si>
    <t>瑞典文(瑞典)</t>
  </si>
  <si>
    <t>sv_SE</t>
  </si>
  <si>
    <t>土耳其语</t>
  </si>
  <si>
    <t>土耳其文(土耳其)</t>
  </si>
  <si>
    <t>tr_TR</t>
  </si>
  <si>
    <t>克里语</t>
  </si>
  <si>
    <t>乌克兰文(乌克兰)</t>
  </si>
  <si>
    <t>uk_UA</t>
  </si>
  <si>
    <t>因纽特语</t>
  </si>
  <si>
    <t>IU</t>
  </si>
  <si>
    <t>泰文(泰国)</t>
  </si>
  <si>
    <t>th_TH</t>
  </si>
  <si>
    <t>纳瓦霍语</t>
  </si>
  <si>
    <t>NV</t>
  </si>
  <si>
    <t>中文(中国)</t>
  </si>
  <si>
    <t>zh_CN</t>
  </si>
  <si>
    <t>宗加语</t>
  </si>
  <si>
    <t>TS</t>
  </si>
  <si>
    <t>中文(香港)</t>
  </si>
  <si>
    <t>zh_HK</t>
  </si>
  <si>
    <t>捷克语</t>
  </si>
  <si>
    <t>CS</t>
  </si>
  <si>
    <t>中文(台湾)</t>
  </si>
  <si>
    <t>zh_TW</t>
  </si>
  <si>
    <t>日语</t>
  </si>
  <si>
    <t>JA</t>
  </si>
  <si>
    <t>英文</t>
  </si>
  <si>
    <t>en</t>
  </si>
  <si>
    <t>尼扬贾语</t>
  </si>
  <si>
    <t>NY</t>
  </si>
  <si>
    <t>阿拉伯文</t>
  </si>
  <si>
    <t>ar</t>
  </si>
  <si>
    <t>塔塔尔语</t>
  </si>
  <si>
    <t>白俄罗斯文</t>
  </si>
  <si>
    <t>be</t>
  </si>
  <si>
    <t>古教会斯拉夫语</t>
  </si>
  <si>
    <t>保加利亚文</t>
  </si>
  <si>
    <t>bg</t>
  </si>
  <si>
    <t>爪哇语</t>
  </si>
  <si>
    <t>JV</t>
  </si>
  <si>
    <t>加泰罗尼亚文</t>
  </si>
  <si>
    <t>ca</t>
  </si>
  <si>
    <t>奥克语</t>
  </si>
  <si>
    <t>OC</t>
  </si>
  <si>
    <t>捷克文</t>
  </si>
  <si>
    <t>cs</t>
  </si>
  <si>
    <t>特威语</t>
  </si>
  <si>
    <t>丹麦文</t>
  </si>
  <si>
    <t>da</t>
  </si>
  <si>
    <t>楚瓦什语</t>
  </si>
  <si>
    <t>德文</t>
  </si>
  <si>
    <t>de</t>
  </si>
  <si>
    <t>格鲁吉亚语</t>
  </si>
  <si>
    <t>KA</t>
  </si>
  <si>
    <t>希腊文</t>
  </si>
  <si>
    <t>el</t>
  </si>
  <si>
    <t>奥吉布瓦语</t>
  </si>
  <si>
    <t>OJ</t>
  </si>
  <si>
    <t>芬兰文</t>
  </si>
  <si>
    <t>fi</t>
  </si>
  <si>
    <t>塔希提语</t>
  </si>
  <si>
    <t>TY</t>
  </si>
  <si>
    <t>法文</t>
  </si>
  <si>
    <t>fr</t>
  </si>
  <si>
    <t>威尔士语</t>
  </si>
  <si>
    <t>克罗地亚文</t>
  </si>
  <si>
    <t>hr</t>
  </si>
  <si>
    <t>刚果语</t>
  </si>
  <si>
    <t>匈牙利文</t>
  </si>
  <si>
    <t>hu</t>
  </si>
  <si>
    <t>奥洛莫语</t>
  </si>
  <si>
    <t>OM</t>
  </si>
  <si>
    <t>冰岛文</t>
  </si>
  <si>
    <t>is</t>
  </si>
  <si>
    <t>维吾尔语</t>
  </si>
  <si>
    <t>意大利文</t>
  </si>
  <si>
    <t>it</t>
  </si>
  <si>
    <t>丹麦语</t>
  </si>
  <si>
    <t>DA</t>
  </si>
  <si>
    <t>希伯来文</t>
  </si>
  <si>
    <t>iw</t>
  </si>
  <si>
    <t>基库尤语</t>
  </si>
  <si>
    <t>日文</t>
  </si>
  <si>
    <t>ja</t>
  </si>
  <si>
    <t>奥利亚语</t>
  </si>
  <si>
    <t>OR</t>
  </si>
  <si>
    <t>朝鲜文</t>
  </si>
  <si>
    <t>ko</t>
  </si>
  <si>
    <t>乌克兰语</t>
  </si>
  <si>
    <t>UK</t>
  </si>
  <si>
    <t>立陶宛文</t>
  </si>
  <si>
    <t>lt</t>
  </si>
  <si>
    <t>德语</t>
  </si>
  <si>
    <t>马其顿文</t>
  </si>
  <si>
    <t>mk</t>
  </si>
  <si>
    <t>宽亚玛语</t>
  </si>
  <si>
    <t>KJ</t>
  </si>
  <si>
    <t>荷兰文</t>
  </si>
  <si>
    <t>nl</t>
  </si>
  <si>
    <t>奥塞梯语</t>
  </si>
  <si>
    <t>OS</t>
  </si>
  <si>
    <t>挪威文</t>
  </si>
  <si>
    <t>no</t>
  </si>
  <si>
    <t>乌尔都语</t>
  </si>
  <si>
    <t>UR</t>
  </si>
  <si>
    <t>波兰文</t>
  </si>
  <si>
    <t>pl</t>
  </si>
  <si>
    <t>迪维希语</t>
  </si>
  <si>
    <t>DV</t>
  </si>
  <si>
    <t>葡萄牙文</t>
  </si>
  <si>
    <t>pt</t>
  </si>
  <si>
    <t>哈萨克语</t>
  </si>
  <si>
    <t>KK</t>
  </si>
  <si>
    <t>罗马尼亚文</t>
  </si>
  <si>
    <t>ro</t>
  </si>
  <si>
    <t>旁遮普语</t>
  </si>
  <si>
    <t>PA</t>
  </si>
  <si>
    <t>俄文</t>
  </si>
  <si>
    <t>ru</t>
  </si>
  <si>
    <t>乌兹别克语</t>
  </si>
  <si>
    <t>塞波尼斯_克罗地亚文</t>
  </si>
  <si>
    <t>sh</t>
  </si>
  <si>
    <t>不丹语</t>
  </si>
  <si>
    <t>斯洛伐克文</t>
  </si>
  <si>
    <t>sk</t>
  </si>
  <si>
    <t>格陵兰语</t>
  </si>
  <si>
    <t>KL</t>
  </si>
  <si>
    <t>斯洛文尼亚文</t>
  </si>
  <si>
    <t>sl</t>
  </si>
  <si>
    <t>巴利语</t>
  </si>
  <si>
    <t>PI</t>
  </si>
  <si>
    <t>阿尔巴尼亚文</t>
  </si>
  <si>
    <t>sq</t>
  </si>
  <si>
    <t>文达语</t>
  </si>
  <si>
    <t>塞尔维亚文</t>
  </si>
  <si>
    <t>sr</t>
  </si>
  <si>
    <t>埃维语</t>
  </si>
  <si>
    <t>瑞典文</t>
  </si>
  <si>
    <t>sv</t>
  </si>
  <si>
    <t>高棉语</t>
  </si>
  <si>
    <t>泰文</t>
  </si>
  <si>
    <t>th</t>
  </si>
  <si>
    <t>波兰语</t>
  </si>
  <si>
    <t>PL</t>
  </si>
  <si>
    <t>土耳其文</t>
  </si>
  <si>
    <t>tr</t>
  </si>
  <si>
    <t>越南语</t>
  </si>
  <si>
    <t>乌克兰文</t>
  </si>
  <si>
    <t>uk</t>
  </si>
  <si>
    <t>现代希腊语</t>
  </si>
  <si>
    <t>EL</t>
  </si>
  <si>
    <t>zh</t>
  </si>
  <si>
    <t>underwater=true</t>
  </si>
  <si>
    <t>atTopSpeed=true</t>
  </si>
  <si>
    <t>.tmx(地图格式，语法和xml无二)</t>
  </si>
  <si>
    <t>self.underwater</t>
  </si>
  <si>
    <t>movement-repelFromUnits:</t>
  </si>
  <si>
    <t>.map(未知文件格式)</t>
  </si>
  <si>
    <t>self.isUnderwater</t>
  </si>
  <si>
    <t>self.enabled</t>
  </si>
  <si>
    <t>_map.png(.tmx配套地图标题图，前面填.tmx文件前缀)</t>
  </si>
  <si>
    <t>ground=true</t>
  </si>
  <si>
    <t>otherUnitHasTag:</t>
  </si>
  <si>
    <t>self.gound</t>
  </si>
  <si>
    <t>onlySameTeam:</t>
  </si>
  <si>
    <t>scale</t>
  </si>
  <si>
    <t>self.ground</t>
  </si>
  <si>
    <t>movement_random:</t>
  </si>
  <si>
    <t>self.isAtGroundHeight</t>
  </si>
  <si>
    <t>awayFromEdge:</t>
  </si>
  <si>
    <t>self.height</t>
  </si>
  <si>
    <t>stateListener</t>
  </si>
  <si>
    <t>flying=true</t>
  </si>
  <si>
    <t>sock</t>
  </si>
  <si>
    <t>self.flying</t>
  </si>
  <si>
    <t>ReliableServerSocket</t>
  </si>
  <si>
    <t>self.isFlying</t>
  </si>
  <si>
    <t>rudp-NullSegmentTimer</t>
  </si>
  <si>
    <t>completeQueueItem:</t>
  </si>
  <si>
    <t>self.isMoving</t>
  </si>
  <si>
    <t>rudp-RetransmissionTimer</t>
  </si>
  <si>
    <t>lockDelay:</t>
  </si>
  <si>
    <t>self.hasActiveWaypoint</t>
  </si>
  <si>
    <t>rudp-CumulativeAckTimer</t>
  </si>
  <si>
    <t>shootCooldown:</t>
  </si>
  <si>
    <t>rudp-KeepAliveTimer</t>
  </si>
  <si>
    <t>idleDir:</t>
  </si>
  <si>
    <t>self.maxspeed</t>
  </si>
  <si>
    <t>ReliableSocket-Closing</t>
  </si>
  <si>
    <t>diffDir:</t>
  </si>
  <si>
    <t>self.isAtTopSpeed</t>
  </si>
  <si>
    <t>ReliableSocket</t>
  </si>
  <si>
    <t>self.inwater</t>
  </si>
  <si>
    <t>maxSendQueueSize</t>
  </si>
  <si>
    <t>self.isInWater</t>
  </si>
  <si>
    <t>maxRecvQueueSize</t>
  </si>
  <si>
    <t>usesCreditResources:</t>
  </si>
  <si>
    <t>self.overwater</t>
  </si>
  <si>
    <t>maxSegmentSize</t>
  </si>
  <si>
    <t>self.isOverwater</t>
  </si>
  <si>
    <t>maxOutstandingSegs</t>
  </si>
  <si>
    <t>self.isOverLiquid</t>
  </si>
  <si>
    <t>maxRetrans</t>
  </si>
  <si>
    <t>self.isOverClift</t>
  </si>
  <si>
    <t>maxCumulativeAcks</t>
  </si>
  <si>
    <t>self.isOverCliff</t>
  </si>
  <si>
    <t>maxOutOfSequence</t>
  </si>
  <si>
    <t>self.isOverPassableTile</t>
  </si>
  <si>
    <t>maxAutoReset</t>
  </si>
  <si>
    <t>type=\'LAND\'</t>
  </si>
  <si>
    <t>nullSegmentTimeout</t>
  </si>
  <si>
    <t>movement-random</t>
  </si>
  <si>
    <t>self.isOverOpenLand</t>
  </si>
  <si>
    <t>retransmissionTimeout</t>
  </si>
  <si>
    <t>self.tags</t>
  </si>
  <si>
    <t>cumulativeAckTimeout</t>
  </si>
  <si>
    <t>self.hasTags</t>
  </si>
  <si>
    <t>ACK(攻击伤害)</t>
  </si>
  <si>
    <t>self.globalTeamTags</t>
  </si>
  <si>
    <t>DAT(防御)</t>
  </si>
  <si>
    <t>self.hasGlobalTeamTags</t>
  </si>
  <si>
    <t>EAK</t>
  </si>
  <si>
    <t>self.hasFlag</t>
  </si>
  <si>
    <t>self.energy</t>
  </si>
  <si>
    <t>NUL(零值)</t>
  </si>
  <si>
    <t>self.energyIncludingQueued</t>
  </si>
  <si>
    <t>RST</t>
  </si>
  <si>
    <t>full=true</t>
  </si>
  <si>
    <t>SYN</t>
  </si>
  <si>
    <t>self.isEnergyFull</t>
  </si>
  <si>
    <t>N/A(无限)</t>
  </si>
  <si>
    <t>empty=true</t>
  </si>
  <si>
    <t>——界限——</t>
  </si>
  <si>
    <t>self.isEnergyEmpty</t>
  </si>
  <si>
    <t>mime_type</t>
  </si>
  <si>
    <t>self.transportingCount</t>
  </si>
  <si>
    <t>RustedWarfare</t>
  </si>
  <si>
    <t>self.transportingUnitWithTags</t>
  </si>
  <si>
    <t>document_id</t>
  </si>
  <si>
    <t>self.isTransportUnloading</t>
  </si>
  <si>
    <t>_size</t>
  </si>
  <si>
    <t>self.hp</t>
  </si>
  <si>
    <t>last_modified</t>
  </si>
  <si>
    <t>self.shield</t>
  </si>
  <si>
    <t>_display_name</t>
  </si>
  <si>
    <t>self.ammo</t>
  </si>
  <si>
    <t>r</t>
  </si>
  <si>
    <t>self.isAmmoEmpty</t>
  </si>
  <si>
    <t>/tree/primary(路径)</t>
  </si>
  <si>
    <t>self.ammoIncludingQueued</t>
  </si>
  <si>
    <t>getReadablePath()</t>
  </si>
  <si>
    <t>self.resource</t>
  </si>
  <si>
    <t>storage/(路径)</t>
  </si>
  <si>
    <t>self.queueSize</t>
  </si>
  <si>
    <t>Ok</t>
  </si>
  <si>
    <t>No</t>
  </si>
  <si>
    <t>self.numberOfAttachedUnits</t>
  </si>
  <si>
    <t>lockHardwareCanvas</t>
  </si>
  <si>
    <t>self.hasParent</t>
  </si>
  <si>
    <t>content</t>
  </si>
  <si>
    <t>self.hasResources</t>
  </si>
  <si>
    <t>selectMenuOption:</t>
  </si>
  <si>
    <t>inner</t>
  </si>
  <si>
    <t>self.isResourceLargerThan</t>
  </si>
  <si>
    <t>/SD/rustedWarfare/maps/(路径)</t>
  </si>
  <si>
    <t>self.kills</t>
  </si>
  <si>
    <t>exited</t>
  </si>
  <si>
    <t>self.timeAlive</t>
  </si>
  <si>
    <t>package:</t>
  </si>
  <si>
    <t>self.lastConverted</t>
  </si>
  <si>
    <r>
      <rPr>
        <charset val="134"/>
        <sz val="10"/>
        <color rgb="FFBF0000"/>
        <rFont val="serif"/>
      </rPr>
      <t>-</t>
    </r>
    <r>
      <rPr>
        <charset val="134"/>
        <sz val="10"/>
        <color rgb="FFBF0000"/>
        <rFont val="微软雅黑"/>
      </rPr>
      <t>surrender</t>
    </r>
  </si>
  <si>
    <t>self.customTimer</t>
  </si>
  <si>
    <t>/SD/(路径)</t>
  </si>
  <si>
    <t>self.hasTakenDamage</t>
  </si>
  <si>
    <t>/SD/rusted_warfare_maps</t>
  </si>
  <si>
    <t>self.isAttacking</t>
  </si>
  <si>
    <t>/SD/rustedWarfare/maps</t>
  </si>
  <si>
    <t>team=-1</t>
  </si>
  <si>
    <t>showErrorAndStop</t>
  </si>
  <si>
    <t>path:</t>
  </si>
  <si>
    <t>self.isOnNeutralTeam</t>
  </si>
  <si>
    <t>mode</t>
  </si>
  <si>
    <t>self.isControlledByAI</t>
  </si>
  <si>
    <t>Delete:</t>
  </si>
  <si>
    <t>numberOfUnitsInTeam</t>
  </si>
  <si>
    <t>Thumbnail</t>
  </si>
  <si>
    <t>deleted:</t>
  </si>
  <si>
    <t>self.numberOfUnitsInTeam</t>
  </si>
  <si>
    <t>starting singleplayer</t>
  </si>
  <si>
    <t>greaterThan=0, lessThan=-1</t>
  </si>
  <si>
    <t>You</t>
  </si>
  <si>
    <t>hasUnitInTeam</t>
  </si>
  <si>
    <t>started</t>
  </si>
  <si>
    <t>startSinglePlayerServer</t>
  </si>
  <si>
    <t>self.hasUnitInTeam</t>
  </si>
  <si>
    <t>LevelAdapter:</t>
  </si>
  <si>
    <t>getCount:</t>
  </si>
  <si>
    <t>levelViews==null</t>
  </si>
  <si>
    <t>greaterThan=-1, lessThan=1</t>
  </si>
  <si>
    <t>getView:</t>
  </si>
  <si>
    <t>levelPaths==null</t>
  </si>
  <si>
    <t>noUnitInTeam</t>
  </si>
  <si>
    <t>self.noUnitInTeam</t>
  </si>
  <si>
    <t>Credits</t>
  </si>
  <si>
    <t>neutralTeam=true</t>
  </si>
  <si>
    <t>Warning</t>
  </si>
  <si>
    <t>numberOfUnitsInNeutralTeam</t>
  </si>
  <si>
    <t>Resume</t>
  </si>
  <si>
    <t>self.numberOfUnitsInNeutralTeam</t>
  </si>
  <si>
    <t>Disconnect</t>
  </si>
  <si>
    <t>ally=false</t>
  </si>
  <si>
    <t>layoutInDisplayCutoutMode</t>
  </si>
  <si>
    <t>numberOfUnitsInEnemyTeam</t>
  </si>
  <si>
    <t>i:</t>
  </si>
  <si>
    <t>self.numberOfUnitsInEnemyTeam</t>
  </si>
  <si>
    <t>p</t>
  </si>
  <si>
    <t>ally=true</t>
  </si>
  <si>
    <t>ApplicationContext==null</t>
  </si>
  <si>
    <t>numberOfUnitsInAllyTeam</t>
  </si>
  <si>
    <t>Cancel</t>
  </si>
  <si>
    <t>self.numberOfUnitsInAllyTeam</t>
  </si>
  <si>
    <t>Yes</t>
  </si>
  <si>
    <t>numberOfUnitsInAllyNotOwnTeam</t>
  </si>
  <si>
    <t>sourceFolder: \'</t>
  </si>
  <si>
    <t>self.numberOfUnitsInAllyNotOwnTeam</t>
  </si>
  <si>
    <t>Mod: \'</t>
  </si>
  <si>
    <t>nukesEnabled=true</t>
  </si>
  <si>
    <t xml:space="preserve">Deleted mod: </t>
  </si>
  <si>
    <t xml:space="preserve">Delete result: </t>
  </si>
  <si>
    <t xml:space="preserve">Failed to delete: </t>
  </si>
  <si>
    <t>savesMods:</t>
  </si>
  <si>
    <t>getPointerCount</t>
  </si>
  <si>
    <t>findPointerIndex</t>
  </si>
  <si>
    <t>getPressure</t>
  </si>
  <si>
    <t>getHistoricalX</t>
  </si>
  <si>
    <t>getHistoricalY</t>
  </si>
  <si>
    <t>getHistoricalPressure</t>
  </si>
  <si>
    <t>getX</t>
  </si>
  <si>
    <t>getY</t>
  </si>
  <si>
    <t>ACTION_POINTER_UP</t>
  </si>
  <si>
    <t>ACTION_POINTER_INDEX_SHIFT</t>
  </si>
  <si>
    <t>getButtonState</t>
  </si>
  <si>
    <t>MultiTouchController</t>
  </si>
  <si>
    <t>onTouchEvent()</t>
  </si>
  <si>
    <t>newAiDifficultyValue:</t>
  </si>
  <si>
    <t>startingUnits:</t>
  </si>
  <si>
    <t>newPlayerColorValue:</t>
  </si>
  <si>
    <t>row.setOnClickListener</t>
  </si>
  <si>
    <t>Kick</t>
  </si>
  <si>
    <t>gameOptions.setOnClickListener</t>
  </si>
  <si>
    <t>level</t>
  </si>
  <si>
    <t>onStartGameFailed</t>
  </si>
  <si>
    <t>getChangeableSetup</t>
  </si>
  <si>
    <t>applyProxyControl</t>
  </si>
  <si>
    <t>addAIToGame</t>
  </si>
  <si>
    <r>
      <rPr>
        <charset val="134"/>
        <sz val="10"/>
        <color rgb="FFBF0000"/>
        <rFont val="serif"/>
      </rPr>
      <t>-</t>
    </r>
    <r>
      <rPr>
        <charset val="134"/>
        <sz val="10"/>
        <color rgb="FFBF0000"/>
        <rFont val="微软雅黑"/>
      </rPr>
      <t>addai</t>
    </r>
  </si>
  <si>
    <t>addAI.setOnClickListener</t>
  </si>
  <si>
    <t>Error</t>
  </si>
  <si>
    <t>maps/skirmish/(路径)</t>
  </si>
  <si>
    <r>
      <rPr>
        <charset val="134"/>
        <sz val="10"/>
        <color rgb="FFBF0000"/>
        <rFont val="serif"/>
      </rPr>
      <t>-</t>
    </r>
    <r>
      <rPr>
        <charset val="134"/>
        <sz val="10"/>
        <color rgb="FFBF0000"/>
        <rFont val="微软雅黑"/>
      </rPr>
      <t>start</t>
    </r>
  </si>
  <si>
    <t>startNetButton.setOnClickListener</t>
  </si>
  <si>
    <t>GameView:GameView()</t>
  </si>
  <si>
    <t>GameView:finalize()</t>
  </si>
  <si>
    <t>mSurfaceLock</t>
  </si>
  <si>
    <t>surfaceExists=</t>
  </si>
  <si>
    <t>, source=</t>
  </si>
  <si>
    <t>, hash=</t>
  </si>
  <si>
    <t>updateResolution</t>
  </si>
  <si>
    <t>surfaceExists==false</t>
  </si>
  <si>
    <t>GameViewNonSurface: flushCanvas</t>
  </si>
  <si>
    <t>flushCanvas:</t>
  </si>
  <si>
    <t>unlockAndReturnCanvas:</t>
  </si>
  <si>
    <t>canvasBuffer==null</t>
  </si>
  <si>
    <t>getNewCanvasLock:</t>
  </si>
  <si>
    <t>getLock:</t>
  </si>
  <si>
    <t>onDraw:</t>
  </si>
  <si>
    <t>onGenericMotionEvent:</t>
  </si>
  <si>
    <t>getNewCanvasLock - Timing out - surfaceExists:</t>
  </si>
  <si>
    <t>GL - #tex:</t>
  </si>
  <si>
    <t>tex size:</t>
  </si>
  <si>
    <t>endFrame:</t>
  </si>
  <si>
    <t>currentTransformIndex=</t>
  </si>
  <si>
    <t>drawnBuffers:</t>
  </si>
  <si>
    <t>GameViewThreaded:</t>
  </si>
  <si>
    <t>chat</t>
  </si>
  <si>
    <t>battleroom</t>
  </si>
  <si>
    <t>lobby</t>
  </si>
  <si>
    <t>refreshServerListRunnable</t>
  </si>
  <si>
    <t>nsc</t>
  </si>
  <si>
    <t>recycledTextViews:</t>
  </si>
  <si>
    <t>Url:</t>
  </si>
  <si>
    <t>Lan:</t>
  </si>
  <si>
    <t>User:</t>
  </si>
  <si>
    <t>Map:</t>
  </si>
  <si>
    <t>Version:</t>
  </si>
  <si>
    <t>-备注：此代码表由“N.D.T.改天再说”（1980316694）自己拆包游戏代码</t>
  </si>
  <si>
    <t>-以及自行在网络渠道上搜索和参考其他代码表以及教程收集总结制作而成</t>
  </si>
  <si>
    <t>-群：319198864</t>
  </si>
  <si>
    <t>-2群：1169645937</t>
  </si>
  <si>
    <t>-上限均为200人</t>
  </si>
  <si>
    <t>-本人会不定期更新代码表</t>
  </si>
  <si>
    <t>-可能是小优化，也可能是大更新</t>
  </si>
  <si>
    <t>=========================</t>
  </si>
  <si>
    <t>-此代码表为NDT-v1.15（正式版1.2.6.3）（2024.7.12）</t>
  </si>
  <si>
    <t>-代码表内部可能有重复，错误等问题</t>
  </si>
  <si>
    <t>-可能还会有没来得及测试的新代码</t>
  </si>
  <si>
    <t>-如有问题，可以向作者反映（1980316694）</t>
  </si>
  <si>
    <t>-作者并不建议你去看那些未知的代码</t>
  </si>
  <si>
    <t>-谢谢</t>
  </si>
  <si>
    <t>-注意：我方遵循 CC BY-NC-SA 4.0 协议</t>
  </si>
  <si>
    <t>-URL: https://creativecommons.org/licenses/by-nc-sa/4.0/</t>
  </si>
  <si>
    <t>-此代码表为NDT-v1.15（正式版1.2.8.0）（2024.7.21）</t>
  </si>
  <si>
    <t>自身达到最大速度</t>
  </si>
  <si>
    <t>if self.maxspeed() == true</t>
  </si>
  <si>
    <t>当前目标或定位的位置。
    • alsoTriggerAction: x (thisActionTarget==Same as original action(与原动作相同))
    • [turret]onShoot_triggerActions: x  (thisActionTarget==Target that was shot at(被击中的目标))
    • takeResources_triggerActionIfAnyCollected: x (thisActionTarget==Target with resources(带有资源的目标))
    • addWaypoint_triggerActionIfMatched: x (thisActionTarget == Marker for move/Target for attack, etc.  Note: use addWaypoint_maxTime:0 if you want to search only
    • 移动动作的标记/攻击的目标等。
注：如果只是想搜索，请使用addWaypoint_maxTime: 0</t>
  </si>
  <si>
    <t>takeResources_excludeUnitsWithoutCustomTarget1EqualTo</t>
  </si>
  <si>
    <t>takeResources_saveFirstUnitToCustomTarget1:tru</t>
  </si>
  <si>
    <t>takeResources_saveFirstUnitToCustomTarget1:true</t>
  </si>
  <si>
    <t>取资源排除没有自定义目标1的单位等于</t>
  </si>
  <si>
    <t>提取资源排除没有自定义目标1的单位等于</t>
  </si>
  <si>
    <t>提取资源排除没有自定义目标1的单位</t>
  </si>
  <si>
    <t>提取资源排除自定义目标1的单位</t>
  </si>
  <si>
    <t>提取资源排除无标签</t>
  </si>
  <si>
    <t>提取资源排除无自定义目标1</t>
  </si>
  <si>
    <t>提取资源排除无资源</t>
  </si>
  <si>
    <t>提取资源排除资源不足</t>
  </si>
  <si>
    <t>提取资源排除无自定义目标1的单位</t>
  </si>
  <si>
    <t>takeResources_excludeUnitsWithoutCustomTarget1EqualTo:self</t>
  </si>
  <si>
    <t>提取资源，但排除自定义目标1为所填值得单位</t>
  </si>
  <si>
    <t>提取资源，但排除没有自定义目标1为所填值得单位</t>
  </si>
  <si>
    <t>提取资源，但排除没有自定义目标1为所填值的单位</t>
  </si>
  <si>
    <t>-此代码表为NDT-v1.15（正式版1.2.8.3）（2024.7.28）</t>
  </si>
  <si>
    <t>提取资源仅提取自定义目标一为</t>
  </si>
  <si>
    <t>提取资源需要标签</t>
  </si>
  <si>
    <t>仅提取自定义目标一为</t>
  </si>
  <si>
    <t>提取资源，但仅提取自定义目标一为此代码所填值的单位</t>
  </si>
  <si>
    <t>提取资源，但只提取有此标签的单位</t>
  </si>
  <si>
    <t>self.inWater()</t>
  </si>
  <si>
    <t>如果自身在水中则执行。等同于self.isinwater()。</t>
  </si>
  <si>
    <t>if self.inWater()</t>
  </si>
  <si>
    <t>^</t>
  </si>
  <si>
    <t>幂</t>
  </si>
  <si>
    <t>幂运算</t>
  </si>
  <si>
    <t>将后一个数字的值作为前一个数的幂来进行运算（只能在${x}中使用）</t>
  </si>
  <si>
    <t>price:${a^b}（这里假设我们设置了a是2，b是3，那么这一段则返回8）</t>
  </si>
  <si>
    <t>从数字中删除小数位。（可以在${x}中使用）</t>
  </si>
  <si>
    <t>返回填入的值的余弦（可以在${x}中使用）</t>
  </si>
  <si>
    <t>返回填入的值的正弦（可以在${x}中使用）</t>
  </si>
  <si>
    <t>if int(4.2) == 4
price:${cos(a)}（这里我们假设a）</t>
  </si>
  <si>
    <t>if int(4.2) == 4
price:${cos(a)}（这里我们假设a是0，这该值返回1）</t>
  </si>
  <si>
    <t>if cos(60) == 0.5
price:${cos(a)}（这里我们假设a是0，这该值返回1）</t>
  </si>
  <si>
    <t>if sin(30) == 0.5
price:${sin(a)}（这里我们假设a是0，这该值返回0）</t>
  </si>
  <si>
    <t>if int(4.2) == 4
price:${int(a)}（这里我们假设a是1.4，则该值返回1）</t>
  </si>
  <si>
    <t>if cos(60) == 0.5
price:${cos(a)}（这里我们假设a是0，则该值返回1）</t>
  </si>
  <si>
    <t>if sin(30) == 0.5
price:${sin(a)}（这里我们假设a是0，则该值返回0）</t>
  </si>
  <si>
    <t>int([float])</t>
  </si>
  <si>
    <t>添加两个数字或连接两个字符串（可以在${x}）</t>
  </si>
  <si>
    <t>添加两个数字或连接两个字符串（可以在${x}中使用）</t>
  </si>
  <si>
    <t>两个数字相减所得值（可以在${x}中使用）</t>
  </si>
  <si>
    <t>两个数字相除所得值（可以在${x}中使用）</t>
  </si>
  <si>
    <t>两个数相乘所得值（可以在${x}中使用）</t>
  </si>
  <si>
    <t>将两个数字相除并取余数部分作为计算所得值（可以在${x}中使用，用法和logic中一样，在此不做例子解释）</t>
  </si>
  <si>
    <t>两个数相乘所得值（可以在${x}中使用，用法和logic中一样，在此不做例子解释）</t>
  </si>
  <si>
    <t>两个数字相除所得值（可以在${x}中使用，用法和logic中一样，在此不做例子解释）</t>
  </si>
  <si>
    <t>两个数字相减所得值（可以在${x}中使用，用法和logic中一样，在此不做例子解释）</t>
  </si>
  <si>
    <t>添加两个数字或连接两个字符串（可以在${x}中使用，用法和logic中一样，在此不做例子解释）</t>
  </si>
  <si>
    <t>用于囊括逻辑，可以把诸多逻辑用囊括符囊括成一个逻辑 可以避免像“or”这种衔接字符的烦人问题（可以在${x}中使用，用法和logic中一样，在此不做例子解释）</t>
  </si>
  <si>
    <t>sqrt(num)</t>
  </si>
  <si>
    <t>返回一个数的平方根（只能在${x}中使用）</t>
  </si>
  <si>
    <t>price:${sqrt(a)}（这里我们假设a是4，则该值返回二）</t>
  </si>
  <si>
    <t>-此代码表为NDT-v1.15（正式版1.2.8.5）（2024.7.28）</t>
  </si>
  <si>
    <t>arm1_5s: {x: 5, dir: 90, y: 20, alpha:0.4, height:50 }</t>
  </si>
  <si>
    <t>arm1_5s: {x: 5, dir: 90, y: 20, alpha:0.4, height:50}</t>
  </si>
  <si>
    <t>leg1_5s: {x: 5, dir: 90, y: 20, alpha:0.4, height:50}</t>
  </si>
  <si>
    <t>此数值决定每帧增加护盾值，游戏内一秒为60帧，所以不要写太大。可以写负值。（默认值为0.25）</t>
  </si>
  <si>
    <t>-此代码表为NDT-v1.15（正式版1.2.8.6）（2024.8.10）</t>
  </si>
  <si>
    <t>self.numberOfUnitsInAllyTeam()</t>
  </si>
  <si>
    <t>我方有单位数量</t>
  </si>
  <si>
    <t>我方拥有此单位的数量。(参数:withTag,greaterThan,lessThan,withinRange,incompleteBuildings,factoryQueue)</t>
  </si>
  <si>
    <t>if self.numberOfUnitsInAllyTeam(withTag="cat",greaterThan=0,withinrange=99)</t>
  </si>
  <si>
    <t>addWaypoint_target_fromReference: memory.lastDock</t>
  </si>
  <si>
    <t>transportSlotsNeeded</t>
  </si>
  <si>
    <t>-此代码表为NDT-v1.15（正式版1.2.9.0）（2024.8.31）</t>
  </si>
  <si>
    <t>运输新单位</t>
  </si>
  <si>
    <t>direction_useMainTurret</t>
  </si>
  <si>
    <t>direction_useMainTurret:true</t>
  </si>
  <si>
    <t>覆盖[graphics] animation_direction_useMainTurret，多向动画的执行将以单位主炮塔的角度为基准</t>
  </si>
  <si>
    <t>price:${sqrt(a)}（这里我们假设a是4，则该值返回2）</t>
  </si>
  <si>
    <t>机枪yyds</t>
  </si>
  <si>
    <t>昨天 20:32 公开内容</t>
  </si>
  <si>
    <t>铁锈战争 调试选项代码表</t>
  </si>
  <si>
    <t>铁锈战争调试选项代码表</t>
  </si>
  <si>
    <t>可用于调试地图，模组，以及自己瞎搞尝鲜</t>
  </si>
  <si>
    <t>❈在设置中的"Set Debug Options"中使用。</t>
  </si>
  <si>
    <t>注意！玩之前最好先阅读完整篇文章，或者对铁锈进行备份。</t>
  </si>
  <si>
    <t>在调试后后再次进入会有一个小的提醒，关于是否保留上次的调试操作，这时候可以进行重置。</t>
  </si>
  <si>
    <t>old map render</t>
  </si>
  <si>
    <t>启用旧版地图渲染</t>
  </si>
  <si>
    <t>surface view2</t>
  </si>
  <si>
    <t>启用多线程曲面视图</t>
  </si>
  <si>
    <t>nonsurface view</t>
  </si>
  <si>
    <t>启用非曲面视图</t>
  </si>
  <si>
    <t>surface view</t>
  </si>
  <si>
    <t>启用表面视图</t>
  </si>
  <si>
    <t>opengl view</t>
  </si>
  <si>
    <t>启用OpenGL视图</t>
  </si>
  <si>
    <t>watch memory</t>
  </si>
  <si>
    <t>启用内存监控</t>
  </si>
  <si>
    <t>autosave &lt;on|off&gt;</t>
  </si>
  <si>
    <t>启用/禁用自动保存</t>
  </si>
  <si>
    <t>reset</t>
  </si>
  <si>
    <t>重置所有调试，但是语言不会变回来</t>
  </si>
  <si>
    <t>lang &lt;string：国际化语言标准代码&gt;</t>
  </si>
  <si>
    <t>强制转换游戏的语言环境。①</t>
  </si>
  <si>
    <t>save logs</t>
  </si>
  <si>
    <t>把日志文件保存在 手机存储/rustedwarfare/ 。</t>
  </si>
  <si>
    <t>share logs</t>
  </si>
  <si>
    <t>分享当前的日志文件。（不会进行保存）</t>
  </si>
  <si>
    <t>storage setup</t>
  </si>
  <si>
    <t>唤出储存路径设置。</t>
  </si>
  <si>
    <t>storage reset</t>
  </si>
  <si>
    <t>重置储存路径设置。</t>
  </si>
  <si>
    <t>cache delete</t>
  </si>
  <si>
    <t>清除缓存。</t>
  </si>
  <si>
    <t>cache list</t>
  </si>
  <si>
    <t>列出缓存数量。</t>
  </si>
  <si>
    <t>showhpchanges &lt;on|off&gt;</t>
  </si>
  <si>
    <t>启用/禁用血量变化。（在扣血时的那个白色缓冲条）</t>
  </si>
  <si>
    <t>检查当前版本。</t>
  </si>
  <si>
    <t>save bad header</t>
  </si>
  <si>
    <t>保存错误日志。</t>
  </si>
  <si>
    <t>share bad header</t>
  </si>
  <si>
    <t>分享错误日志。（不会进行保存）</t>
  </si>
  <si>
    <t>saf locking</t>
  </si>
  <si>
    <t>锁定SAF储存模式。</t>
  </si>
  <si>
    <t>saf force &lt;on|off&gt;</t>
  </si>
  <si>
    <t>强制启用/禁用SAF储存模式。②</t>
  </si>
  <si>
    <t>opengl clear context</t>
  </si>
  <si>
    <t>清除 OpenGL 渲染缓存。</t>
  </si>
  <si>
    <t>postprocessing</t>
  </si>
  <si>
    <t>后期处理着色器。（使纹理更加精致）</t>
  </si>
  <si>
    <t>team shaders &lt;on|off&gt;</t>
  </si>
  <si>
    <t>启用/禁用团队颜色着色器。（开启后使用模组大幅减少纹理内存，但需要更好的GPU）</t>
  </si>
  <si>
    <t>sound priority &lt;on|off&gt;</t>
  </si>
  <si>
    <t>启用/禁用音效优先级。（开启后低优先级的音效将被高优先级的音效占用）</t>
  </si>
  <si>
    <t>digit grouping &lt;on|off&gt;</t>
  </si>
  <si>
    <t>启用/禁用资金数字分组。</t>
  </si>
  <si>
    <t>ui scale &lt;float：value={n|0.3≤n≤4.0}&gt;</t>
  </si>
  <si>
    <t>设置UI大小（默认为1.0）。</t>
  </si>
  <si>
    <t>kick ban time &lt;int&gt;</t>
  </si>
  <si>
    <t>设置封禁时间。</t>
  </si>
  <si>
    <t>当房主踢出一个玩家之后这个玩家的ip将会被封禁，默认为60秒，此指令单位为秒。③</t>
  </si>
  <si>
    <t>hash</t>
  </si>
  <si>
    <t>弹出版本校验码。</t>
  </si>
  <si>
    <t>network reset</t>
  </si>
  <si>
    <t>重置网络设定。</t>
  </si>
  <si>
    <t>display over cutout &lt;on|off&gt;</t>
  </si>
  <si>
    <t>启用/禁用自适应屏幕功能。</t>
  </si>
  <si>
    <t>use line width &lt;on|off&gt;</t>
  </si>
  <si>
    <t>启用/禁用线宽渲染。</t>
  </si>
  <si>
    <t>【注释】</t>
  </si>
  <si>
    <t>①国际化语言标准代码:</t>
  </si>
  <si>
    <t>zh 繁体中文 zh_cn 简体中文 en 英语 es 西班牙语 de 德语</t>
  </si>
  <si>
    <t>fr 法语 it 意大利语 by 白俄罗斯语 ja 日本语 ni 荷兰语</t>
  </si>
  <si>
    <t>pl 波兰语 pt 葡萄牙语 ru 俄语 tr 土耳其语 uk 乌克兰语</t>
  </si>
  <si>
    <t>②SAF模式在安卓9以上才有效，安卓9以下Luke默认禁用该模式。</t>
  </si>
  <si>
    <t>③超过2147483647(= 2^31 -1)输出的值将会是-1，并不是2147483647。</t>
  </si>
  <si>
    <t>转载自 bilibili｜Ham-Ster</t>
  </si>
  <si>
    <t>编辑：末忆-铁锈盒子｜机枪yyds</t>
  </si>
  <si>
    <t>收起内容</t>
  </si>
  <si>
    <t>铁锈战争 调试选项代码表铁锈战争 调试选项代码表铁锈战争 调试选项代码表铁锈战争 调试选项代码表铁锈战争 调试选项代码表铁锈战争 调试选项代码表</t>
  </si>
  <si>
    <t>#铁锈MOD-盒子#铁锈地图-盒子#铁锈战争1.15正式版</t>
  </si>
  <si>
    <t xml:space="preserve"> 8.1k</t>
  </si>
  <si>
    <t>机枪yyds：@有点波澜 word早就开始做了，不过发不出来，因为搜集的信息还不够，而且没时间</t>
  </si>
  <si>
    <t>有点波澜：@机枪yyds 教程的Word，给所有人学习内容</t>
  </si>
  <si>
    <t>机枪yyds：啊？什么RCN？我说的本地@有点波澜</t>
  </si>
  <si>
    <t xml:space="preserve"> 写评论</t>
  </si>
  <si>
    <t>浏览 8058 • 手机端 • 2024-09-15 20:32</t>
  </si>
  <si>
    <t>注意！使用debug opinion可能会对铁锈造成不可逆的损伤，建议提前对铁锈进行备份。</t>
  </si>
  <si>
    <t>警告：使用debug opinion可能会对铁锈造成不可逆的损伤，建议提前对铁锈进行备份。</t>
  </si>
  <si>
    <t>在设置中的"Set Debug Options"中输入</t>
  </si>
  <si>
    <t>Debug Opinion （调试选项设置）</t>
  </si>
  <si>
    <r>
      <rPr>
        <b/>
        <charset val="134"/>
        <sz val="10"/>
        <color rgb="FFFFFFFF"/>
        <rFont val="微软雅黑"/>
      </rPr>
      <t>CTRL+P</t>
    </r>
    <r>
      <rPr>
        <charset val="134"/>
        <sz val="10"/>
        <color rgb="FFFFFFFF"/>
        <rFont val="微软雅黑"/>
      </rPr>
      <t>（Ctrl键+P键）</t>
    </r>
  </si>
  <si>
    <r>
      <rPr>
        <b/>
        <charset val="134"/>
        <sz val="10"/>
        <color rgb="FFFFFFFF"/>
        <rFont val="serif"/>
      </rPr>
      <t>CTRL+P</t>
    </r>
    <r>
      <rPr>
        <charset val="134"/>
        <sz val="10"/>
        <color rgb="FFFFFFFF"/>
        <rFont val="serif"/>
      </rPr>
      <t>（Ctrl键+P键）</t>
    </r>
  </si>
  <si>
    <r>
      <rPr>
        <b/>
        <charset val="134"/>
        <sz val="10"/>
        <color rgb="FFFFFFFF"/>
        <rFont val="serif"/>
      </rPr>
      <t>CTRL+P</t>
    </r>
    <r>
      <rPr>
        <charset val="134"/>
        <sz val="10"/>
        <color rgb="FFFFFFFF"/>
        <rFont val="微软雅黑"/>
      </rPr>
      <t>（Ctrl键+P键）</t>
    </r>
  </si>
  <si>
    <r>
      <t xml:space="preserve"> </t>
    </r>
    <r>
      <rPr>
        <charset val="134"/>
        <sz val="10"/>
        <rFont val="微软雅黑"/>
      </rPr>
      <t>8.1k</t>
    </r>
  </si>
  <si>
    <r>
      <t xml:space="preserve"> </t>
    </r>
    <r>
      <rPr>
        <charset val="134"/>
        <sz val="10"/>
        <rFont val="微软雅黑"/>
      </rPr>
      <t>写评论</t>
    </r>
  </si>
  <si>
    <r>
      <rPr>
        <charset val="134"/>
        <sz val="10"/>
        <color rgb="FFBF0000"/>
        <rFont val="serif"/>
      </rPr>
      <t>-</t>
    </r>
    <r>
      <rPr>
        <charset val="134"/>
        <sz val="10"/>
        <color rgb="FFBF0000"/>
        <rFont val="微软雅黑"/>
      </rPr>
      <t>addai</t>
    </r>
  </si>
  <si>
    <r>
      <rPr>
        <charset val="134"/>
        <sz val="10"/>
        <color rgb="FFBF0000"/>
        <rFont val="serif"/>
      </rPr>
      <t>-</t>
    </r>
    <r>
      <rPr>
        <charset val="134"/>
        <sz val="10"/>
        <color rgb="FFBF0000"/>
        <rFont val="微软雅黑"/>
      </rPr>
      <t>start</t>
    </r>
  </si>
  <si>
    <r>
      <rPr>
        <charset val="134"/>
        <sz val="10"/>
        <color rgb="FFBF0000"/>
        <rFont val="serif"/>
      </rPr>
      <t>-</t>
    </r>
    <r>
      <rPr>
        <charset val="134"/>
        <sz val="10"/>
        <color rgb="FFBF0000"/>
        <rFont val="serif"/>
      </rPr>
      <t>addai</t>
    </r>
  </si>
  <si>
    <r>
      <rPr>
        <charset val="134"/>
        <sz val="10"/>
        <color rgb="FFBF0000"/>
        <rFont val="serif"/>
      </rPr>
      <t>-</t>
    </r>
    <r>
      <rPr>
        <charset val="134"/>
        <sz val="10"/>
        <color rgb="FFBF0000"/>
        <rFont val="serif"/>
      </rPr>
      <t>addai</t>
    </r>
  </si>
  <si>
    <r>
      <rPr>
        <charset val="134"/>
        <sz val="10"/>
        <color rgb="FFBF0000"/>
        <rFont val="serif"/>
      </rPr>
      <t>-</t>
    </r>
    <r>
      <rPr>
        <charset val="134"/>
        <sz val="10"/>
        <color rgb="FFBF0000"/>
        <rFont val="serif"/>
      </rPr>
      <t>start</t>
    </r>
  </si>
  <si>
    <r>
      <rPr>
        <charset val="134"/>
        <sz val="10"/>
        <color rgb="FFBF0000"/>
        <rFont val="serif"/>
      </rPr>
      <t>-</t>
    </r>
    <r>
      <rPr>
        <charset val="134"/>
        <sz val="10"/>
        <color rgb="FFBF0000"/>
        <rFont val="serif"/>
      </rPr>
      <t>start</t>
    </r>
  </si>
  <si>
    <r>
      <rPr>
        <charset val="134"/>
        <sz val="10"/>
        <color rgb="FFBF0000"/>
        <rFont val="serif"/>
      </rPr>
      <t>-</t>
    </r>
    <r>
      <rPr>
        <charset val="134"/>
        <sz val="10"/>
        <color rgb="FFBF0000"/>
        <rFont val="微软雅黑"/>
      </rPr>
      <t>surrender</t>
    </r>
  </si>
  <si>
    <r>
      <rPr>
        <charset val="134"/>
        <sz val="10"/>
        <color rgb="FFBF0000"/>
        <rFont val="serif"/>
      </rPr>
      <t>-</t>
    </r>
    <r>
      <rPr>
        <charset val="134"/>
        <sz val="10"/>
        <color rgb="FFBF0000"/>
        <rFont val="serif"/>
      </rPr>
      <t>surrender</t>
    </r>
  </si>
  <si>
    <r>
      <rPr>
        <charset val="134"/>
        <sz val="10"/>
        <color rgb="FFBF0000"/>
        <rFont val="serif"/>
      </rPr>
      <t>-</t>
    </r>
    <r>
      <rPr>
        <charset val="134"/>
        <sz val="10"/>
        <color rgb="FFBF0000"/>
        <rFont val="serif"/>
      </rPr>
      <t>surrender</t>
    </r>
  </si>
  <si>
    <r>
      <t xml:space="preserve"> </t>
    </r>
    <r>
      <rPr>
        <charset val="134"/>
        <sz val="10"/>
        <rFont val="微软雅黑"/>
      </rPr>
      <t>8.1k</t>
    </r>
  </si>
  <si>
    <r>
      <t xml:space="preserve"> </t>
    </r>
    <r>
      <rPr>
        <charset val="134"/>
        <sz val="10"/>
        <rFont val="微软雅黑"/>
      </rPr>
      <t>写评论</t>
    </r>
  </si>
  <si>
    <t>警告：使用debug opinion可能会对铁锈造成不可逆的损伤，建议提前对铁锈进行备份</t>
  </si>
  <si>
    <t>在调试后后再次进入会有一个小的提醒，关于是否保留上次的调试操作，这时候可以进行重置</t>
  </si>
  <si>
    <t>autosave &lt;value:on||off&gt;</t>
  </si>
  <si>
    <t>重置所有调试（除语言）</t>
  </si>
  <si>
    <t>lang &lt;value:[ISO 3166-2 Code]&gt;</t>
  </si>
  <si>
    <t>更改游戏内语言</t>
  </si>
  <si>
    <t>把日志文件保存在“/storage/emulated/0/rustedwarfare/”的目录下</t>
  </si>
  <si>
    <t>分享当前的日志文件（不会保存）</t>
  </si>
  <si>
    <t>唤出储存路径设置</t>
  </si>
  <si>
    <t>重置储存路径设置</t>
  </si>
  <si>
    <t>清除缓存</t>
  </si>
  <si>
    <t>打印缓存清单</t>
  </si>
  <si>
    <t>showhpchanges &lt;value:on||off&gt;</t>
  </si>
  <si>
    <t>启用/禁用血量变化（扣血时的淡黄色缓冲条）</t>
  </si>
  <si>
    <t>当前版本</t>
  </si>
  <si>
    <t>保存错误日志</t>
  </si>
  <si>
    <t>分享错误日志（不会保存）</t>
  </si>
  <si>
    <t>锁定SAF储存模式</t>
  </si>
  <si>
    <t>saf force &lt;value:on|off&gt;</t>
  </si>
  <si>
    <t>强制启用/禁用SAF储存模式</t>
  </si>
  <si>
    <t>清除 OpenGL 渲染缓存</t>
  </si>
  <si>
    <t>后期处理着色器（使纹理更加精致）</t>
  </si>
  <si>
    <t>team shaders &lt;value:on|off&gt;</t>
  </si>
  <si>
    <t>启用/禁用团队着色器（开启后使用模组大幅减少纹理内存，但需要更好的GPU）</t>
  </si>
  <si>
    <t>sound priority &lt;value:on|off&gt;</t>
  </si>
  <si>
    <t>启用/禁用音效优先级（开启后低优先级的音效将被高优先级的音效占用）</t>
  </si>
  <si>
    <t>digit grouping &lt;value:on|off&gt;</t>
  </si>
  <si>
    <t>启用/禁用资金数字分组</t>
  </si>
  <si>
    <t>ui scale &lt;value: float&gt; 0.3&lt;=N&lt;=4.0</t>
  </si>
  <si>
    <t>设置UI大小（默认为1.0）</t>
  </si>
  <si>
    <t>设置封禁时间</t>
  </si>
  <si>
    <t>将踢出游戏的玩家的ip封禁，默认60秒，单位：秒</t>
  </si>
  <si>
    <t>弹出版本校验码</t>
  </si>
  <si>
    <t>重置网络设定</t>
  </si>
  <si>
    <t>display over cutout &lt;value:on|off&gt;</t>
  </si>
  <si>
    <t>启用/禁用自适应屏幕功能</t>
  </si>
  <si>
    <t>use line width &lt;value:on|off&gt;</t>
  </si>
  <si>
    <t>启用/禁用线宽渲染</t>
  </si>
  <si>
    <t>用于对整个铁锈进行调试</t>
  </si>
  <si>
    <t>用于对整个铁锈进行调试，类似于MC的指令</t>
  </si>
  <si>
    <t xml:space="preserve">SAF（Storage Access Framework，存储访问框架）在Android 9（Pie）和支持的设备上主要用于处理文件的读写访问，以实现多应用间共享文件以及通过外部文件夹、SUSB设备或者云存储服务访问文件的功能。在Android 9中，SAF引入了一种新的API来重新设计文件访问机制，更为注重隐私保护和应用之间的兼容性。
具体而言，Android 9中的SAF存放模式主要包含以下关键点：
分离权限与文件访问：与之前的Android版本相比，SAF将文件访问操作和应用的读写权限分离，使得应用拥有更高的灵活性和可控性。
系统内调用：当应用需要访问存储设备上的文件时，必须通过系统内的目录解决器（Director）来请求访问，这样可确保应用只能访问其所拥有或已授权访问的文件。
可见性边界：SAF在访问存储文件时引入了可见性概念。这意味着只有请求读取或写入文件的应用才能访问文件，从而增强了应用间的隐私保护。
多应用共享文件：在需要多个应用共享同一份文件的情况下，SAF提供了机制来实现共享访问，比如创建一个特殊的文件夹，其他应用通过请求获取读写权限后就能访问该文件夹。
增强的隐私和安全性：通过优先使用基于标准的文件层接口而非直接访问底层文件系统，SAF增强了应用之间访问文件的隐私性和安全性。
为了使用SAF进行文件读写操作，应用开发者需要通过特定的API来请求权限。在请求完权限并得到读写授权后，应用才能通过系统层级的接口来访问存储文件。这一变化使得Android 9中的文件访问机制更加安全和保护用户隐私。
</t>
  </si>
  <si>
    <t xml:space="preserve">
SAF（Storage Access Framework，存储访问框架）
在Android 9（Pie）和支持的设备上主要用于处理文件的读写访问以实现多应用间共享文件以及通过外部文件夹、SUSB设备或者云存储服务访问文件的功能。
在Android 9中，SAF引入了一种新的API来重新设计文件访问机制，更为注重隐私保护和应用之间的兼容性。
具体而言，Android 9中的SAF存放模式主要包含以下关键点：
1.分离权限与文件访问：与之前的Android版本相比，SAF将文件访问操作和应用的读写权限分离，使得应用拥有更高的灵活性和可控性。
2.系统内调用：当应用需要访问存储设备上的文件时，必须通过系统内的目录解决器（Director）来请求访问，这样可确保应用只能访问其所拥有或已授权访问的文件。
3.可见性边界：SAF在访问存储文件时引入了可见性概念。这意味着只有请求读取或写入文件的应用才能访问文件，从而增强了应用间的隐私保护。
4.多应用共享文件：在需要多个应用共享同一份文件的情况下，SAF提供了机制来实现共享访问，比如创建一个特殊的文件夹，其他应用通过请求获取读写权限后就能访问该文件夹。
5.增强的隐私和安全性：通过优先使用基于标准的文件层接口而非直接访问底层文件系统，SAF增强了应用之间访问文件的隐私性和安全性。
为了使用SAF进行文件读写操作，应用开发者需要通过特定的API来请求权限。
在请求完权限并得到读写授权后，应用才能通过系统层级的接口来访问存储文件。
这一变化使得Android 9中的文件访问机制更加安全和保护用户隐私。</t>
  </si>
  <si>
    <t>-此代码表为NDT-v1.15（正式版1.2.9.0）（2024.9.17）【中秋快乐】</t>
  </si>
  <si>
    <t>-此代码表为NDT-v1.15（正式版1.3.0.0）（2024.9.17）【中秋快乐】</t>
  </si>
  <si>
    <t>移动攻击类型。实际上，这条代码内可以任意填写值，但enum值例如normal/bomber。能量耗尽时，轰炸机攻击运动将后退。可填moveaway，strafing但无效。</t>
  </si>
  <si>
    <t>attackMovement:&amp;#%&lt;&gt;?!
attackMovement:bomber</t>
  </si>
  <si>
    <t>enum/string</t>
  </si>
  <si>
    <t>barrelOffsetX_omoddShots</t>
  </si>
  <si>
    <t>以逗号分隔的名称列表。像名称一样，但优先级较低，对于启用多个自定义mod有用。</t>
  </si>
  <si>
    <t>自身队列数量。(参数:greaterThan,lessThan,equalTo,empty,full,withActionTag)参数：大于，小于，等于，空，满，有行动标签</t>
  </si>
  <si>
    <t>withActionTag</t>
  </si>
  <si>
    <t>需要行动标签</t>
  </si>
  <si>
    <t>-此代码表为NDT-v1.15（正式版1.3.0.5）（2024.9.30）</t>
  </si>
  <si>
    <t>units.aaBeamGunship.afterBurn.name</t>
  </si>
  <si>
    <t>units.aaBeamGunship.afterBurn.description</t>
  </si>
  <si>
    <t>textAddUnitName:${section.convertTo}</t>
  </si>
  <si>
    <t>让图像变得平衡，这在可以避免一些情况产生的锯齿。（这影响渲染性能）</t>
  </si>
  <si>
    <t>${section.XXX}是一种特殊的格式，（XXX请转化为您需要引用的key），section是一个关键字，它会返回这个${x}所处的section的名称</t>
  </si>
  <si>
    <t>例如：</t>
  </si>
  <si>
    <t>[core]</t>
  </si>
  <si>
    <t>price:1250</t>
  </si>
  <si>
    <t>mass:${section.price}</t>
  </si>
  <si>
    <t>这里的${section.price}实际上等同于${core.price}，所以它将正常的返回1250并在铁锈运行</t>
  </si>
  <si>
    <t>${section.key}实际上section和key能随意填写字母，数字，下划线，只需要你在代码中写好对应的section名称和section里的代码就行，铁锈会正常引用且不会报错</t>
  </si>
  <si>
    <t>在${section.key}中实际上section和key能随意填写字母，数字，下划线，只需要你在代码中写好对应的section名称和section里的代码就行，铁锈会正常引用且不会报错</t>
  </si>
  <si>
    <t>在${section.key}中实际上section和key能随意填写字母，数字，下划线，只需要您在代码中写好对应的section名称和section里的代码就行，铁锈会正常引用且不会报错</t>
  </si>
  <si>
    <t>将${section.key}写成${comment_XXX.XXX}是错误的，因为铁锈会将[comment_XXX]和里面的所有内容作为注释而不会去编译，所以${section.key}将无法引用其中的内容</t>
  </si>
  <si>
    <t>该方法用于引用指定section下的key的填的值，具体使用方式请跳转“其他”寻找</t>
  </si>
  <si>
    <t>在${section.key}以及${X}中</t>
  </si>
  <si>
    <t>${section.key}及${X}</t>
  </si>
  <si>
    <t>在${section.key}以及${X}中，我们有四种数学方法可以使用</t>
  </si>
  <si>
    <t>sin(x)，cos(x)，int(x)，</t>
  </si>
  <si>
    <t>该方法用于引用指定section下的key的填的值，运算符合数学方法，请在代码表中背景颜色为肉色或紫色处查看，冷知识请跳转“其他”寻找</t>
  </si>
  <si>
    <t>该方法用于引用指定section下的key的填的值，运算符和数学方法的使用请在代码表中背景颜色为肉色或紫色处查看，冷知识请跳转“其他”寻找</t>
  </si>
  <si>
    <t>该方法用于引用指定section下的key的填的值，运算符和数学方法的使用请在代码表logic区中背景颜色为肉色或紫色处查看，冷知识请跳转“其他”工作簿第二栏目底部寻找</t>
  </si>
  <si>
    <t>该方法用于引用section中@define或者@global定义的变量的值，运算符和数学方法的使用请在代码表logic区中背景颜色为肉色或紫色处查看</t>
  </si>
  <si>
    <t>该方法用于引用指定section下的key所填的值，运算符和数学方法的使用请在代码表logic区中背景颜色为肉色或紫色处查看，冷知识请跳转“其他”工作簿第二栏目底部寻找</t>
  </si>
  <si>
    <t>可用于多行字符串。 从最终结果中删除换行符。所有代码都可使用。但需注意，你在打了一个"""后，必须要有一个"""与之对应，否则一定报错，不能用'''，否则也报错
"""在位于最行首时，作用将会改为多行注释</t>
  </si>
  <si>
    <t>可用于多行字符填写。 从最终结果中删除换行符。所有代码都可使用。但需注意，你在打了一个"""后，必须要有一个"""与之对应，否则一定报错，不能用'''，否则也报错
"""在位于最行首时，作用将会改为多行注释</t>
  </si>
  <si>
    <t>可用于多行字符填写。 从最终结果中删除换行符。所有代码都可使用。但需注意，你呢在打了一个"""后，必须要有一个"""与之对应，否则一定报错，不能用'''，否则也报错
"""在位于最行首时，作用将会改为多行注释</t>
  </si>
  <si>
    <t>可用于多行字符填写。 从最终结果中删除换行符。所有代码都可使用。但需注意，您在打了一个"""后，必须要有一个"""与之对应，否则一定报错，不能用'''，否则也报错
"""在位于最行首时，作用将会改为多行注释</t>
  </si>
  <si>
    <t>可用于多行字符填写。 从最终结果中删除换行符。ini文件任意地方均可使用。但需注意，您在打了一个"""后，必须要有一个"""与之对应，否则一定报错，不能用'''，否则也报错
"""在位于最行首时，作用将会改为多行注释</t>
  </si>
  <si>
    <t>目标为地面包括空中目标</t>
  </si>
  <si>
    <t>targetGround_includeTargetHeight:true的时候可以让targetGround:true的抛射体在瞄准空中单位后在空中爆炸</t>
  </si>
  <si>
    <t>（必须要有isMelee:true否则使用该key会报错）使部队游猎，自动移动以攻击附近的敌方部队。近战默认为250，非近战默认为0（即使非近战也可以使用）</t>
  </si>
  <si>
    <t>showRangeUIGuide只在选中单位时有效，在放置单位时无效。显示攻击范围的白圈。默认true.</t>
  </si>
  <si>
    <t>showRangeUIGuide只在选中单位时有效，在放置单位时无效，显示攻击范围的白圈。默认true。</t>
  </si>
  <si>
    <t>showRangeUIGuide只在选中单位时有效，在放置单位时无效。显示攻击范围的白圈，默认true。</t>
  </si>
  <si>
    <t>停止攻击后预热条下降速度，只支持浮点</t>
  </si>
  <si>
    <t>-感谢：〔二楼下图〕对代码表的错误进行改正</t>
  </si>
  <si>
    <t>-上限为1000人</t>
  </si>
  <si>
    <t>-此代码表为NDT-v1.15（正式版1.3.0.8）（2025.2.3）</t>
  </si>
  <si>
    <t>-代码表内部依然可能有重复，错误等问题</t>
  </si>
  <si>
    <t>-也可能还会有没来得及测试的新代码</t>
  </si>
  <si>
    <t>-遵循 CC BY-NC-SA 4.0 协议</t>
  </si>
  <si>
    <t>effect#_[time]（#处可以为空）</t>
  </si>
  <si>
    <t>范围预览图（1.15p9新增）</t>
  </si>
  <si>
    <t>一个白色像素点</t>
  </si>
  <si>
    <t>中文译名</t>
  </si>
  <si>
    <t>图像预览</t>
  </si>
  <si>
    <t>不可用但是drawable文件夹里存在的图像素材（不可用素材不提供图像预览）</t>
  </si>
  <si>
    <t>铁锈战争内置图像</t>
  </si>
  <si>
    <t>其他图像</t>
  </si>
  <si>
    <t>铁锈战争res/drawable内置图像（图像素材代码不能直接使用，不提供图像预览）</t>
  </si>
  <si>
    <t>铁锈战争res/drawable内置图像（代码不能直接使用，不提供图像预览）</t>
  </si>
  <si>
    <t>res/drawable内置图像（代码不能直接使用，不提供图像预览）</t>
  </si>
  <si>
    <t>res/drawable内置图像（不能直接使用，不提供预览）</t>
  </si>
  <si>
    <t>闪电蓄能图</t>
  </si>
  <si>
    <t>闪电蓄能图2</t>
  </si>
  <si>
    <t>猛犸坦克炮塔图（老式）</t>
  </si>
  <si>
    <t>超级坦克炮塔图</t>
  </si>
  <si>
    <t>超级坦克炮塔图2</t>
  </si>
  <si>
    <t>纳米修复塔图</t>
  </si>
  <si>
    <t>[需要提供的图片太多了，暂不进行补全]</t>
  </si>
  <si>
    <t>-此代码表为NDT-v1.15（正式版1.3.1.0）（2025.4.5）</t>
  </si>
  <si>
    <t>#8000FFFF = 半透明的青色</t>
  </si>
  <si>
    <t>铁锈代码使用的是RGB（红绿蓝）或者ARGB（红绿蓝透）调色</t>
  </si>
  <si>
    <t>铁锈代码使用的是RGB（红绿蓝）或者ARGB（透红绿蓝）调色</t>
  </si>
  <si>
    <t>每两位数，用第一位数乘以16，再加上第二位数即可算出RGB或ARGB的值</t>
  </si>
  <si>
    <t>用其调色就行，记得#后面是按照A（透明度），R（红色），G（绿色），B（蓝色）来调色的哦</t>
  </si>
  <si>
    <t>告诉你该模组支持的最低版本，decal为1.15p9，数组为1.15p11，但凡这两个没有在minVersion后面写上相应版本，一定会报错</t>
  </si>
  <si>
    <t>为每个单元创建唯一的自定义存储变量。允许的类型:boolean, float/number, unit, string
格式:defineUnitMemory:类型 变量名称
defineUnitMemory: boolean nukeActive,boolean laserReady, float experience, unit nextTarget, unit homeBase, string customText</t>
  </si>
  <si>
    <t>为每个单元创建唯一的自定义存储变量。允许的类型:boolean/bool, float/number, unit, string/text
格式:defineUnitMemory:类型 变量名称
defineUnitMemory: boolean nukeActive,boolean laserReady, float experience, unit nextTarget, unit homeBase, string customText</t>
  </si>
  <si>
    <t>canBuild_#_[canBuildKey]:</t>
  </si>
  <si>
    <t>行动_#_[行动节代码]</t>
  </si>
  <si>
    <t>可建造_#_[可建造节代码]</t>
  </si>
  <si>
    <t>-此代码表为NDT-v1.15（正式版1.3.1.3）（2025.4.18）</t>
  </si>
  <si>
    <t>可以攻击，默认为true，不能和canShoot连用</t>
  </si>
  <si>
    <t xml:space="preserve"> I盘（i:）引用表（实际上应该叫捆绑包资源）</t>
  </si>
  <si>
    <t xml:space="preserve"> I盘（i:）引用表（捆绑包资源）</t>
  </si>
  <si>
    <t>转移自身载员至生成载具</t>
  </si>
  <si>
    <t>addResourcesWithLogic:Res=(transporting(slot=0).resource.credits)</t>
  </si>
  <si>
    <t>setResourcesWithLogic:Res=(attachment(slot=1).resource.credits)</t>
  </si>
  <si>
    <t>setResourcesWithLogic:Res=(attachment(slot=0).resource.credits)</t>
  </si>
  <si>
    <t>addToNormalPlaylist</t>
  </si>
  <si>
    <t>将音乐添加至默认播放列表</t>
  </si>
  <si>
    <t>使用该代码，游戏的音乐播放列表将添加所填的目录下的ogg音频</t>
  </si>
  <si>
    <t>使用该代码，游戏将仅播放这个文件夹内的ogg音频（手机端是音频就能播放）</t>
  </si>
  <si>
    <t>使用该代码，游戏的音乐播放列表将添加所填的目录下的ogg音频（手机端只要是音频就能播放）</t>
  </si>
  <si>
    <t>使用该代码，游戏将仅播放这个文件夹内的ogg音频（手机端只要是音频就能播放）</t>
  </si>
  <si>
    <t>addToNormalPlaylist:true</t>
  </si>
  <si>
    <t>模组标签，方便和其他模组进行区分（给steam用的）</t>
  </si>
  <si>
    <t>反复播放</t>
  </si>
  <si>
    <t>逻辑值相同比较符号下，可以连续比较</t>
  </si>
  <si>
    <t>逻辑值比较</t>
  </si>
  <si>
    <t>事实上，逻辑值在同一个比较符下可以进行连续的比较</t>
  </si>
  <si>
    <t>例如:</t>
  </si>
  <si>
    <t>[hiddenAction_compare]</t>
  </si>
  <si>
    <t>autoTrigger:if 1&lt;2&lt;3</t>
  </si>
  <si>
    <t>这里的autoTrigger会返回TRUE并正常运行</t>
  </si>
  <si>
    <t>实际上，只要是相同的比较符，都可以进行如上比较</t>
  </si>
  <si>
    <t>1&gt;2&gt;3</t>
  </si>
  <si>
    <t>1&gt;2&gt;3，返回FALSE</t>
  </si>
  <si>
    <t>1&lt;=2&lt;=3，返回TRUE</t>
  </si>
  <si>
    <t>1==2==3，返回FALSE</t>
  </si>
  <si>
    <t>1&gt;=2&gt;=3，返回FALSE</t>
  </si>
  <si>
    <t>1!=2!=3，返回TRUE</t>
  </si>
  <si>
    <t>这里的1，2，3都是数值，在实际情况下，你可以将其替换成逻辑，比如self.hp之类的</t>
  </si>
  <si>
    <t>这里的1，2，3都是数值，在实际情况下，你可以将其替换成函数或字段，比如self.hp()</t>
  </si>
  <si>
    <t>这里的1，2，3都是数值，在实际情况下，你可以将其替换成逻辑，比如self.hp()</t>
  </si>
  <si>
    <t>补充:</t>
  </si>
  <si>
    <t>连续比较的项可以很多，目前还没有发现上限是多少</t>
  </si>
  <si>
    <t>例如</t>
  </si>
  <si>
    <t>autoTrigger:if 1&lt;2&lt;3&lt;4&lt;5&lt;6&lt;7&lt;8&lt;9&lt;10</t>
  </si>
  <si>
    <t>这将会返回TRUE并可以正常运行</t>
  </si>
  <si>
    <t>但需要提醒您一件的事情是，不同的比较符不能进行连续比较</t>
  </si>
  <si>
    <t>但需要提醒您一件的事情是：不同的比较符不能进行连续比较</t>
  </si>
  <si>
    <t>autoTrigger:if 1&lt;2&gt;3&lt;=4&gt;=5==6!=7</t>
  </si>
  <si>
    <t>如上这一段是错误的，铁锈将会返回报错表示有意想不到的参数</t>
  </si>
  <si>
    <t>结果-运输变化</t>
  </si>
  <si>
    <t>主动装运目标(填单位参考)（luke考虑在1.16p1及以后版本删除该代码）</t>
  </si>
  <si>
    <t>图像堆栈</t>
  </si>
  <si>
    <t>预备边界</t>
  </si>
  <si>
    <t>预备伤害边界</t>
  </si>
  <si>
    <t>以上为攻击节，以下为图像节（无明显效果，不建议使用）</t>
  </si>
  <si>
    <t>数组内存包含</t>
  </si>
  <si>
    <t>区块放置</t>
  </si>
  <si>
    <t>分区块进行放置。默认为true。</t>
  </si>
  <si>
    <t>禁止放置</t>
  </si>
  <si>
    <t>锁定放置。默认为true。</t>
  </si>
  <si>
    <t>动画开始帧随机偏移</t>
  </si>
  <si>
    <t>接触目标</t>
  </si>
  <si>
    <t>设立被动目标</t>
  </si>
  <si>
    <t>-备注：此代码表由“洛铭（改天再说）”（1980316694）自己拆包游戏代码</t>
  </si>
  <si>
    <t>autoTriggerCheckRate</t>
  </si>
</sst>
</file>

<file path=xl/styles.xml><?xml version="1.0" encoding="utf-8"?>
<styleSheet xmlns="http://schemas.openxmlformats.org/spreadsheetml/2006/main">
  <numFmts count="4">
    <numFmt numFmtId="0" formatCode="General"/>
    <numFmt numFmtId="9" formatCode="0%"/>
    <numFmt numFmtId="164" formatCode="\$#,##0_);[Red]\(\$#,##0\)"/>
    <numFmt numFmtId="49" formatCode="@"/>
  </numFmts>
  <fonts count="45">
    <font>
      <name val="宋体"/>
      <sz val="11"/>
    </font>
    <font>
      <name val="宋体"/>
      <charset val="134"/>
      <sz val="11"/>
    </font>
    <font>
      <name val="微软雅黑"/>
      <charset val="134"/>
      <sz val="11"/>
    </font>
    <font>
      <name val="微软雅黑"/>
      <b/>
      <charset val="134"/>
      <sz val="16"/>
      <color rgb="FFFFFFFF"/>
    </font>
    <font>
      <name val="微软雅黑"/>
      <b/>
      <charset val="134"/>
      <sz val="11"/>
      <color rgb="FF000000"/>
    </font>
    <font>
      <name val="微软雅黑"/>
      <b/>
      <charset val="134"/>
      <sz val="20"/>
      <color rgb="FFFFFFFF"/>
    </font>
    <font>
      <name val="宋体"/>
      <charset val="134"/>
      <sz val="20"/>
    </font>
    <font>
      <name val="微软雅黑"/>
      <charset val="134"/>
      <sz val="20"/>
    </font>
    <font>
      <name val="宋体"/>
      <charset val="134"/>
      <sz val="10"/>
    </font>
    <font>
      <name val="微软雅黑"/>
      <b/>
      <charset val="134"/>
      <sz val="10"/>
      <color rgb="FFFFFFFF"/>
    </font>
    <font>
      <name val="微软雅黑"/>
      <charset val="134"/>
      <sz val="10"/>
    </font>
    <font>
      <name val="宋体"/>
      <b/>
      <charset val="134"/>
      <sz val="10"/>
      <color rgb="FFFFFFFF"/>
    </font>
    <font>
      <name val="微软雅黑"/>
      <b/>
      <charset val="134"/>
      <sz val="10"/>
      <color rgb="FF000000"/>
    </font>
    <font>
      <name val="微软雅黑"/>
      <charset val="134"/>
      <sz val="20"/>
      <color rgb="FF000000"/>
    </font>
    <font>
      <name val="微软雅黑"/>
      <charset val="134"/>
      <sz val="10"/>
      <color rgb="FF000000"/>
    </font>
    <font>
      <name val="微软雅黑"/>
      <b/>
      <charset val="134"/>
      <sz val="10"/>
      <color rgb="FF3399FF"/>
    </font>
    <font>
      <name val="微软雅黑"/>
      <b/>
      <charset val="134"/>
      <sz val="10"/>
      <color rgb="FF9933FF"/>
    </font>
    <font>
      <name val="微软雅黑"/>
      <b/>
      <charset val="134"/>
      <sz val="10"/>
      <color rgb="FF65FF65"/>
    </font>
    <font>
      <name val="微软雅黑"/>
      <b/>
      <charset val="134"/>
      <sz val="10"/>
      <color rgb="FFFF6600"/>
    </font>
    <font>
      <name val="微软雅黑"/>
      <b/>
      <charset val="134"/>
      <sz val="10"/>
      <color rgb="FF02A5E3"/>
    </font>
    <font>
      <name val="微软雅黑"/>
      <charset val="134"/>
      <sz val="11"/>
      <color rgb="FF000000"/>
    </font>
    <font>
      <name val="微软雅黑"/>
      <b/>
      <charset val="134"/>
      <sz val="14"/>
      <color rgb="FFFFFFFF"/>
    </font>
    <font>
      <name val="微软雅黑"/>
      <b/>
      <charset val="134"/>
      <sz val="12"/>
      <color rgb="FFFFFFFF"/>
    </font>
    <font>
      <name val="微软雅黑"/>
      <charset val="134"/>
      <sz val="16"/>
    </font>
    <font>
      <name val="微软雅黑"/>
      <b/>
      <charset val="134"/>
      <sz val="11"/>
      <color rgb="FFFFFFFF"/>
    </font>
    <font>
      <name val="serif"/>
      <b/>
      <charset val="134"/>
      <sz val="20"/>
      <color rgb="FFFFFFFF"/>
    </font>
    <font>
      <name val="微软雅黑"/>
      <b/>
      <charset val="134"/>
      <sz val="20"/>
      <color rgb="FF000000"/>
    </font>
    <font>
      <name val="serif"/>
      <b/>
      <charset val="134"/>
      <sz val="10"/>
      <color rgb="FFFFFFFF"/>
    </font>
    <font>
      <name val="微软雅黑"/>
      <b/>
      <charset val="134"/>
      <sz val="24"/>
      <color rgb="FFFFFFFF"/>
    </font>
    <font>
      <name val="微软雅黑"/>
      <b/>
      <charset val="134"/>
      <sz val="18"/>
      <color rgb="FFFFFFFF"/>
    </font>
    <font>
      <name val="serif"/>
      <b/>
      <charset val="134"/>
      <sz val="11"/>
      <color rgb="FFFFFFFF"/>
    </font>
    <font>
      <name val="serif"/>
      <charset val="134"/>
      <sz val="10"/>
      <color rgb="FF000000"/>
    </font>
    <font>
      <name val="serif"/>
      <b/>
      <charset val="134"/>
      <sz val="16"/>
      <color rgb="FFFFFFFF"/>
    </font>
    <font>
      <name val="微软雅黑"/>
      <b/>
      <charset val="134"/>
      <sz val="10"/>
      <color rgb="FFFFE5E5"/>
    </font>
    <font>
      <name val="微软雅黑"/>
      <charset val="134"/>
      <sz val="11"/>
      <color rgb="FFFFE5E5"/>
    </font>
    <font>
      <name val="serif"/>
      <b/>
      <charset val="134"/>
      <sz val="11"/>
      <color rgb="FF0C0C0C"/>
    </font>
    <font>
      <name val="serif"/>
      <b/>
      <charset val="134"/>
      <sz val="10"/>
      <color rgb="FF0C0C0C"/>
    </font>
    <font>
      <name val="serif"/>
      <b/>
      <charset val="134"/>
      <sz val="10"/>
      <color rgb="FFF79544"/>
    </font>
    <font>
      <name val="宋体"/>
      <sz val="10"/>
    </font>
    <font>
      <name val="微软雅黑"/>
      <b/>
      <i/>
      <charset val="134"/>
      <u/>
      <sz val="8"/>
      <color rgb="FFFFFFFF"/>
    </font>
    <font>
      <name val="serif"/>
      <b/>
      <charset val="134"/>
      <sz val="16"/>
      <color rgb="FF000000"/>
    </font>
    <font>
      <name val="serif"/>
      <charset val="134"/>
      <sz val="10"/>
    </font>
    <font>
      <name val="serif"/>
      <charset val="134"/>
      <sz val="10"/>
      <color rgb="FFBF0000"/>
    </font>
    <font>
      <name val="微软雅黑"/>
      <charset val="134"/>
      <sz val="11"/>
      <color rgb="FFBF0000"/>
    </font>
    <font>
      <name val="宋体"/>
      <charset val="134"/>
      <u/>
      <sz val="11"/>
      <color rgb="FF99CCFF"/>
    </font>
  </fonts>
  <fills count="70">
    <fill>
      <patternFill patternType="none"/>
    </fill>
    <fill>
      <patternFill patternType="gray125"/>
    </fill>
    <fill>
      <patternFill patternType="solid">
        <fgColor rgb="FF808080"/>
        <bgColor indexed="64"/>
      </patternFill>
    </fill>
    <fill>
      <patternFill patternType="solid">
        <fgColor rgb="FF7F7F7F"/>
        <bgColor indexed="64"/>
      </patternFill>
    </fill>
    <fill>
      <patternFill patternType="solid">
        <fgColor rgb="FF75923B"/>
        <bgColor indexed="64"/>
      </patternFill>
    </fill>
    <fill>
      <patternFill patternType="solid">
        <fgColor rgb="FF75923B"/>
        <bgColor rgb="FF75923B"/>
      </patternFill>
    </fill>
    <fill>
      <patternFill patternType="solid">
        <fgColor rgb="FF262626"/>
        <bgColor rgb="FF262626"/>
      </patternFill>
    </fill>
    <fill>
      <patternFill patternType="solid">
        <fgColor rgb="FF568FD4"/>
        <bgColor indexed="64"/>
      </patternFill>
    </fill>
    <fill>
      <patternFill patternType="solid">
        <fgColor rgb="FF568FD4"/>
        <bgColor rgb="FF568FD4"/>
      </patternFill>
    </fill>
    <fill>
      <patternFill patternType="solid">
        <fgColor rgb="FF262626"/>
        <bgColor indexed="64"/>
      </patternFill>
    </fill>
    <fill>
      <patternFill patternType="solid">
        <fgColor rgb="FFFFC000"/>
        <bgColor indexed="64"/>
      </patternFill>
    </fill>
    <fill>
      <patternFill patternType="solid">
        <fgColor rgb="FFFFCB00"/>
        <bgColor indexed="64"/>
      </patternFill>
    </fill>
    <fill>
      <patternFill patternType="solid">
        <fgColor rgb="FFC00000"/>
        <bgColor indexed="64"/>
      </patternFill>
    </fill>
    <fill>
      <patternFill patternType="solid">
        <fgColor rgb="FFFF6600"/>
        <bgColor indexed="64"/>
      </patternFill>
    </fill>
    <fill>
      <patternFill patternType="solid">
        <fgColor rgb="FFFF9900"/>
        <bgColor indexed="64"/>
      </patternFill>
    </fill>
    <fill>
      <patternFill patternType="solid">
        <fgColor rgb="FF7E62A1"/>
        <bgColor indexed="64"/>
      </patternFill>
    </fill>
    <fill>
      <patternFill patternType="solid">
        <fgColor rgb="FF008080"/>
        <bgColor indexed="64"/>
      </patternFill>
    </fill>
    <fill>
      <patternFill patternType="solid">
        <fgColor rgb="FF00B050"/>
        <bgColor indexed="64"/>
      </patternFill>
    </fill>
    <fill>
      <patternFill patternType="solid">
        <fgColor rgb="FF948A53"/>
        <bgColor indexed="64"/>
      </patternFill>
    </fill>
    <fill>
      <patternFill patternType="solid">
        <fgColor rgb="FFE36B09"/>
        <bgColor indexed="64"/>
      </patternFill>
    </fill>
    <fill>
      <patternFill patternType="solid">
        <fgColor rgb="FF7030A0"/>
        <bgColor indexed="64"/>
      </patternFill>
    </fill>
    <fill>
      <patternFill patternType="solid">
        <fgColor rgb="FF17375E"/>
        <bgColor indexed="64"/>
      </patternFill>
    </fill>
    <fill>
      <patternFill patternType="solid">
        <fgColor rgb="FF0080FF"/>
        <bgColor indexed="64"/>
      </patternFill>
    </fill>
    <fill>
      <patternFill patternType="solid">
        <fgColor rgb="FFFF00FF"/>
        <bgColor indexed="64"/>
      </patternFill>
    </fill>
    <fill>
      <patternFill patternType="solid">
        <fgColor rgb="FF9933FF"/>
        <bgColor indexed="64"/>
      </patternFill>
    </fill>
    <fill>
      <patternFill patternType="solid">
        <fgColor rgb="FFFFCC99"/>
        <bgColor indexed="64"/>
      </patternFill>
    </fill>
    <fill>
      <patternFill patternType="solid">
        <fgColor rgb="FF4A4529"/>
        <bgColor indexed="64"/>
      </patternFill>
    </fill>
    <fill>
      <patternFill patternType="solid">
        <fgColor rgb="FF974706"/>
        <bgColor indexed="64"/>
      </patternFill>
    </fill>
    <fill>
      <patternFill patternType="solid">
        <fgColor rgb="FFFF176E"/>
        <bgColor indexed="64"/>
      </patternFill>
    </fill>
    <fill>
      <patternFill patternType="solid">
        <fgColor rgb="FFFF69F0"/>
        <bgColor indexed="64"/>
      </patternFill>
    </fill>
    <fill>
      <patternFill patternType="solid">
        <fgColor rgb="FF00B0F0"/>
        <bgColor indexed="64"/>
      </patternFill>
    </fill>
    <fill>
      <patternFill patternType="solid">
        <fgColor rgb="FF0F253F"/>
        <bgColor indexed="64"/>
      </patternFill>
    </fill>
    <fill>
      <patternFill patternType="solid">
        <fgColor rgb="FF000000"/>
        <bgColor indexed="64"/>
      </patternFill>
    </fill>
    <fill>
      <patternFill patternType="solid">
        <fgColor rgb="FF0A0A0A"/>
        <bgColor indexed="64"/>
      </patternFill>
    </fill>
    <fill>
      <patternFill patternType="solid">
        <fgColor rgb="FF141414"/>
        <bgColor indexed="64"/>
      </patternFill>
    </fill>
    <fill>
      <patternFill patternType="solid">
        <fgColor rgb="FFD66565"/>
        <bgColor indexed="64"/>
      </patternFill>
    </fill>
    <fill>
      <patternFill patternType="solid">
        <fgColor rgb="FF98CC00"/>
        <bgColor indexed="64"/>
      </patternFill>
    </fill>
    <fill>
      <patternFill patternType="solid">
        <fgColor rgb="FF3399FF"/>
        <bgColor indexed="64"/>
      </patternFill>
    </fill>
    <fill>
      <patternFill patternType="solid">
        <fgColor rgb="FFFFFF00"/>
        <bgColor indexed="64"/>
      </patternFill>
    </fill>
    <fill>
      <patternFill patternType="solid">
        <fgColor rgb="FFD04617"/>
        <bgColor indexed="64"/>
      </patternFill>
    </fill>
    <fill>
      <patternFill patternType="solid">
        <fgColor rgb="FF002060"/>
        <bgColor indexed="64"/>
      </patternFill>
    </fill>
    <fill>
      <patternFill patternType="solid">
        <fgColor rgb="FF963734"/>
        <bgColor indexed="64"/>
      </patternFill>
    </fill>
    <fill>
      <patternFill patternType="solid">
        <fgColor rgb="FF408000"/>
        <bgColor indexed="64"/>
      </patternFill>
    </fill>
    <fill>
      <patternFill patternType="solid">
        <fgColor rgb="FFBFBFBF"/>
        <bgColor indexed="64"/>
      </patternFill>
    </fill>
    <fill>
      <patternFill patternType="solid">
        <fgColor rgb="FF0070C0"/>
        <bgColor indexed="64"/>
      </patternFill>
    </fill>
    <fill>
      <patternFill patternType="solid">
        <fgColor rgb="FF800000"/>
        <bgColor indexed="64"/>
      </patternFill>
    </fill>
    <fill>
      <patternFill patternType="solid">
        <fgColor rgb="FF008000"/>
        <bgColor indexed="64"/>
      </patternFill>
    </fill>
    <fill>
      <patternFill patternType="solid">
        <fgColor rgb="FF993300"/>
        <bgColor indexed="64"/>
      </patternFill>
    </fill>
    <fill>
      <patternFill patternType="solid">
        <fgColor rgb="FF0C0C0C"/>
        <bgColor indexed="64"/>
      </patternFill>
    </fill>
    <fill>
      <patternFill patternType="solid">
        <fgColor rgb="FF376092"/>
        <bgColor indexed="64"/>
      </patternFill>
    </fill>
    <fill>
      <patternFill patternType="solid">
        <fgColor rgb="FF21FF84"/>
        <bgColor indexed="64"/>
      </patternFill>
    </fill>
    <fill>
      <patternFill patternType="solid">
        <fgColor rgb="FF254061"/>
        <bgColor indexed="64"/>
      </patternFill>
    </fill>
    <fill>
      <patternFill patternType="solid">
        <fgColor rgb="FF4E6127"/>
        <bgColor indexed="64"/>
      </patternFill>
    </fill>
    <fill>
      <patternFill patternType="solid">
        <fgColor rgb="FFA5A5A5"/>
        <bgColor indexed="64"/>
      </patternFill>
    </fill>
    <fill>
      <patternFill patternType="solid">
        <fgColor rgb="FFFF0000"/>
        <bgColor indexed="64"/>
      </patternFill>
    </fill>
    <fill>
      <patternFill patternType="solid">
        <fgColor rgb="FF642523"/>
        <bgColor indexed="64"/>
      </patternFill>
    </fill>
    <fill>
      <patternFill patternType="solid">
        <fgColor rgb="FF3C3C00"/>
        <bgColor indexed="64"/>
      </patternFill>
    </fill>
    <fill>
      <patternFill patternType="solid">
        <fgColor rgb="FF787800"/>
        <bgColor indexed="64"/>
      </patternFill>
    </fill>
    <fill>
      <patternFill patternType="solid">
        <fgColor rgb="FF7E002F"/>
        <bgColor indexed="64"/>
      </patternFill>
    </fill>
    <fill>
      <patternFill patternType="solid">
        <fgColor rgb="FFA8009A"/>
        <bgColor indexed="64"/>
      </patternFill>
    </fill>
    <fill>
      <patternFill patternType="solid">
        <fgColor rgb="FF3F3051"/>
        <bgColor indexed="64"/>
      </patternFill>
    </fill>
    <fill>
      <patternFill patternType="solid">
        <fgColor rgb="FF5F4979"/>
        <bgColor indexed="64"/>
      </patternFill>
    </fill>
    <fill>
      <patternFill patternType="solid">
        <fgColor rgb="FFFF8000"/>
        <bgColor indexed="64"/>
      </patternFill>
    </fill>
    <fill>
      <patternFill patternType="solid">
        <fgColor rgb="FF00B0F0"/>
      </patternFill>
    </fill>
    <fill>
      <patternFill patternType="solid">
        <fgColor rgb="FF3399FF"/>
      </patternFill>
    </fill>
    <fill>
      <patternFill patternType="solid">
        <fgColor rgb="FF1F4A7E"/>
        <bgColor indexed="64"/>
      </patternFill>
    </fill>
    <fill>
      <patternFill patternType="solid">
        <fgColor rgb="FF595959"/>
        <bgColor indexed="64"/>
      </patternFill>
    </fill>
    <fill>
      <patternFill patternType="solid">
        <fgColor rgb="FF5181BD"/>
        <bgColor indexed="64"/>
      </patternFill>
    </fill>
    <fill>
      <patternFill patternType="solid">
        <fgColor rgb="FF00B0F0"/>
        <bgColor rgb="FF00B0F0"/>
      </patternFill>
    </fill>
    <fill>
      <patternFill patternType="solid">
        <fgColor rgb="FFCC99FF"/>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370">
    <xf numFmtId="0" fontId="0" fillId="0" borderId="0" xfId="0">
      <alignment vertical="center"/>
    </xf>
    <xf numFmtId="0" fontId="1" fillId="0" borderId="0" xfId="0" applyBorder="1">
      <alignment vertical="center"/>
    </xf>
    <xf numFmtId="0" fontId="1" fillId="0" borderId="1" xfId="0" applyBorder="1">
      <alignment vertical="center"/>
    </xf>
    <xf numFmtId="0" fontId="2" fillId="0" borderId="0" xfId="0" applyFont="1">
      <alignment vertical="center"/>
    </xf>
    <xf numFmtId="0" fontId="3" fillId="2" borderId="0" xfId="0" applyFont="1" applyFill="1" applyBorder="1" applyAlignment="1">
      <alignment horizontal="left" vertical="center" wrapText="1"/>
    </xf>
    <xf numFmtId="0" fontId="4" fillId="3" borderId="1" xfId="0" applyFont="1" applyFill="1" applyBorder="1" applyAlignment="1">
      <alignment horizontal="center" vertical="center"/>
    </xf>
    <xf numFmtId="0" fontId="2" fillId="0" borderId="0" xfId="0" applyFont="1" applyAlignment="1">
      <alignment horizontal="center" vertical="center"/>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6" fillId="0" borderId="0" xfId="0" applyFont="1" applyAlignment="1">
      <alignment vertical="center" wrapText="1"/>
    </xf>
    <xf numFmtId="0" fontId="5" fillId="4" borderId="0" xfId="0" applyFont="1" applyFill="1" applyBorder="1" applyAlignment="1">
      <alignment horizontal="left" vertical="center" wrapText="1"/>
    </xf>
    <xf numFmtId="0" fontId="5" fillId="5" borderId="1" xfId="0" applyNumberFormat="1" applyFont="1" applyFill="1" applyBorder="1" applyAlignment="1">
      <alignment horizontal="left" vertical="center" wrapText="1"/>
    </xf>
    <xf numFmtId="0" fontId="6" fillId="5" borderId="1" xfId="0" applyNumberFormat="1" applyFont="1" applyFill="1" applyBorder="1" applyAlignment="1">
      <alignment horizontal="left" vertical="center" wrapText="1"/>
    </xf>
    <xf numFmtId="0" fontId="6" fillId="5" borderId="0" xfId="0" applyNumberFormat="1" applyFont="1" applyFill="1" applyBorder="1" applyAlignment="1">
      <alignment horizontal="left" vertical="center" wrapText="1"/>
    </xf>
    <xf numFmtId="0" fontId="7" fillId="0" borderId="0" xfId="0" applyFont="1" applyBorder="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4" borderId="0" xfId="0" applyFont="1" applyFill="1" applyBorder="1" applyAlignment="1">
      <alignment horizontal="left" vertical="center" wrapText="1"/>
    </xf>
    <xf numFmtId="0" fontId="9" fillId="5" borderId="1" xfId="0" applyNumberFormat="1" applyFont="1" applyFill="1" applyBorder="1" applyAlignment="1">
      <alignment horizontal="center" vertical="center" wrapText="1"/>
    </xf>
    <xf numFmtId="0" fontId="9" fillId="5" borderId="1" xfId="0" applyNumberFormat="1" applyFont="1" applyFill="1" applyBorder="1" applyAlignment="1">
      <alignment horizontal="left" vertical="center" wrapText="1"/>
    </xf>
    <xf numFmtId="0" fontId="8" fillId="5" borderId="0" xfId="0" applyNumberFormat="1" applyFont="1" applyFill="1" applyBorder="1" applyAlignment="1">
      <alignment horizontal="left" vertical="center" wrapText="1"/>
    </xf>
    <xf numFmtId="0" fontId="10" fillId="0" borderId="0" xfId="0" applyFont="1" applyBorder="1" applyAlignment="1">
      <alignment vertical="center" wrapText="1"/>
    </xf>
    <xf numFmtId="0" fontId="10" fillId="0" borderId="0" xfId="0" applyFont="1" applyAlignment="1">
      <alignment vertical="center" wrapText="1"/>
    </xf>
    <xf numFmtId="0" fontId="9" fillId="6" borderId="1" xfId="0" applyNumberFormat="1" applyFont="1" applyFill="1" applyBorder="1" applyAlignment="1">
      <alignment horizontal="left" vertical="center" wrapText="1"/>
    </xf>
    <xf numFmtId="0" fontId="8" fillId="6" borderId="1" xfId="0" applyNumberFormat="1" applyFont="1" applyFill="1" applyBorder="1" applyAlignment="1">
      <alignment horizontal="left" vertical="center" wrapText="1"/>
    </xf>
    <xf numFmtId="0" fontId="5" fillId="7" borderId="0" xfId="0" applyFont="1" applyFill="1" applyBorder="1" applyAlignment="1">
      <alignment horizontal="left" vertical="center" wrapText="1"/>
    </xf>
    <xf numFmtId="0" fontId="5" fillId="8" borderId="1" xfId="0" applyNumberFormat="1" applyFont="1" applyFill="1" applyBorder="1" applyAlignment="1">
      <alignment horizontal="left" vertical="center" wrapText="1"/>
    </xf>
    <xf numFmtId="0" fontId="6" fillId="8" borderId="1" xfId="0" applyNumberFormat="1" applyFont="1" applyFill="1" applyBorder="1" applyAlignment="1">
      <alignment horizontal="left" vertical="center" wrapText="1"/>
    </xf>
    <xf numFmtId="0" fontId="6" fillId="8" borderId="0" xfId="0" applyNumberFormat="1" applyFont="1" applyFill="1" applyBorder="1" applyAlignment="1">
      <alignment horizontal="left" vertical="center" wrapText="1"/>
    </xf>
    <xf numFmtId="0" fontId="9" fillId="7" borderId="0" xfId="0" applyFont="1" applyFill="1" applyBorder="1" applyAlignment="1">
      <alignment horizontal="left" vertical="center" wrapText="1"/>
    </xf>
    <xf numFmtId="0" fontId="8" fillId="8" borderId="0" xfId="0" applyNumberFormat="1" applyFont="1" applyFill="1" applyBorder="1" applyAlignment="1">
      <alignment horizontal="left" vertical="center" wrapText="1"/>
    </xf>
    <xf numFmtId="0" fontId="9" fillId="9" borderId="2" xfId="0" applyFont="1" applyFill="1" applyBorder="1" applyAlignment="1">
      <alignment horizontal="left" vertical="center" wrapText="1"/>
    </xf>
    <xf numFmtId="0" fontId="5" fillId="10" borderId="0" xfId="0" applyFont="1" applyFill="1" applyBorder="1" applyAlignment="1">
      <alignment horizontal="left" vertical="center" wrapText="1"/>
    </xf>
    <xf numFmtId="0" fontId="5" fillId="11" borderId="1" xfId="0" applyFont="1" applyFill="1" applyBorder="1" applyAlignment="1">
      <alignment horizontal="left" vertical="center" wrapText="1"/>
    </xf>
    <xf numFmtId="0" fontId="9" fillId="10" borderId="0" xfId="0" applyFont="1" applyFill="1" applyBorder="1" applyAlignment="1">
      <alignment horizontal="left" vertical="center" wrapText="1"/>
    </xf>
    <xf numFmtId="0" fontId="11" fillId="6" borderId="1" xfId="0" applyNumberFormat="1" applyFont="1" applyFill="1" applyBorder="1" applyAlignment="1">
      <alignment horizontal="left" vertical="center" wrapText="1"/>
    </xf>
    <xf numFmtId="0" fontId="9" fillId="10"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5" fillId="12" borderId="0" xfId="0" applyFont="1" applyFill="1" applyBorder="1" applyAlignment="1">
      <alignment horizontal="left" vertical="center" wrapText="1"/>
    </xf>
    <xf numFmtId="0" fontId="5" fillId="12" borderId="3" xfId="0" applyFont="1" applyFill="1" applyBorder="1" applyAlignment="1">
      <alignment horizontal="left" vertical="center" wrapText="1"/>
    </xf>
    <xf numFmtId="0" fontId="5" fillId="12" borderId="1" xfId="0" applyFont="1" applyFill="1" applyBorder="1" applyAlignment="1">
      <alignment horizontal="left" vertical="center" wrapText="1"/>
    </xf>
    <xf numFmtId="0" fontId="9" fillId="12" borderId="0" xfId="0" applyFont="1" applyFill="1" applyBorder="1" applyAlignment="1">
      <alignment horizontal="left" vertical="center" wrapText="1"/>
    </xf>
    <xf numFmtId="0" fontId="9" fillId="9" borderId="1" xfId="0" applyFont="1" applyFill="1" applyBorder="1" applyAlignment="1">
      <alignment horizontal="left" vertical="center" wrapText="1"/>
    </xf>
    <xf numFmtId="0" fontId="9" fillId="12" borderId="1" xfId="0" applyFont="1" applyFill="1" applyBorder="1" applyAlignment="1">
      <alignment horizontal="center" vertical="center" wrapText="1"/>
    </xf>
    <xf numFmtId="0" fontId="9" fillId="12" borderId="1" xfId="0" applyFont="1" applyFill="1" applyBorder="1" applyAlignment="1">
      <alignment horizontal="left" vertical="center" wrapText="1"/>
    </xf>
    <xf numFmtId="0" fontId="5" fillId="13" borderId="0" xfId="0" applyFont="1" applyFill="1" applyBorder="1" applyAlignment="1">
      <alignment horizontal="left" vertical="center" wrapText="1"/>
    </xf>
    <xf numFmtId="0" fontId="5" fillId="13" borderId="1" xfId="0" applyFont="1" applyFill="1" applyBorder="1" applyAlignment="1">
      <alignment horizontal="left" vertical="center" wrapText="1"/>
    </xf>
    <xf numFmtId="0" fontId="9" fillId="13" borderId="0" xfId="0" applyFont="1" applyFill="1" applyBorder="1" applyAlignment="1">
      <alignment horizontal="left" vertical="center" wrapText="1"/>
    </xf>
    <xf numFmtId="0" fontId="9" fillId="13" borderId="1" xfId="0" applyFont="1" applyFill="1" applyBorder="1" applyAlignment="1">
      <alignment horizontal="center" vertical="center" wrapText="1"/>
    </xf>
    <xf numFmtId="0" fontId="9" fillId="13" borderId="1" xfId="0" applyFont="1" applyFill="1" applyBorder="1" applyAlignment="1">
      <alignment horizontal="left" vertical="center" wrapText="1"/>
    </xf>
    <xf numFmtId="0" fontId="5" fillId="14" borderId="0" xfId="0" applyFont="1" applyFill="1" applyBorder="1" applyAlignment="1">
      <alignment horizontal="left" vertical="center" wrapText="1"/>
    </xf>
    <xf numFmtId="0" fontId="5" fillId="14" borderId="1" xfId="0" applyFont="1" applyFill="1" applyBorder="1" applyAlignment="1">
      <alignment horizontal="left" vertical="center" wrapText="1"/>
    </xf>
    <xf numFmtId="0" fontId="9" fillId="14" borderId="0" xfId="0" applyFont="1" applyFill="1" applyBorder="1" applyAlignment="1">
      <alignment horizontal="left" vertical="center" wrapText="1"/>
    </xf>
    <xf numFmtId="0" fontId="9" fillId="14"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5" fillId="15" borderId="0" xfId="0" applyFont="1" applyFill="1" applyBorder="1" applyAlignment="1">
      <alignment horizontal="left" vertical="center" wrapText="1"/>
    </xf>
    <xf numFmtId="0" fontId="5" fillId="15" borderId="1" xfId="0" applyFont="1" applyFill="1" applyBorder="1" applyAlignment="1">
      <alignment horizontal="left" vertical="center" wrapText="1"/>
    </xf>
    <xf numFmtId="0" fontId="9" fillId="15" borderId="0" xfId="0" applyFont="1" applyFill="1" applyBorder="1" applyAlignment="1">
      <alignment horizontal="left" vertical="center" wrapText="1"/>
    </xf>
    <xf numFmtId="0" fontId="5" fillId="16" borderId="0" xfId="0" applyFont="1" applyFill="1" applyBorder="1" applyAlignment="1">
      <alignment horizontal="left" vertical="center" wrapText="1"/>
    </xf>
    <xf numFmtId="0" fontId="5" fillId="16" borderId="1" xfId="0" applyFont="1" applyFill="1" applyBorder="1" applyAlignment="1">
      <alignment horizontal="left" vertical="center" wrapText="1"/>
    </xf>
    <xf numFmtId="0" fontId="9" fillId="16" borderId="0" xfId="0" applyFont="1" applyFill="1" applyBorder="1" applyAlignment="1">
      <alignment horizontal="left" vertical="center" wrapText="1"/>
    </xf>
    <xf numFmtId="0" fontId="9" fillId="16" borderId="1" xfId="0" applyFont="1" applyFill="1" applyBorder="1" applyAlignment="1">
      <alignment horizontal="center" vertical="center" wrapText="1"/>
    </xf>
    <xf numFmtId="0" fontId="5" fillId="17" borderId="0"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9" fillId="17" borderId="0" xfId="0" applyFont="1" applyFill="1" applyBorder="1" applyAlignment="1">
      <alignment horizontal="left" vertical="center" wrapText="1"/>
    </xf>
    <xf numFmtId="0" fontId="9" fillId="17" borderId="1" xfId="0" applyFont="1" applyFill="1" applyBorder="1" applyAlignment="1">
      <alignment vertical="center" wrapText="1"/>
    </xf>
    <xf numFmtId="0" fontId="9" fillId="17" borderId="1" xfId="0" applyFont="1" applyFill="1" applyBorder="1" applyAlignment="1">
      <alignment horizontal="center" vertical="center" wrapText="1"/>
    </xf>
    <xf numFmtId="0" fontId="9" fillId="17" borderId="1" xfId="0" applyFont="1" applyFill="1" applyBorder="1" applyAlignment="1">
      <alignment horizontal="left" vertical="center" wrapText="1"/>
    </xf>
    <xf numFmtId="0" fontId="5" fillId="18" borderId="0" xfId="0" applyFont="1" applyFill="1" applyBorder="1" applyAlignment="1">
      <alignment horizontal="left" vertical="center" wrapText="1"/>
    </xf>
    <xf numFmtId="0" fontId="5" fillId="18" borderId="1" xfId="0" applyFont="1" applyFill="1" applyBorder="1" applyAlignment="1">
      <alignment horizontal="left" vertical="center" wrapText="1"/>
    </xf>
    <xf numFmtId="0" fontId="9" fillId="18" borderId="0" xfId="0" applyFont="1" applyFill="1" applyBorder="1" applyAlignment="1">
      <alignment horizontal="left" vertical="center" wrapText="1"/>
    </xf>
    <xf numFmtId="0" fontId="9" fillId="9" borderId="1" xfId="0" applyNumberFormat="1" applyFont="1" applyFill="1" applyBorder="1" applyAlignment="1">
      <alignment horizontal="left" vertical="center" wrapText="1"/>
    </xf>
    <xf numFmtId="0" fontId="10" fillId="0" borderId="0" xfId="0" applyNumberFormat="1" applyFont="1" applyFill="1" applyBorder="1" applyAlignment="1">
      <alignment vertical="center" wrapText="1"/>
    </xf>
    <xf numFmtId="0" fontId="8" fillId="0" borderId="0" xfId="0" applyNumberFormat="1" applyFont="1" applyFill="1" applyBorder="1" applyAlignment="1">
      <alignment vertical="center" wrapText="1"/>
    </xf>
    <xf numFmtId="0" fontId="5" fillId="19" borderId="0" xfId="0" applyFont="1" applyFill="1" applyBorder="1" applyAlignment="1">
      <alignment horizontal="left" vertical="center" wrapText="1"/>
    </xf>
    <xf numFmtId="0" fontId="5" fillId="19" borderId="1" xfId="0" applyFont="1" applyFill="1" applyBorder="1" applyAlignment="1">
      <alignment horizontal="left" vertical="center" wrapText="1"/>
    </xf>
    <xf numFmtId="0" fontId="9" fillId="19" borderId="0" xfId="0" applyFont="1" applyFill="1" applyBorder="1" applyAlignment="1">
      <alignment horizontal="left" vertical="center" wrapText="1"/>
    </xf>
    <xf numFmtId="0" fontId="9" fillId="19" borderId="1" xfId="0" applyFont="1" applyFill="1" applyBorder="1" applyAlignment="1">
      <alignment horizontal="center" vertical="center" wrapText="1"/>
    </xf>
    <xf numFmtId="0" fontId="9" fillId="19" borderId="1" xfId="0" applyFont="1" applyFill="1" applyBorder="1" applyAlignment="1">
      <alignment horizontal="left" vertical="center" wrapText="1"/>
    </xf>
    <xf numFmtId="0" fontId="5" fillId="20" borderId="0" xfId="0" applyFont="1" applyFill="1" applyBorder="1" applyAlignment="1">
      <alignment horizontal="left" vertical="center" wrapText="1"/>
    </xf>
    <xf numFmtId="0" fontId="5" fillId="20" borderId="1" xfId="0" applyFont="1" applyFill="1" applyBorder="1" applyAlignment="1">
      <alignment horizontal="left" vertical="center" wrapText="1"/>
    </xf>
    <xf numFmtId="0" fontId="9" fillId="20" borderId="0" xfId="0" applyFont="1" applyFill="1" applyBorder="1" applyAlignment="1">
      <alignment horizontal="left" vertical="center" wrapText="1"/>
    </xf>
    <xf numFmtId="0" fontId="9" fillId="20" borderId="1" xfId="0" applyFont="1" applyFill="1" applyBorder="1" applyAlignment="1">
      <alignment horizontal="center" vertical="center" wrapText="1"/>
    </xf>
    <xf numFmtId="0" fontId="9" fillId="20" borderId="1" xfId="0" applyFont="1" applyFill="1" applyBorder="1" applyAlignment="1">
      <alignment horizontal="left" vertical="center" wrapText="1"/>
    </xf>
    <xf numFmtId="0" fontId="5" fillId="21" borderId="0" xfId="0" applyFont="1" applyFill="1" applyBorder="1" applyAlignment="1">
      <alignment horizontal="left" vertical="center" wrapText="1"/>
    </xf>
    <xf numFmtId="0" fontId="5" fillId="21" borderId="1" xfId="0" applyFont="1" applyFill="1" applyBorder="1" applyAlignment="1">
      <alignment horizontal="left" vertical="center" wrapText="1"/>
    </xf>
    <xf numFmtId="0" fontId="9" fillId="21" borderId="0" xfId="0" applyFont="1" applyFill="1" applyBorder="1" applyAlignment="1">
      <alignment horizontal="left" vertical="center" wrapText="1"/>
    </xf>
    <xf numFmtId="0" fontId="9" fillId="21" borderId="1" xfId="0" applyFont="1" applyFill="1" applyBorder="1" applyAlignment="1">
      <alignment horizontal="center" vertical="center" wrapText="1"/>
    </xf>
    <xf numFmtId="0" fontId="9" fillId="21" borderId="1" xfId="0" applyFont="1" applyFill="1" applyBorder="1" applyAlignment="1">
      <alignment horizontal="left" vertical="center" wrapText="1"/>
    </xf>
    <xf numFmtId="0" fontId="9" fillId="22" borderId="1" xfId="0" applyFont="1" applyFill="1" applyBorder="1" applyAlignment="1">
      <alignment horizontal="left" vertical="center" wrapText="1"/>
    </xf>
    <xf numFmtId="0" fontId="5" fillId="2" borderId="0" xfId="0" applyFont="1" applyFill="1" applyBorder="1" applyAlignment="1">
      <alignment horizontal="left" vertical="center" wrapText="1"/>
    </xf>
    <xf numFmtId="0" fontId="5" fillId="2" borderId="1" xfId="0" applyFont="1" applyFill="1" applyBorder="1" applyAlignment="1">
      <alignment horizontal="left" vertical="center" wrapText="1"/>
    </xf>
    <xf numFmtId="0" fontId="9" fillId="2" borderId="0"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1" fillId="11" borderId="1" xfId="0" applyNumberFormat="1" applyFont="1" applyFill="1" applyBorder="1" applyAlignment="1">
      <alignment horizontal="left" vertical="center" wrapText="1"/>
    </xf>
    <xf numFmtId="0" fontId="5" fillId="23" borderId="0" xfId="0" applyFont="1" applyFill="1" applyBorder="1" applyAlignment="1">
      <alignment horizontal="left" vertical="center" wrapText="1"/>
    </xf>
    <xf numFmtId="0" fontId="5" fillId="23" borderId="1" xfId="0" applyFont="1" applyFill="1" applyBorder="1" applyAlignment="1">
      <alignment horizontal="left" vertical="center" wrapText="1"/>
    </xf>
    <xf numFmtId="0" fontId="9" fillId="23" borderId="0" xfId="0" applyFont="1" applyFill="1" applyBorder="1" applyAlignment="1">
      <alignment horizontal="left" vertical="center" wrapText="1"/>
    </xf>
    <xf numFmtId="0" fontId="9" fillId="24" borderId="1" xfId="0" applyFont="1" applyFill="1" applyBorder="1" applyAlignment="1">
      <alignment horizontal="left" vertical="center" wrapText="1"/>
    </xf>
    <xf numFmtId="0" fontId="12" fillId="25" borderId="1" xfId="0" applyFont="1" applyFill="1" applyBorder="1" applyAlignment="1">
      <alignment horizontal="left" vertical="center" wrapText="1"/>
    </xf>
    <xf numFmtId="0" fontId="9" fillId="23" borderId="4"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9" fillId="23" borderId="1" xfId="0" applyFont="1" applyFill="1" applyBorder="1" applyAlignment="1">
      <alignment horizontal="center" vertical="center" wrapText="1"/>
    </xf>
    <xf numFmtId="0" fontId="9" fillId="23" borderId="4" xfId="0" applyFont="1" applyFill="1" applyBorder="1" applyAlignment="1">
      <alignment horizontal="center" vertical="center" wrapText="1"/>
    </xf>
    <xf numFmtId="0" fontId="9" fillId="9" borderId="4" xfId="0" applyFont="1" applyFill="1" applyBorder="1" applyAlignment="1">
      <alignment horizontal="left" vertical="center" wrapText="1"/>
    </xf>
    <xf numFmtId="0" fontId="9" fillId="24" borderId="4" xfId="0" applyFont="1" applyFill="1" applyBorder="1" applyAlignment="1">
      <alignment horizontal="left" vertical="center" wrapText="1"/>
    </xf>
    <xf numFmtId="0" fontId="12" fillId="25" borderId="4" xfId="0" applyFont="1" applyFill="1" applyBorder="1" applyAlignment="1">
      <alignment horizontal="left" vertical="center" wrapText="1"/>
    </xf>
    <xf numFmtId="0" fontId="5" fillId="26" borderId="0" xfId="0" applyFont="1" applyFill="1" applyBorder="1" applyAlignment="1">
      <alignment horizontal="left" vertical="center" wrapText="1"/>
    </xf>
    <xf numFmtId="0" fontId="5" fillId="26" borderId="1" xfId="0" applyFont="1" applyFill="1" applyBorder="1" applyAlignment="1">
      <alignment horizontal="left" vertical="center" wrapText="1"/>
    </xf>
    <xf numFmtId="0" fontId="5" fillId="26" borderId="4" xfId="0" applyFont="1" applyFill="1" applyBorder="1" applyAlignment="1">
      <alignment horizontal="left" vertical="center" wrapText="1"/>
    </xf>
    <xf numFmtId="0" fontId="9" fillId="26" borderId="0" xfId="0" applyFont="1" applyFill="1" applyBorder="1" applyAlignment="1">
      <alignment horizontal="left" vertical="center" wrapText="1"/>
    </xf>
    <xf numFmtId="0" fontId="5" fillId="27" borderId="0" xfId="0" applyFont="1" applyFill="1" applyBorder="1" applyAlignment="1">
      <alignment horizontal="left" vertical="center" wrapText="1"/>
    </xf>
    <xf numFmtId="0" fontId="5" fillId="27" borderId="1" xfId="0" applyFont="1" applyFill="1" applyBorder="1" applyAlignment="1">
      <alignment horizontal="left" vertical="center" wrapText="1"/>
    </xf>
    <xf numFmtId="0" fontId="9" fillId="27" borderId="0" xfId="0" applyFont="1" applyFill="1" applyBorder="1" applyAlignment="1">
      <alignment horizontal="left" vertical="center" wrapText="1"/>
    </xf>
    <xf numFmtId="0" fontId="5" fillId="28" borderId="0" xfId="0" applyFont="1" applyFill="1" applyBorder="1" applyAlignment="1">
      <alignment horizontal="left" vertical="center" wrapText="1"/>
    </xf>
    <xf numFmtId="0" fontId="5" fillId="28" borderId="1" xfId="0" applyFont="1" applyFill="1" applyBorder="1" applyAlignment="1">
      <alignment horizontal="left" vertical="center" wrapText="1"/>
    </xf>
    <xf numFmtId="0" fontId="9" fillId="28" borderId="0" xfId="0" applyFont="1" applyFill="1" applyBorder="1" applyAlignment="1">
      <alignment horizontal="left" vertical="center" wrapText="1"/>
    </xf>
    <xf numFmtId="0" fontId="5" fillId="29" borderId="0" xfId="0" applyFont="1" applyFill="1" applyBorder="1" applyAlignment="1">
      <alignment horizontal="left" vertical="center" wrapText="1"/>
    </xf>
    <xf numFmtId="0" fontId="5" fillId="29" borderId="1" xfId="0" applyFont="1" applyFill="1" applyBorder="1" applyAlignment="1">
      <alignment horizontal="left" vertical="center" wrapText="1"/>
    </xf>
    <xf numFmtId="0" fontId="9" fillId="29" borderId="0" xfId="0" applyFont="1" applyFill="1" applyBorder="1" applyAlignment="1">
      <alignment horizontal="left" vertical="center" wrapText="1"/>
    </xf>
    <xf numFmtId="0" fontId="9" fillId="30" borderId="1" xfId="0" applyFont="1" applyFill="1" applyBorder="1" applyAlignment="1">
      <alignment horizontal="left" vertical="center" wrapText="1"/>
    </xf>
    <xf numFmtId="0" fontId="5" fillId="31" borderId="0" xfId="0" applyFont="1" applyFill="1" applyBorder="1" applyAlignment="1">
      <alignment horizontal="left" vertical="center" wrapText="1"/>
    </xf>
    <xf numFmtId="0" fontId="5" fillId="31" borderId="1" xfId="0" applyFont="1" applyFill="1" applyBorder="1" applyAlignment="1">
      <alignment horizontal="left" vertical="center" wrapText="1"/>
    </xf>
    <xf numFmtId="0" fontId="9" fillId="31" borderId="0" xfId="0" applyFont="1" applyFill="1" applyBorder="1" applyAlignment="1">
      <alignment horizontal="left" vertical="center" wrapText="1"/>
    </xf>
    <xf numFmtId="0" fontId="13" fillId="32" borderId="0" xfId="0" applyFont="1" applyFill="1" applyBorder="1" applyAlignment="1">
      <alignment vertical="center" wrapText="1"/>
    </xf>
    <xf numFmtId="0" fontId="5" fillId="33" borderId="1" xfId="0" applyFont="1" applyFill="1" applyBorder="1" applyAlignment="1">
      <alignment horizontal="left" vertical="center" wrapText="1"/>
    </xf>
    <xf numFmtId="0" fontId="14" fillId="32" borderId="0" xfId="0" applyFont="1" applyFill="1" applyBorder="1" applyAlignment="1">
      <alignment vertical="center" wrapText="1"/>
    </xf>
    <xf numFmtId="0" fontId="9" fillId="33" borderId="1" xfId="0" applyFont="1" applyFill="1" applyBorder="1" applyAlignment="1">
      <alignment horizontal="left" vertical="center" wrapText="1"/>
    </xf>
    <xf numFmtId="0" fontId="14" fillId="32" borderId="0" xfId="0" applyFont="1" applyFill="1" applyBorder="1" applyAlignment="1">
      <alignment horizontal="left" vertical="center" wrapText="1"/>
    </xf>
    <xf numFmtId="0" fontId="9" fillId="34" borderId="1" xfId="0" applyFont="1" applyFill="1" applyBorder="1" applyAlignment="1">
      <alignment horizontal="left" vertical="center" wrapText="1"/>
    </xf>
    <xf numFmtId="0" fontId="14" fillId="35" borderId="0" xfId="0" applyFont="1" applyFill="1" applyBorder="1" applyAlignment="1">
      <alignment vertical="center" wrapText="1"/>
    </xf>
    <xf numFmtId="0" fontId="5" fillId="35" borderId="1" xfId="0" applyFont="1" applyFill="1" applyBorder="1" applyAlignment="1">
      <alignment horizontal="left" vertical="center" wrapText="1"/>
    </xf>
    <xf numFmtId="0" fontId="15" fillId="36" borderId="1" xfId="0" applyFont="1" applyFill="1" applyBorder="1" applyAlignment="1">
      <alignment horizontal="left" vertical="center" wrapText="1"/>
    </xf>
    <xf numFmtId="0" fontId="16" fillId="35" borderId="1" xfId="0" applyFont="1" applyFill="1" applyBorder="1" applyAlignment="1">
      <alignment horizontal="left" vertical="center" wrapText="1"/>
    </xf>
    <xf numFmtId="0" fontId="17" fillId="37" borderId="1" xfId="0" applyFont="1" applyFill="1" applyBorder="1" applyAlignment="1">
      <alignment horizontal="left" vertical="center" wrapText="1"/>
    </xf>
    <xf numFmtId="0" fontId="18" fillId="38" borderId="1" xfId="0" applyFont="1" applyFill="1" applyBorder="1" applyAlignment="1">
      <alignment horizontal="left" vertical="center" wrapText="1"/>
    </xf>
    <xf numFmtId="0" fontId="19" fillId="39" borderId="1" xfId="0" applyFont="1" applyFill="1" applyBorder="1" applyAlignment="1">
      <alignment horizontal="left" vertical="center" wrapText="1"/>
    </xf>
    <xf numFmtId="0" fontId="20" fillId="32" borderId="0" xfId="0" applyFont="1" applyFill="1" applyBorder="1" applyAlignment="1">
      <alignment vertical="center" wrapText="1"/>
    </xf>
    <xf numFmtId="0" fontId="20" fillId="32" borderId="1" xfId="0" applyFont="1" applyFill="1" applyBorder="1" applyAlignment="1">
      <alignment vertical="center" wrapText="1"/>
    </xf>
    <xf numFmtId="0" fontId="2" fillId="0" borderId="0" xfId="0" applyFont="1" applyBorder="1">
      <alignment vertical="center"/>
    </xf>
    <xf numFmtId="0" fontId="10" fillId="0" borderId="0" xfId="0" applyFont="1" applyBorder="1">
      <alignment vertical="center"/>
    </xf>
    <xf numFmtId="0" fontId="10" fillId="0" borderId="1" xfId="0" applyFont="1" applyBorder="1">
      <alignment vertical="center"/>
    </xf>
    <xf numFmtId="0" fontId="10" fillId="0" borderId="0" xfId="0" applyFont="1">
      <alignment vertical="center"/>
    </xf>
    <xf numFmtId="0" fontId="9" fillId="37" borderId="0" xfId="0" applyFont="1" applyFill="1" applyBorder="1" applyAlignment="1">
      <alignment horizontal="left" vertical="center" wrapText="1"/>
    </xf>
    <xf numFmtId="0" fontId="5" fillId="37" borderId="1" xfId="0" applyFont="1" applyFill="1" applyBorder="1" applyAlignment="1">
      <alignment horizontal="center" vertical="center" wrapText="1"/>
    </xf>
    <xf numFmtId="0" fontId="21" fillId="17" borderId="0" xfId="0" applyFont="1" applyFill="1" applyBorder="1" applyAlignment="1">
      <alignment horizontal="left" vertical="center" wrapText="1"/>
    </xf>
    <xf numFmtId="0" fontId="21" fillId="17" borderId="1" xfId="0" applyFont="1" applyFill="1" applyBorder="1" applyAlignment="1">
      <alignment horizontal="left" vertical="center" wrapText="1"/>
    </xf>
    <xf numFmtId="0" fontId="22" fillId="17" borderId="1" xfId="0" applyFont="1" applyFill="1" applyBorder="1" applyAlignment="1" quotePrefix="1">
      <alignment horizontal="center" vertical="center"/>
    </xf>
    <xf numFmtId="0" fontId="22" fillId="17" borderId="1" xfId="0" applyFont="1" applyFill="1" applyBorder="1" applyAlignment="1">
      <alignment horizontal="center" vertical="center" wrapText="1"/>
    </xf>
    <xf numFmtId="0" fontId="21" fillId="30" borderId="0" xfId="0" applyFont="1" applyFill="1" applyBorder="1" applyAlignment="1">
      <alignment horizontal="left" vertical="center" wrapText="1"/>
    </xf>
    <xf numFmtId="0" fontId="21" fillId="30" borderId="1" xfId="0" applyFont="1" applyFill="1" applyBorder="1" applyAlignment="1">
      <alignment horizontal="left" vertical="center" wrapText="1"/>
    </xf>
    <xf numFmtId="0" fontId="22" fillId="30" borderId="1" xfId="0" applyFont="1" applyFill="1" applyBorder="1" applyAlignment="1" quotePrefix="1">
      <alignment horizontal="center" vertical="center"/>
    </xf>
    <xf numFmtId="0" fontId="22" fillId="30" borderId="1" xfId="0" applyFont="1" applyFill="1" applyBorder="1" applyAlignment="1">
      <alignment horizontal="center" vertical="center"/>
    </xf>
    <xf numFmtId="0" fontId="21" fillId="10" borderId="0" xfId="0" applyFont="1" applyFill="1" applyBorder="1" applyAlignment="1">
      <alignment horizontal="left" vertical="center" wrapText="1"/>
    </xf>
    <xf numFmtId="0" fontId="21" fillId="10" borderId="1" xfId="0" applyFont="1" applyFill="1" applyBorder="1" applyAlignment="1">
      <alignment horizontal="left" vertical="center" wrapText="1"/>
    </xf>
    <xf numFmtId="0" fontId="21" fillId="12" borderId="0" xfId="0" applyFont="1" applyFill="1" applyBorder="1" applyAlignment="1">
      <alignment horizontal="left" vertical="center" wrapText="1"/>
    </xf>
    <xf numFmtId="0" fontId="21" fillId="12" borderId="1" xfId="0" applyFont="1" applyFill="1" applyBorder="1" applyAlignment="1">
      <alignment horizontal="left" vertical="center" wrapText="1"/>
    </xf>
    <xf numFmtId="0" fontId="21" fillId="20" borderId="0" xfId="0" applyFont="1" applyFill="1" applyBorder="1" applyAlignment="1">
      <alignment horizontal="left" vertical="center" wrapText="1"/>
    </xf>
    <xf numFmtId="0" fontId="21" fillId="20" borderId="1" xfId="0" applyFont="1" applyFill="1" applyBorder="1" applyAlignment="1">
      <alignment horizontal="left" vertical="center" wrapText="1"/>
    </xf>
    <xf numFmtId="0" fontId="22" fillId="20" borderId="1" xfId="0" applyFont="1" applyFill="1" applyBorder="1" applyAlignment="1" quotePrefix="1">
      <alignment horizontal="center" vertical="center"/>
    </xf>
    <xf numFmtId="0" fontId="22" fillId="20" borderId="1" xfId="0" applyFont="1" applyFill="1" applyBorder="1" applyAlignment="1">
      <alignment horizontal="center" vertical="center"/>
    </xf>
    <xf numFmtId="0" fontId="21" fillId="16" borderId="0" xfId="0" applyFont="1" applyFill="1" applyBorder="1" applyAlignment="1">
      <alignment horizontal="left" vertical="center" wrapText="1"/>
    </xf>
    <xf numFmtId="0" fontId="21" fillId="18" borderId="0" xfId="0" applyFont="1" applyFill="1" applyBorder="1" applyAlignment="1">
      <alignment horizontal="left" vertical="center" wrapText="1"/>
    </xf>
    <xf numFmtId="0" fontId="21" fillId="18" borderId="1" xfId="0" applyFont="1" applyFill="1" applyBorder="1" applyAlignment="1">
      <alignment horizontal="left" vertical="center" wrapText="1"/>
    </xf>
    <xf numFmtId="0" fontId="21" fillId="40" borderId="0" xfId="0" applyFont="1" applyFill="1" applyBorder="1" applyAlignment="1">
      <alignment horizontal="left" vertical="center" wrapText="1"/>
    </xf>
    <xf numFmtId="0" fontId="21" fillId="40" borderId="1" xfId="0" applyFont="1" applyFill="1" applyBorder="1" applyAlignment="1">
      <alignment horizontal="left" vertical="center" wrapText="1"/>
    </xf>
    <xf numFmtId="0" fontId="21" fillId="16" borderId="1" xfId="0" applyFont="1" applyFill="1" applyBorder="1" applyAlignment="1">
      <alignment horizontal="left" vertical="center" wrapText="1"/>
    </xf>
    <xf numFmtId="0" fontId="22" fillId="16" borderId="0" xfId="0" applyFont="1" applyFill="1" applyBorder="1" applyAlignment="1">
      <alignment horizontal="left" vertical="center" wrapText="1"/>
    </xf>
    <xf numFmtId="0" fontId="22" fillId="16" borderId="1" xfId="0" applyFont="1" applyFill="1" applyBorder="1" applyAlignment="1">
      <alignment horizontal="center" vertical="center" wrapText="1"/>
    </xf>
    <xf numFmtId="0" fontId="22" fillId="16" borderId="1" xfId="0" applyFont="1" applyFill="1" applyBorder="1" applyAlignment="1" quotePrefix="1">
      <alignment horizontal="center" vertical="center" wrapText="1"/>
    </xf>
    <xf numFmtId="0" fontId="21" fillId="21" borderId="0" xfId="0" applyFont="1" applyFill="1" applyBorder="1" applyAlignment="1">
      <alignment horizontal="left" vertical="center" wrapText="1"/>
    </xf>
    <xf numFmtId="0" fontId="21" fillId="21" borderId="1" xfId="0" applyFont="1" applyFill="1" applyBorder="1" applyAlignment="1">
      <alignment horizontal="left" vertical="center" wrapText="1"/>
    </xf>
    <xf numFmtId="0" fontId="21" fillId="41" borderId="0" xfId="0" applyFont="1" applyFill="1" applyBorder="1" applyAlignment="1">
      <alignment horizontal="left" vertical="center" wrapText="1"/>
    </xf>
    <xf numFmtId="0" fontId="21" fillId="41" borderId="1" xfId="0" applyFont="1" applyFill="1" applyBorder="1" applyAlignment="1">
      <alignment horizontal="left" vertical="center" wrapText="1"/>
    </xf>
    <xf numFmtId="0" fontId="21" fillId="42" borderId="0" xfId="0" applyFont="1" applyFill="1" applyBorder="1" applyAlignment="1">
      <alignment horizontal="left" vertical="center" wrapText="1"/>
    </xf>
    <xf numFmtId="0" fontId="21" fillId="42" borderId="1" xfId="0" applyFont="1" applyFill="1" applyBorder="1" applyAlignment="1">
      <alignment horizontal="left" vertical="center" wrapText="1"/>
    </xf>
    <xf numFmtId="0" fontId="21" fillId="43" borderId="0" xfId="0" applyFont="1" applyFill="1" applyBorder="1" applyAlignment="1">
      <alignment horizontal="left" vertical="center" wrapText="1"/>
    </xf>
    <xf numFmtId="0" fontId="21" fillId="43" borderId="1" xfId="0" applyFont="1" applyFill="1" applyBorder="1" applyAlignment="1">
      <alignment horizontal="left" vertical="center" wrapText="1"/>
    </xf>
    <xf numFmtId="0" fontId="23" fillId="0" borderId="0" xfId="0" applyFont="1" applyFill="1">
      <alignment vertical="center"/>
    </xf>
    <xf numFmtId="0" fontId="3" fillId="44" borderId="0" xfId="0" applyFont="1" applyFill="1" applyBorder="1" applyAlignment="1">
      <alignment horizontal="left" vertical="center" wrapText="1"/>
    </xf>
    <xf numFmtId="0" fontId="3" fillId="44" borderId="1" xfId="0" applyFont="1" applyFill="1" applyBorder="1" applyAlignment="1">
      <alignment horizontal="left" vertical="center" wrapText="1"/>
    </xf>
    <xf numFmtId="0" fontId="23" fillId="0" borderId="0" xfId="0" applyFont="1" applyFill="1" applyBorder="1">
      <alignment vertical="center"/>
    </xf>
    <xf numFmtId="0" fontId="23" fillId="0" borderId="0" xfId="0" applyFont="1">
      <alignment vertical="center"/>
    </xf>
    <xf numFmtId="0" fontId="3" fillId="35" borderId="0" xfId="0" applyFont="1" applyFill="1" applyBorder="1" applyAlignment="1">
      <alignment horizontal="left" vertical="center" wrapText="1"/>
    </xf>
    <xf numFmtId="0" fontId="3" fillId="35" borderId="1" xfId="0" applyFont="1" applyFill="1" applyBorder="1" applyAlignment="1">
      <alignment horizontal="left" vertical="center" wrapText="1"/>
    </xf>
    <xf numFmtId="0" fontId="23" fillId="0" borderId="0" xfId="0" applyFont="1" applyBorder="1">
      <alignment vertical="center"/>
    </xf>
    <xf numFmtId="0" fontId="3" fillId="45" borderId="0" xfId="0" applyFont="1" applyFill="1" applyBorder="1" applyAlignment="1">
      <alignment horizontal="left" vertical="center" wrapText="1"/>
    </xf>
    <xf numFmtId="0" fontId="3" fillId="45" borderId="1" xfId="0" applyFont="1" applyFill="1" applyBorder="1" applyAlignment="1">
      <alignment horizontal="left" vertical="center" wrapText="1"/>
    </xf>
    <xf numFmtId="0" fontId="3" fillId="20" borderId="0" xfId="0" applyFont="1" applyFill="1" applyBorder="1" applyAlignment="1">
      <alignment horizontal="left" vertical="center" wrapText="1"/>
    </xf>
    <xf numFmtId="0" fontId="3" fillId="20"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36" borderId="0" xfId="0" applyFont="1" applyFill="1" applyBorder="1" applyAlignment="1">
      <alignment horizontal="left" vertical="center" wrapText="1"/>
    </xf>
    <xf numFmtId="0" fontId="3" fillId="36" borderId="1" xfId="0" applyFont="1" applyFill="1" applyBorder="1" applyAlignment="1">
      <alignment horizontal="left" vertical="center" wrapText="1"/>
    </xf>
    <xf numFmtId="0" fontId="3" fillId="46" borderId="0" xfId="0" applyFont="1" applyFill="1" applyBorder="1" applyAlignment="1">
      <alignment horizontal="left" vertical="center" wrapText="1"/>
    </xf>
    <xf numFmtId="0" fontId="3" fillId="46" borderId="1" xfId="0" applyFont="1" applyFill="1" applyBorder="1" applyAlignment="1">
      <alignment horizontal="left" vertical="center" wrapText="1"/>
    </xf>
    <xf numFmtId="0" fontId="3" fillId="47" borderId="0" xfId="0" applyFont="1" applyFill="1" applyBorder="1" applyAlignment="1">
      <alignment horizontal="left" vertical="center" wrapText="1"/>
    </xf>
    <xf numFmtId="0" fontId="3" fillId="47" borderId="1" xfId="0" applyFont="1" applyFill="1" applyBorder="1" applyAlignment="1">
      <alignment horizontal="left" vertical="center" wrapText="1"/>
    </xf>
    <xf numFmtId="0" fontId="9" fillId="48" borderId="0" xfId="0" applyFont="1" applyFill="1" applyBorder="1" applyAlignment="1">
      <alignment horizontal="left" vertical="center" wrapText="1"/>
    </xf>
    <xf numFmtId="0" fontId="5" fillId="48" borderId="1" xfId="0" applyFont="1" applyFill="1" applyBorder="1" applyAlignment="1">
      <alignment horizontal="center" vertical="center" wrapText="1"/>
    </xf>
    <xf numFmtId="0" fontId="9" fillId="48" borderId="1" xfId="0" applyFont="1" applyFill="1" applyBorder="1" applyAlignment="1">
      <alignment horizontal="left" vertical="center" wrapText="1"/>
    </xf>
    <xf numFmtId="0" fontId="24" fillId="34" borderId="1" xfId="0" applyFont="1" applyFill="1" applyBorder="1">
      <alignment vertical="center"/>
    </xf>
    <xf numFmtId="0" fontId="24" fillId="34" borderId="1" xfId="0" applyFont="1" applyFill="1" applyBorder="1" applyAlignment="1">
      <alignment horizontal="left" vertical="center"/>
    </xf>
    <xf numFmtId="0" fontId="25" fillId="19" borderId="1" xfId="0" applyFont="1" applyFill="1" applyBorder="1" applyAlignment="1">
      <alignment horizontal="left" vertical="center" wrapText="1"/>
    </xf>
    <xf numFmtId="0" fontId="25" fillId="19" borderId="1" xfId="0" applyFont="1" applyFill="1" applyBorder="1" applyAlignment="1">
      <alignment horizontal="center" vertical="center" wrapText="1"/>
    </xf>
    <xf numFmtId="0" fontId="5" fillId="49" borderId="1" xfId="0" applyFont="1" applyFill="1" applyBorder="1" applyAlignment="1">
      <alignment horizontal="left" vertical="center"/>
    </xf>
    <xf numFmtId="0" fontId="26" fillId="49" borderId="1" xfId="0" applyFont="1" applyFill="1" applyBorder="1" applyAlignment="1">
      <alignment horizontal="left" vertical="center"/>
    </xf>
    <xf numFmtId="0" fontId="5" fillId="17" borderId="2" xfId="0" applyFont="1" applyFill="1" applyBorder="1">
      <alignment vertical="center"/>
    </xf>
    <xf numFmtId="0" fontId="27" fillId="27" borderId="5" xfId="0" applyFont="1" applyFill="1" applyBorder="1" applyAlignment="1">
      <alignment horizontal="left" vertical="center" wrapText="1"/>
    </xf>
    <xf numFmtId="0" fontId="27" fillId="27" borderId="6" xfId="0" applyFont="1" applyFill="1" applyBorder="1" applyAlignment="1">
      <alignment horizontal="left" vertical="center" wrapText="1"/>
    </xf>
    <xf numFmtId="0" fontId="5" fillId="50" borderId="1" xfId="0" applyFont="1" applyFill="1" applyBorder="1" applyAlignment="1">
      <alignment horizontal="left" vertical="center"/>
    </xf>
    <xf numFmtId="0" fontId="22" fillId="51" borderId="1" xfId="0" applyFont="1" applyFill="1" applyBorder="1" applyAlignment="1">
      <alignment horizontal="left" vertical="center"/>
    </xf>
    <xf numFmtId="0" fontId="24" fillId="46" borderId="7" xfId="0" applyFont="1" applyFill="1" applyBorder="1" applyAlignment="1">
      <alignment horizontal="left" vertical="center"/>
    </xf>
    <xf numFmtId="0" fontId="24" fillId="46" borderId="8" xfId="0" applyFont="1" applyFill="1" applyBorder="1" applyAlignment="1">
      <alignment horizontal="left" vertical="center"/>
    </xf>
    <xf numFmtId="0" fontId="24" fillId="46" borderId="9" xfId="0" applyFont="1" applyFill="1" applyBorder="1" applyAlignment="1">
      <alignment horizontal="left" vertical="center"/>
    </xf>
    <xf numFmtId="0" fontId="24" fillId="17" borderId="1" xfId="0" applyFont="1" applyFill="1" applyBorder="1" applyAlignment="1">
      <alignment horizontal="left" vertical="center"/>
    </xf>
    <xf numFmtId="0" fontId="24" fillId="46" borderId="10" xfId="0" applyFont="1" applyFill="1" applyBorder="1" applyAlignment="1">
      <alignment horizontal="left" vertical="center"/>
    </xf>
    <xf numFmtId="0" fontId="24" fillId="46" borderId="1" xfId="0" applyFont="1" applyFill="1" applyBorder="1" applyAlignment="1">
      <alignment horizontal="left" vertical="center"/>
    </xf>
    <xf numFmtId="0" fontId="24" fillId="46" borderId="11" xfId="0" applyFont="1" applyFill="1" applyBorder="1" applyAlignment="1">
      <alignment horizontal="left" vertical="center"/>
    </xf>
    <xf numFmtId="0" fontId="5" fillId="9" borderId="1" xfId="0" applyFont="1" applyFill="1" applyBorder="1" applyAlignment="1">
      <alignment horizontal="left" vertical="center"/>
    </xf>
    <xf numFmtId="0" fontId="24" fillId="48" borderId="1" xfId="0" applyFont="1" applyFill="1" applyBorder="1" applyAlignment="1">
      <alignment horizontal="left" vertical="center"/>
    </xf>
    <xf numFmtId="0" fontId="5" fillId="4" borderId="1" xfId="0" applyFont="1" applyFill="1" applyBorder="1" applyAlignment="1">
      <alignment horizontal="left" vertical="center"/>
    </xf>
    <xf numFmtId="0" fontId="24" fillId="52" borderId="1" xfId="0" applyFont="1" applyFill="1" applyBorder="1" applyAlignment="1">
      <alignment horizontal="left" vertical="center"/>
    </xf>
    <xf numFmtId="0" fontId="5" fillId="12" borderId="0" xfId="0" applyFont="1" applyFill="1" applyBorder="1" applyAlignment="1">
      <alignment horizontal="left" vertical="center"/>
    </xf>
    <xf numFmtId="0" fontId="5" fillId="12" borderId="1" xfId="0" applyFont="1" applyFill="1" applyBorder="1" applyAlignment="1">
      <alignment horizontal="left" vertical="center"/>
    </xf>
    <xf numFmtId="0" fontId="5" fillId="53" borderId="6" xfId="0" applyFont="1" applyFill="1" applyBorder="1" applyAlignment="1">
      <alignment horizontal="left" vertical="center"/>
    </xf>
    <xf numFmtId="0" fontId="5" fillId="53" borderId="5" xfId="0" applyFont="1" applyFill="1" applyBorder="1" applyAlignment="1">
      <alignment horizontal="left" vertical="center"/>
    </xf>
    <xf numFmtId="0" fontId="5" fillId="53" borderId="4" xfId="0" applyFont="1" applyFill="1" applyBorder="1" applyAlignment="1">
      <alignment horizontal="left" vertical="center"/>
    </xf>
    <xf numFmtId="0" fontId="24" fillId="54" borderId="1" xfId="0" applyFont="1" applyFill="1" applyBorder="1" applyAlignment="1">
      <alignment horizontal="left" vertical="center"/>
    </xf>
    <xf numFmtId="9" fontId="24" fillId="54" borderId="1" xfId="0" applyNumberFormat="1" applyFont="1" applyFill="1" applyBorder="1" applyAlignment="1">
      <alignment horizontal="left" vertical="center"/>
    </xf>
    <xf numFmtId="0" fontId="24" fillId="3" borderId="1" xfId="0" applyFont="1" applyFill="1" applyBorder="1" applyAlignment="1">
      <alignment horizontal="left" vertical="center"/>
    </xf>
    <xf numFmtId="0" fontId="5" fillId="21" borderId="1" xfId="0" applyFont="1" applyFill="1" applyBorder="1" applyAlignment="1">
      <alignment horizontal="left" vertical="center"/>
    </xf>
    <xf numFmtId="0" fontId="24" fillId="34" borderId="6" xfId="0" applyFont="1" applyFill="1" applyBorder="1">
      <alignment vertical="center"/>
    </xf>
    <xf numFmtId="0" fontId="24" fillId="34" borderId="4" xfId="0" applyFont="1" applyFill="1" applyBorder="1">
      <alignment vertical="center"/>
    </xf>
    <xf numFmtId="0" fontId="22" fillId="31" borderId="1" xfId="0" applyFont="1" applyFill="1" applyBorder="1" applyAlignment="1">
      <alignment horizontal="left" vertical="center"/>
    </xf>
    <xf numFmtId="0" fontId="24" fillId="7" borderId="1" xfId="0" applyFont="1" applyFill="1" applyBorder="1" applyAlignment="1">
      <alignment horizontal="left" vertical="center"/>
    </xf>
    <xf numFmtId="0" fontId="5" fillId="14" borderId="1" xfId="0" applyFont="1" applyFill="1" applyBorder="1" applyAlignment="1">
      <alignment horizontal="left" vertical="center"/>
    </xf>
    <xf numFmtId="0" fontId="9" fillId="19" borderId="1" xfId="0" applyFont="1" applyFill="1" applyBorder="1" applyAlignment="1">
      <alignment horizontal="left" vertical="center"/>
    </xf>
    <xf numFmtId="0" fontId="5" fillId="27" borderId="1" xfId="0" applyFont="1" applyFill="1" applyBorder="1" applyAlignment="1">
      <alignment horizontal="left" vertical="center"/>
    </xf>
    <xf numFmtId="0" fontId="24" fillId="19" borderId="1" xfId="0" applyFont="1" applyFill="1" applyBorder="1" applyAlignment="1">
      <alignment horizontal="left" vertical="center"/>
    </xf>
    <xf numFmtId="0" fontId="5" fillId="26" borderId="1" xfId="0" applyFont="1" applyFill="1" applyBorder="1" applyAlignment="1">
      <alignment horizontal="left" vertical="center"/>
    </xf>
    <xf numFmtId="0" fontId="24" fillId="18" borderId="1" xfId="0" applyFont="1" applyFill="1" applyBorder="1" applyAlignment="1">
      <alignment horizontal="left" vertical="center"/>
    </xf>
    <xf numFmtId="0" fontId="5" fillId="41" borderId="1" xfId="0" applyFont="1" applyFill="1" applyBorder="1" applyAlignment="1">
      <alignment horizontal="left" vertical="center"/>
    </xf>
    <xf numFmtId="0" fontId="22" fillId="41" borderId="1" xfId="0" applyFont="1" applyFill="1" applyBorder="1" applyAlignment="1">
      <alignment horizontal="left" vertical="center"/>
    </xf>
    <xf numFmtId="0" fontId="24" fillId="51" borderId="1" xfId="0" applyFont="1" applyFill="1" applyBorder="1" applyAlignment="1">
      <alignment horizontal="left" vertical="center"/>
    </xf>
    <xf numFmtId="0" fontId="9" fillId="55" borderId="1" xfId="0" applyFont="1" applyFill="1" applyBorder="1" applyAlignment="1">
      <alignment horizontal="left" vertical="center"/>
    </xf>
    <xf numFmtId="0" fontId="5" fillId="56" borderId="1" xfId="0" applyFont="1" applyFill="1" applyBorder="1" applyAlignment="1">
      <alignment horizontal="left" vertical="center"/>
    </xf>
    <xf numFmtId="0" fontId="24" fillId="56" borderId="1" xfId="0" applyFont="1" applyFill="1" applyBorder="1" applyAlignment="1">
      <alignment horizontal="left" vertical="center"/>
    </xf>
    <xf numFmtId="0" fontId="24" fillId="57" borderId="1" xfId="0" applyFont="1" applyFill="1" applyBorder="1" applyAlignment="1">
      <alignment horizontal="left" vertical="center"/>
    </xf>
    <xf numFmtId="0" fontId="5" fillId="58" borderId="6" xfId="0" applyFont="1" applyFill="1" applyBorder="1" applyAlignment="1">
      <alignment horizontal="left" vertical="center"/>
    </xf>
    <xf numFmtId="0" fontId="5" fillId="58" borderId="5" xfId="0" applyFont="1" applyFill="1" applyBorder="1" applyAlignment="1">
      <alignment horizontal="left" vertical="center"/>
    </xf>
    <xf numFmtId="0" fontId="5" fillId="58" borderId="4" xfId="0" applyFont="1" applyFill="1" applyBorder="1" applyAlignment="1">
      <alignment horizontal="left" vertical="center"/>
    </xf>
    <xf numFmtId="0" fontId="24" fillId="28" borderId="1" xfId="0" applyFont="1" applyFill="1" applyBorder="1" applyAlignment="1">
      <alignment horizontal="left" vertical="center"/>
    </xf>
    <xf numFmtId="0" fontId="5" fillId="59" borderId="1" xfId="0" applyFont="1" applyFill="1" applyBorder="1" applyAlignment="1">
      <alignment horizontal="left" vertical="center"/>
    </xf>
    <xf numFmtId="0" fontId="24" fillId="59" borderId="1" xfId="0" applyFont="1" applyFill="1" applyBorder="1" applyAlignment="1">
      <alignment horizontal="left" vertical="center"/>
    </xf>
    <xf numFmtId="0" fontId="5" fillId="51" borderId="1" xfId="0" applyFont="1" applyFill="1" applyBorder="1" applyAlignment="1">
      <alignment horizontal="left" vertical="center"/>
    </xf>
    <xf numFmtId="0" fontId="24" fillId="29" borderId="1" xfId="0" applyFont="1" applyFill="1" applyBorder="1" applyAlignment="1">
      <alignment horizontal="left" vertical="center"/>
    </xf>
    <xf numFmtId="0" fontId="24" fillId="49" borderId="1" xfId="0" applyFont="1" applyFill="1" applyBorder="1" applyAlignment="1">
      <alignment horizontal="left" vertical="center"/>
    </xf>
    <xf numFmtId="0" fontId="28" fillId="41" borderId="1" xfId="0" applyFont="1" applyFill="1" applyBorder="1" applyAlignment="1">
      <alignment horizontal="left" vertical="center"/>
    </xf>
    <xf numFmtId="0" fontId="5" fillId="60" borderId="1" xfId="0" applyFont="1" applyFill="1" applyBorder="1" applyAlignment="1">
      <alignment horizontal="left" vertical="center"/>
    </xf>
    <xf numFmtId="0" fontId="3" fillId="41" borderId="1" xfId="0" applyFont="1" applyFill="1" applyBorder="1" applyAlignment="1">
      <alignment horizontal="left" vertical="center"/>
    </xf>
    <xf numFmtId="0" fontId="24" fillId="61" borderId="1" xfId="0" applyFont="1" applyFill="1" applyBorder="1" applyAlignment="1">
      <alignment horizontal="left" vertical="center"/>
    </xf>
    <xf numFmtId="0" fontId="9" fillId="34" borderId="2" xfId="0" applyFont="1" applyFill="1" applyBorder="1" applyAlignment="1">
      <alignment horizontal="left" vertical="center"/>
    </xf>
    <xf numFmtId="0" fontId="24" fillId="34" borderId="2" xfId="0" applyFont="1" applyFill="1" applyBorder="1" applyAlignment="1">
      <alignment horizontal="left" vertical="center"/>
    </xf>
    <xf numFmtId="0" fontId="24" fillId="34" borderId="6" xfId="0" applyFont="1" applyFill="1" applyBorder="1" applyAlignment="1">
      <alignment horizontal="left" vertical="center"/>
    </xf>
    <xf numFmtId="0" fontId="24" fillId="34" borderId="4" xfId="0" applyFont="1" applyFill="1" applyBorder="1" applyAlignment="1">
      <alignment horizontal="left" vertical="center"/>
    </xf>
    <xf numFmtId="0" fontId="21" fillId="41" borderId="1" xfId="0" applyFont="1" applyFill="1" applyBorder="1" applyAlignment="1">
      <alignment horizontal="left" vertical="center"/>
    </xf>
    <xf numFmtId="0" fontId="29" fillId="41" borderId="1" xfId="0" applyFont="1" applyFill="1" applyBorder="1" applyAlignment="1">
      <alignment horizontal="left" vertical="center"/>
    </xf>
    <xf numFmtId="0" fontId="24" fillId="41" borderId="1" xfId="0" applyFont="1" applyFill="1" applyBorder="1" applyAlignment="1">
      <alignment horizontal="left" vertical="center"/>
    </xf>
    <xf numFmtId="0" fontId="9" fillId="55" borderId="1" xfId="0" applyFont="1" applyFill="1" applyBorder="1" applyAlignment="1">
      <alignment horizontal="center" vertical="center" wrapText="1"/>
    </xf>
    <xf numFmtId="0" fontId="9" fillId="55" borderId="1" xfId="0" applyFont="1" applyFill="1" applyBorder="1" applyAlignment="1">
      <alignment horizontal="left" vertical="center" wrapText="1"/>
    </xf>
    <xf numFmtId="0" fontId="24" fillId="22" borderId="1" xfId="0" applyFont="1" applyFill="1" applyBorder="1" applyAlignment="1">
      <alignment horizontal="left" vertical="center"/>
    </xf>
    <xf numFmtId="164" fontId="24" fillId="22" borderId="1" xfId="0" applyNumberFormat="1" applyFont="1" applyFill="1" applyBorder="1" applyAlignment="1">
      <alignment horizontal="left" vertical="center"/>
    </xf>
    <xf numFmtId="0" fontId="24" fillId="60" borderId="1" xfId="0" applyFont="1" applyFill="1" applyBorder="1" applyAlignment="1">
      <alignment horizontal="left" vertical="center"/>
    </xf>
    <xf numFmtId="164" fontId="24" fillId="60" borderId="1" xfId="0" applyNumberFormat="1" applyFont="1" applyFill="1" applyBorder="1" applyAlignment="1">
      <alignment horizontal="left" vertical="center"/>
    </xf>
    <xf numFmtId="0" fontId="24" fillId="60" borderId="1" xfId="0" applyFont="1" applyFill="1" applyBorder="1" applyAlignment="1">
      <alignment horizontal="left" vertical="center" wrapText="1"/>
    </xf>
    <xf numFmtId="0" fontId="24" fillId="34" borderId="4" xfId="0" applyFont="1" applyFill="1" applyBorder="1" applyAlignment="1">
      <alignment vertical="center" wrapText="1"/>
    </xf>
    <xf numFmtId="0" fontId="9" fillId="55" borderId="1" xfId="0" applyFont="1" applyFill="1" applyBorder="1" applyAlignment="1">
      <alignment horizontal="center" vertical="center"/>
    </xf>
    <xf numFmtId="0" fontId="5" fillId="55" borderId="1" xfId="0" applyFont="1" applyFill="1" applyBorder="1" applyAlignment="1">
      <alignment horizontal="center" vertical="center" wrapText="1"/>
    </xf>
    <xf numFmtId="0" fontId="24" fillId="23" borderId="1" xfId="0" applyFont="1" applyFill="1" applyBorder="1" applyAlignment="1">
      <alignment horizontal="left" vertical="center"/>
    </xf>
    <xf numFmtId="0" fontId="24" fillId="34" borderId="3" xfId="0" applyFont="1" applyFill="1" applyBorder="1" applyAlignment="1">
      <alignment horizontal="left" vertical="center"/>
    </xf>
    <xf numFmtId="0" fontId="24" fillId="62" borderId="1" xfId="0" applyFont="1" applyFill="1" applyBorder="1" applyAlignment="1">
      <alignment horizontal="left" vertical="center"/>
    </xf>
    <xf numFmtId="164" fontId="24" fillId="62" borderId="1" xfId="0" applyNumberFormat="1" applyFont="1" applyFill="1" applyBorder="1" applyAlignment="1">
      <alignment horizontal="left" vertical="center"/>
    </xf>
    <xf numFmtId="0" fontId="9" fillId="34" borderId="1" xfId="0" applyFont="1" applyFill="1" applyBorder="1" applyAlignment="1">
      <alignment horizontal="left" vertical="center"/>
    </xf>
    <xf numFmtId="0" fontId="24" fillId="46" borderId="12" xfId="0" applyFont="1" applyFill="1" applyBorder="1" applyAlignment="1">
      <alignment horizontal="left" vertical="center"/>
    </xf>
    <xf numFmtId="0" fontId="24" fillId="46" borderId="13" xfId="0" applyFont="1" applyFill="1" applyBorder="1" applyAlignment="1">
      <alignment horizontal="left" vertical="center"/>
    </xf>
    <xf numFmtId="0" fontId="24" fillId="46" borderId="13" xfId="0" applyFont="1" applyFill="1" applyBorder="1" applyAlignment="1">
      <alignment horizontal="left" vertical="center" wrapText="1"/>
    </xf>
    <xf numFmtId="0" fontId="24" fillId="46" borderId="14" xfId="0" applyFont="1" applyFill="1" applyBorder="1" applyAlignment="1">
      <alignment horizontal="left" vertical="center"/>
    </xf>
    <xf numFmtId="0" fontId="2" fillId="0" borderId="0" xfId="0" applyFont="1" applyAlignment="1">
      <alignment vertical="center" shrinkToFit="1"/>
    </xf>
    <xf numFmtId="0" fontId="2" fillId="0" borderId="0" xfId="0" applyFont="1" applyAlignment="1">
      <alignment horizontal="left" vertical="center" shrinkToFit="1"/>
    </xf>
    <xf numFmtId="0" fontId="24" fillId="0" borderId="0" xfId="0" applyFont="1" applyAlignment="1">
      <alignment horizontal="center" vertical="center" shrinkToFit="1"/>
    </xf>
    <xf numFmtId="0" fontId="25" fillId="30" borderId="15" xfId="0" applyFont="1" applyFill="1" applyBorder="1" applyAlignment="1">
      <alignment horizontal="center" vertical="center" wrapText="1"/>
    </xf>
    <xf numFmtId="0" fontId="25" fillId="30" borderId="16" xfId="0" applyFont="1" applyFill="1" applyBorder="1" applyAlignment="1">
      <alignment horizontal="center" vertical="center"/>
    </xf>
    <xf numFmtId="0" fontId="25" fillId="30" borderId="15" xfId="0" applyFont="1" applyFill="1" applyBorder="1" applyAlignment="1">
      <alignment horizontal="left" vertical="center"/>
    </xf>
    <xf numFmtId="0" fontId="25" fillId="30" borderId="15" xfId="0" applyFont="1" applyFill="1" applyBorder="1" applyAlignment="1">
      <alignment horizontal="center" vertical="center"/>
    </xf>
    <xf numFmtId="0" fontId="25" fillId="30" borderId="17" xfId="0" applyFont="1" applyFill="1" applyBorder="1" applyAlignment="1">
      <alignment horizontal="center" vertical="center"/>
    </xf>
    <xf numFmtId="0" fontId="20" fillId="30" borderId="1" xfId="0" applyFont="1" applyFill="1" applyBorder="1">
      <alignment vertical="center"/>
    </xf>
    <xf numFmtId="0" fontId="25" fillId="30" borderId="1" xfId="0" applyFont="1" applyFill="1" applyBorder="1" applyAlignment="1">
      <alignment horizontal="center" vertical="center" wrapText="1"/>
    </xf>
    <xf numFmtId="0" fontId="5" fillId="63" borderId="0" xfId="0" applyFont="1" applyFill="1" applyAlignment="1">
      <alignment horizontal="center" vertical="center" shrinkToFit="1"/>
    </xf>
    <xf numFmtId="0" fontId="25" fillId="30" borderId="18" xfId="0" applyFont="1" applyFill="1" applyBorder="1" applyAlignment="1">
      <alignment horizontal="center" vertical="center"/>
    </xf>
    <xf numFmtId="0" fontId="25" fillId="30" borderId="19" xfId="0" applyFont="1" applyFill="1" applyBorder="1" applyAlignment="1">
      <alignment horizontal="center" vertical="center"/>
    </xf>
    <xf numFmtId="0" fontId="25" fillId="30" borderId="18" xfId="0" applyFont="1" applyFill="1" applyBorder="1" applyAlignment="1">
      <alignment horizontal="left" vertical="center"/>
    </xf>
    <xf numFmtId="0" fontId="25" fillId="30" borderId="20" xfId="0" applyFont="1" applyFill="1" applyBorder="1" applyAlignment="1">
      <alignment horizontal="center" vertical="center"/>
    </xf>
    <xf numFmtId="0" fontId="30" fillId="7" borderId="1" xfId="0" applyFont="1" applyFill="1" applyBorder="1" applyAlignment="1">
      <alignment horizontal="center" vertical="center" wrapText="1"/>
    </xf>
    <xf numFmtId="0" fontId="22" fillId="64" borderId="0" xfId="0" applyFont="1" applyFill="1" applyAlignment="1">
      <alignment horizontal="center" vertical="center" shrinkToFit="1"/>
    </xf>
    <xf numFmtId="0" fontId="31" fillId="30" borderId="1" xfId="0" applyFont="1" applyFill="1" applyBorder="1">
      <alignment vertical="center"/>
    </xf>
    <xf numFmtId="0" fontId="32" fillId="30" borderId="6" xfId="0" applyFont="1" applyFill="1" applyBorder="1" applyAlignment="1">
      <alignment horizontal="center" vertical="center"/>
    </xf>
    <xf numFmtId="0" fontId="32" fillId="30" borderId="5" xfId="0" applyFont="1" applyFill="1" applyBorder="1" applyAlignment="1">
      <alignment horizontal="center" vertical="center"/>
    </xf>
    <xf numFmtId="0" fontId="32" fillId="30" borderId="4" xfId="0" applyFont="1" applyFill="1" applyBorder="1" applyAlignment="1">
      <alignment horizontal="center" vertical="center"/>
    </xf>
    <xf numFmtId="0" fontId="31" fillId="30" borderId="1" xfId="0" applyFont="1" applyFill="1" applyBorder="1" applyAlignment="1">
      <alignment vertical="center" shrinkToFit="1"/>
    </xf>
    <xf numFmtId="0" fontId="32" fillId="65" borderId="1" xfId="0" applyFont="1" applyFill="1" applyBorder="1" applyAlignment="1">
      <alignment horizontal="left" vertical="center"/>
    </xf>
    <xf numFmtId="0" fontId="27" fillId="65" borderId="1" xfId="0" applyFont="1" applyFill="1" applyBorder="1" applyAlignment="1">
      <alignment horizontal="left" vertical="top"/>
    </xf>
    <xf numFmtId="0" fontId="27" fillId="9" borderId="1" xfId="0" applyFont="1" applyFill="1" applyBorder="1" applyAlignment="1">
      <alignment horizontal="left" vertical="center" wrapText="1"/>
    </xf>
    <xf numFmtId="0" fontId="27" fillId="66" borderId="1" xfId="0" applyFont="1" applyFill="1" applyBorder="1" applyAlignment="1">
      <alignment horizontal="left" vertical="center" wrapText="1"/>
    </xf>
    <xf numFmtId="0" fontId="33" fillId="14" borderId="1" xfId="0" applyFont="1" applyFill="1" applyBorder="1" applyAlignment="1">
      <alignment horizontal="center" vertical="center"/>
    </xf>
    <xf numFmtId="0" fontId="34" fillId="30" borderId="1" xfId="0" applyFont="1" applyFill="1" applyBorder="1">
      <alignment vertical="center"/>
    </xf>
    <xf numFmtId="0" fontId="27" fillId="7" borderId="6" xfId="0" applyFont="1" applyFill="1" applyBorder="1" applyAlignment="1">
      <alignment horizontal="center" vertical="center"/>
    </xf>
    <xf numFmtId="0" fontId="27" fillId="7" borderId="5" xfId="0" applyFont="1" applyFill="1" applyBorder="1" applyAlignment="1">
      <alignment horizontal="center" vertical="center"/>
    </xf>
    <xf numFmtId="0" fontId="27" fillId="7" borderId="4" xfId="0" applyFont="1" applyFill="1" applyBorder="1" applyAlignment="1">
      <alignment horizontal="center" vertical="center"/>
    </xf>
    <xf numFmtId="0" fontId="27" fillId="9" borderId="1" xfId="0" applyFont="1" applyFill="1" applyBorder="1" applyAlignment="1">
      <alignment horizontal="left" vertical="center"/>
    </xf>
    <xf numFmtId="0" fontId="27" fillId="66" borderId="1" xfId="0" applyFont="1" applyFill="1" applyBorder="1" applyAlignment="1">
      <alignment horizontal="left" vertical="top"/>
    </xf>
    <xf numFmtId="0" fontId="27" fillId="9" borderId="1" xfId="0" applyFont="1" applyFill="1" applyBorder="1" applyAlignment="1">
      <alignment horizontal="left" vertical="top"/>
    </xf>
    <xf numFmtId="0" fontId="9" fillId="9" borderId="1" xfId="0" applyFont="1" applyFill="1" applyBorder="1" applyAlignment="1">
      <alignment horizontal="left" vertical="center"/>
    </xf>
    <xf numFmtId="0" fontId="9" fillId="66" borderId="1" xfId="0" applyFont="1" applyFill="1" applyBorder="1" applyAlignment="1">
      <alignment horizontal="left" vertical="center"/>
    </xf>
    <xf numFmtId="0" fontId="27" fillId="66" borderId="1" xfId="0" applyFont="1" applyFill="1" applyBorder="1" applyAlignment="1">
      <alignment horizontal="left" vertical="center"/>
    </xf>
    <xf numFmtId="0" fontId="30" fillId="67" borderId="1" xfId="0" applyFont="1" applyFill="1" applyBorder="1" applyAlignment="1">
      <alignment horizontal="center" vertical="center" wrapText="1"/>
    </xf>
    <xf numFmtId="0" fontId="35" fillId="43" borderId="1" xfId="0" applyFont="1" applyFill="1" applyBorder="1" applyAlignment="1">
      <alignment horizontal="center" vertical="center" wrapText="1"/>
    </xf>
    <xf numFmtId="0" fontId="9" fillId="66" borderId="1" xfId="0" applyFont="1" applyFill="1" applyBorder="1" applyAlignment="1">
      <alignment horizontal="center" vertical="center"/>
    </xf>
    <xf numFmtId="0" fontId="36" fillId="43" borderId="1" xfId="0" applyFont="1" applyFill="1" applyBorder="1" applyAlignment="1">
      <alignment horizontal="center" vertical="center" wrapText="1"/>
    </xf>
    <xf numFmtId="0" fontId="37" fillId="9" borderId="1" xfId="0" applyFont="1" applyFill="1" applyBorder="1" applyAlignment="1">
      <alignment horizontal="left" vertical="center" wrapText="1"/>
    </xf>
    <xf numFmtId="0" fontId="9" fillId="9" borderId="1" xfId="0" applyFont="1" applyFill="1" applyBorder="1" applyAlignment="1">
      <alignment horizontal="center" vertical="center"/>
    </xf>
    <xf numFmtId="0" fontId="20" fillId="30" borderId="1" xfId="0" applyFont="1" applyFill="1" applyBorder="1" applyAlignment="1">
      <alignment vertical="center" shrinkToFit="1"/>
    </xf>
    <xf numFmtId="0" fontId="30" fillId="9" borderId="1" xfId="0" applyFont="1" applyFill="1" applyBorder="1" applyAlignment="1">
      <alignment horizontal="left" vertical="center" wrapText="1"/>
    </xf>
    <xf numFmtId="0" fontId="9" fillId="66" borderId="1" xfId="0" applyFont="1" applyFill="1" applyBorder="1" applyAlignment="1">
      <alignment horizontal="left" vertical="top"/>
    </xf>
    <xf numFmtId="0" fontId="9" fillId="9" borderId="1" xfId="0" applyFont="1" applyFill="1" applyBorder="1" applyAlignment="1">
      <alignment horizontal="left" vertical="top"/>
    </xf>
    <xf numFmtId="0" fontId="37" fillId="66" borderId="1" xfId="0" applyFont="1" applyFill="1" applyBorder="1" applyAlignment="1">
      <alignment horizontal="left" vertical="center" wrapText="1"/>
    </xf>
    <xf numFmtId="0" fontId="14" fillId="30" borderId="1" xfId="0" applyFont="1" applyFill="1" applyBorder="1">
      <alignment vertical="center"/>
    </xf>
    <xf numFmtId="0" fontId="30" fillId="66" borderId="1" xfId="0" applyFont="1" applyFill="1" applyBorder="1" applyAlignment="1">
      <alignment horizontal="left" vertical="center" wrapText="1"/>
    </xf>
    <xf numFmtId="0" fontId="32" fillId="65" borderId="1" xfId="0" applyFont="1" applyFill="1" applyBorder="1" applyAlignment="1">
      <alignment horizontal="left" vertical="center" wrapText="1"/>
    </xf>
    <xf numFmtId="0" fontId="5" fillId="65" borderId="1" xfId="0" applyFont="1" applyFill="1" applyBorder="1" applyAlignment="1">
      <alignment horizontal="left" vertical="top"/>
    </xf>
    <xf numFmtId="0" fontId="30" fillId="9" borderId="1" xfId="0" applyFont="1" applyFill="1" applyBorder="1" applyAlignment="1">
      <alignment horizontal="left" vertical="top" wrapText="1"/>
    </xf>
    <xf numFmtId="0" fontId="30" fillId="66" borderId="1" xfId="0" applyFont="1" applyFill="1" applyBorder="1" applyAlignment="1">
      <alignment horizontal="left" vertical="top" wrapText="1"/>
    </xf>
    <xf numFmtId="0" fontId="27" fillId="66" borderId="1" xfId="0" applyFont="1" applyFill="1" applyBorder="1" applyAlignment="1">
      <alignment horizontal="left" vertical="top" wrapText="1"/>
    </xf>
    <xf numFmtId="0" fontId="27" fillId="9" borderId="1" xfId="0" applyFont="1" applyFill="1" applyBorder="1" applyAlignment="1">
      <alignment horizontal="left" vertical="top" wrapText="1"/>
    </xf>
    <xf numFmtId="0" fontId="27" fillId="65" borderId="1" xfId="0" applyFont="1" applyFill="1" applyBorder="1" applyAlignment="1">
      <alignment horizontal="left" vertical="top" wrapText="1"/>
    </xf>
    <xf numFmtId="0" fontId="27" fillId="7" borderId="6" xfId="0" applyFont="1" applyFill="1" applyBorder="1" applyAlignment="1">
      <alignment horizontal="left" vertical="center" wrapText="1"/>
    </xf>
    <xf numFmtId="0" fontId="27" fillId="7" borderId="5" xfId="0" applyFont="1" applyFill="1" applyBorder="1" applyAlignment="1">
      <alignment horizontal="left" vertical="center" wrapText="1"/>
    </xf>
    <xf numFmtId="0" fontId="30" fillId="9" borderId="1" xfId="0" applyFont="1" applyFill="1" applyBorder="1" applyAlignment="1" quotePrefix="1">
      <alignment horizontal="left" vertical="center" wrapText="1"/>
    </xf>
    <xf numFmtId="0" fontId="38" fillId="68" borderId="21" xfId="0" applyNumberFormat="1" applyFont="1" applyFill="1" applyBorder="1">
      <alignment vertical="center"/>
    </xf>
    <xf numFmtId="0" fontId="24" fillId="9" borderId="1" xfId="0" applyFont="1" applyFill="1" applyBorder="1" applyAlignment="1">
      <alignment horizontal="left" vertical="center"/>
    </xf>
    <xf numFmtId="0" fontId="24" fillId="66" borderId="1" xfId="0" applyFont="1" applyFill="1" applyBorder="1" applyAlignment="1">
      <alignment horizontal="left" vertical="center"/>
    </xf>
    <xf numFmtId="0" fontId="39" fillId="69" borderId="0" xfId="0" applyFont="1" applyFill="1" applyBorder="1" applyAlignment="1">
      <alignment horizontal="center" vertical="center" wrapText="1" shrinkToFit="1"/>
    </xf>
    <xf numFmtId="0" fontId="9" fillId="9" borderId="1" xfId="0" applyFont="1" applyFill="1" applyBorder="1" applyAlignment="1">
      <alignment horizontal="left" vertical="center" shrinkToFit="1"/>
    </xf>
    <xf numFmtId="0" fontId="9" fillId="66" borderId="1" xfId="0" applyFont="1" applyFill="1" applyBorder="1" applyAlignment="1">
      <alignment horizontal="left" vertical="center" shrinkToFit="1"/>
    </xf>
    <xf numFmtId="0" fontId="40" fillId="30" borderId="1" xfId="0" applyFont="1" applyFill="1" applyBorder="1" applyAlignment="1">
      <alignment horizontal="center" vertical="center" wrapText="1" shrinkToFit="1"/>
    </xf>
    <xf numFmtId="0" fontId="32" fillId="7" borderId="6" xfId="0" applyFont="1" applyFill="1" applyBorder="1" applyAlignment="1">
      <alignment horizontal="center" vertical="center" wrapText="1"/>
    </xf>
    <xf numFmtId="0" fontId="32" fillId="7" borderId="5" xfId="0" applyFont="1" applyFill="1" applyBorder="1" applyAlignment="1">
      <alignment horizontal="center" vertical="center" wrapText="1"/>
    </xf>
    <xf numFmtId="0" fontId="32" fillId="7" borderId="4" xfId="0" applyFont="1" applyFill="1" applyBorder="1" applyAlignment="1">
      <alignment horizontal="center" vertical="center" wrapText="1"/>
    </xf>
    <xf numFmtId="0" fontId="36" fillId="43" borderId="1" xfId="0" applyFont="1" applyFill="1" applyBorder="1" applyAlignment="1">
      <alignment horizontal="center" vertical="center"/>
    </xf>
    <xf numFmtId="0" fontId="20" fillId="30" borderId="1" xfId="0" applyFont="1" applyFill="1" applyBorder="1" applyAlignment="1">
      <alignment horizontal="left" vertical="center" shrinkToFit="1"/>
    </xf>
    <xf numFmtId="0" fontId="24" fillId="3" borderId="1" xfId="0" applyFont="1" applyFill="1" applyBorder="1" applyAlignment="1">
      <alignment horizontal="center" vertical="center"/>
    </xf>
    <xf numFmtId="0" fontId="27" fillId="3" borderId="1" xfId="0" applyFont="1" applyFill="1" applyBorder="1" applyAlignment="1">
      <alignment horizontal="center" vertical="center" wrapText="1"/>
    </xf>
    <xf numFmtId="0" fontId="2" fillId="3" borderId="1" xfId="0" applyFont="1" applyFill="1" applyBorder="1">
      <alignment vertical="center"/>
    </xf>
    <xf numFmtId="0" fontId="41" fillId="3" borderId="1" xfId="0" applyFont="1" applyFill="1" applyBorder="1" applyAlignment="1">
      <alignment horizontal="center" vertical="center" wrapText="1"/>
    </xf>
    <xf numFmtId="49" fontId="31" fillId="3" borderId="1" xfId="0" applyNumberFormat="1" applyFont="1" applyFill="1" applyBorder="1" applyAlignment="1">
      <alignment horizontal="center" vertical="center" wrapText="1"/>
    </xf>
    <xf numFmtId="0" fontId="42" fillId="3" borderId="1" xfId="0" applyFont="1" applyFill="1" applyBorder="1" applyAlignment="1">
      <alignment horizontal="center" vertical="center" wrapText="1"/>
    </xf>
    <xf numFmtId="0" fontId="43" fillId="3" borderId="1" xfId="0" applyFont="1" applyFill="1" applyBorder="1">
      <alignment vertical="center"/>
    </xf>
    <xf numFmtId="0" fontId="22" fillId="9" borderId="1" xfId="0" applyFont="1" applyFill="1" applyBorder="1">
      <alignment vertical="center"/>
    </xf>
    <xf numFmtId="0" fontId="22" fillId="9" borderId="1" xfId="0" applyFont="1" applyFill="1" applyBorder="1" quotePrefix="1">
      <alignment vertical="center"/>
    </xf>
    <xf numFmtId="0" fontId="22" fillId="9" borderId="1" xfId="0" applyFont="1" applyFill="1" applyBorder="1">
      <alignment vertical="center"/>
    </xf>
    <xf numFmtId="0" fontId="44" fillId="9" borderId="1" xfId="0" applyFont="1" applyFill="1" applyBorder="1">
      <alignment vertical="center"/>
    </xf>
  </cellXfs>
  <cellStyles count="1">
    <cellStyle name="常规" xfId="0" builtinId="0"/>
  </cellStyles>
  <dxfs count="0"/>
  <tableStyles defaultTableStyle="TableStyleMedium2" defaultPivotStyle="PivotStyleLight16" count="0"/>
</styleSheet>
</file>

<file path=xl/_rels/cellimages.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11.png"/><Relationship Id="rId13" Type="http://schemas.openxmlformats.org/officeDocument/2006/relationships/image" Target="media/image12.png"/><Relationship Id="rId14" Type="http://schemas.openxmlformats.org/officeDocument/2006/relationships/image" Target="media/image13.png"/><Relationship Id="rId15" Type="http://schemas.openxmlformats.org/officeDocument/2006/relationships/image" Target="media/image14.png"/><Relationship Id="rId16" Type="http://schemas.openxmlformats.org/officeDocument/2006/relationships/image" Target="media/image16.png"/><Relationship Id="rId17" Type="http://schemas.openxmlformats.org/officeDocument/2006/relationships/image" Target="media/image15.png"/><Relationship Id="rId18" Type="http://schemas.openxmlformats.org/officeDocument/2006/relationships/image" Target="media/image17.png"/><Relationship Id="rId19" Type="http://schemas.openxmlformats.org/officeDocument/2006/relationships/image" Target="media/image19.png"/><Relationship Id="rId20" Type="http://schemas.openxmlformats.org/officeDocument/2006/relationships/image" Target="media/image18.png"/><Relationship Id="rId21" Type="http://schemas.openxmlformats.org/officeDocument/2006/relationships/image" Target="media/image20.png"/><Relationship Id="rId22" Type="http://schemas.openxmlformats.org/officeDocument/2006/relationships/image" Target="media/image21.png"/><Relationship Id="rId23" Type="http://schemas.openxmlformats.org/officeDocument/2006/relationships/image" Target="media/image22.png"/><Relationship Id="rId24" Type="http://schemas.openxmlformats.org/officeDocument/2006/relationships/image" Target="media/image23.png"/><Relationship Id="rId25" Type="http://schemas.openxmlformats.org/officeDocument/2006/relationships/image" Target="media/image24.png"/><Relationship Id="rId26" Type="http://schemas.openxmlformats.org/officeDocument/2006/relationships/image" Target="media/image25.png"/><Relationship Id="rId27" Type="http://schemas.openxmlformats.org/officeDocument/2006/relationships/image" Target="media/image26.png"/><Relationship Id="rId28" Type="http://schemas.openxmlformats.org/officeDocument/2006/relationships/image" Target="media/image27.png"/><Relationship Id="rId29" Type="http://schemas.openxmlformats.org/officeDocument/2006/relationships/image" Target="media/image28.png"/><Relationship Id="rId30" Type="http://schemas.openxmlformats.org/officeDocument/2006/relationships/image" Target="media/image29.png"/><Relationship Id="rId31" Type="http://schemas.openxmlformats.org/officeDocument/2006/relationships/image" Target="media/image30.png"/><Relationship Id="rId32" Type="http://schemas.openxmlformats.org/officeDocument/2006/relationships/image" Target="media/image31.png"/><Relationship Id="rId33" Type="http://schemas.openxmlformats.org/officeDocument/2006/relationships/image" Target="media/image32.png"/><Relationship Id="rId34" Type="http://schemas.openxmlformats.org/officeDocument/2006/relationships/image" Target="media/image33.png"/><Relationship Id="rId35" Type="http://schemas.openxmlformats.org/officeDocument/2006/relationships/image" Target="media/image34.png"/><Relationship Id="rId36" Type="http://schemas.openxmlformats.org/officeDocument/2006/relationships/image" Target="media/image35.png"/><Relationship Id="rId37" Type="http://schemas.openxmlformats.org/officeDocument/2006/relationships/image" Target="media/image36.png"/><Relationship Id="rId38" Type="http://schemas.openxmlformats.org/officeDocument/2006/relationships/image" Target="media/image37.png"/><Relationship Id="rId39" Type="http://schemas.openxmlformats.org/officeDocument/2006/relationships/image" Target="media/image38.png"/><Relationship Id="rId40" Type="http://schemas.openxmlformats.org/officeDocument/2006/relationships/image" Target="media/image39.png"/><Relationship Id="rId41" Type="http://schemas.openxmlformats.org/officeDocument/2006/relationships/image" Target="media/image40.png"/><Relationship Id="rId42" Type="http://schemas.openxmlformats.org/officeDocument/2006/relationships/image" Target="media/image41.png"/><Relationship Id="rId43" Type="http://schemas.openxmlformats.org/officeDocument/2006/relationships/image" Target="media/image42.png"/><Relationship Id="rId44" Type="http://schemas.openxmlformats.org/officeDocument/2006/relationships/image" Target="media/image43.png"/><Relationship Id="rId45" Type="http://schemas.openxmlformats.org/officeDocument/2006/relationships/image" Target="media/image44.png"/><Relationship Id="rId46" Type="http://schemas.openxmlformats.org/officeDocument/2006/relationships/image" Target="media/image45.png"/><Relationship Id="rId47" Type="http://schemas.openxmlformats.org/officeDocument/2006/relationships/image" Target="media/image47.png"/><Relationship Id="rId48" Type="http://schemas.openxmlformats.org/officeDocument/2006/relationships/image" Target="media/image46.png"/><Relationship Id="rId49" Type="http://schemas.openxmlformats.org/officeDocument/2006/relationships/image" Target="media/image48.png"/><Relationship Id="rId50" Type="http://schemas.openxmlformats.org/officeDocument/2006/relationships/image" Target="media/image49.png"/><Relationship Id="rId51" Type="http://schemas.openxmlformats.org/officeDocument/2006/relationships/image" Target="media/image50.png"/><Relationship Id="rId52" Type="http://schemas.openxmlformats.org/officeDocument/2006/relationships/image" Target="media/image52.png"/><Relationship Id="rId53" Type="http://schemas.openxmlformats.org/officeDocument/2006/relationships/image" Target="media/image51.png"/></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www.wps.cn/officeDocument/2020/cellImage" Target="cellimages.xml"/><Relationship Id="rId7" Type="http://schemas.openxmlformats.org/officeDocument/2006/relationships/sharedStrings" Target="sharedStrings.xml"/><Relationship Id="rId8" Type="http://schemas.openxmlformats.org/officeDocument/2006/relationships/styles" Target="styles.xml"/><Relationship Id="rId9" Type="http://schemas.openxmlformats.org/officeDocument/2006/relationships/theme" Target="theme/theme1.xml"/><Relationship Id="rId10" Type="http://schemas.openxmlformats.org/officeDocument/2006/relationships/customXml" Target="../customXml/item1.xml"/><Relationship Id="rId11"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26680;&#24515;"/><Relationship Id="rId2" Type="http://schemas.openxmlformats.org/officeDocument/2006/relationships/hyperlink" Target="#&#21487;&#24314;&#36896;"/><Relationship Id="rId3" Type="http://schemas.openxmlformats.org/officeDocument/2006/relationships/hyperlink" Target="#&#22270;&#20687;"/><Relationship Id="rId4" Type="http://schemas.openxmlformats.org/officeDocument/2006/relationships/hyperlink" Target="#&#25915;&#20987;"/><Relationship Id="rId5" Type="http://schemas.openxmlformats.org/officeDocument/2006/relationships/hyperlink" Target="#&#28846;&#22612;"/><Relationship Id="rId6" Type="http://schemas.openxmlformats.org/officeDocument/2006/relationships/hyperlink" Target="#&#25243;&#23556;&#20307;"/><Relationship Id="rId7" Type="http://schemas.openxmlformats.org/officeDocument/2006/relationships/hyperlink" Target="#&#36816;&#21160;"/><Relationship Id="rId8" Type="http://schemas.openxmlformats.org/officeDocument/2006/relationships/hyperlink" Target="#AI"/><Relationship Id="rId9" Type="http://schemas.openxmlformats.org/officeDocument/2006/relationships/hyperlink" Target="#&#33151;&#33050;&#33011;&#33162;"/><Relationship Id="rId10" Type="http://schemas.openxmlformats.org/officeDocument/2006/relationships/hyperlink" Target="#&#38468;&#23646;"/><Relationship Id="rId11" Type="http://schemas.openxmlformats.org/officeDocument/2006/relationships/hyperlink" Target="#&#25928;&#26524;"/><Relationship Id="rId12" Type="http://schemas.openxmlformats.org/officeDocument/2006/relationships/hyperlink" Target="#&#21160;&#30011;"/><Relationship Id="rId13" Type="http://schemas.openxmlformats.org/officeDocument/2006/relationships/hyperlink" Target="#&#34892;&#21160;&#38544;&#34255;&#34892;&#21160;"/><Relationship Id="rId14" Type="http://schemas.openxmlformats.org/officeDocument/2006/relationships/hyperlink" Target="#&#29983;&#25104;&#21333;&#20301;"/><Relationship Id="rId15" Type="http://schemas.openxmlformats.org/officeDocument/2006/relationships/hyperlink" Target="#&#29983;&#25104;&#25243;&#23556;&#20307;"/><Relationship Id="rId16" Type="http://schemas.openxmlformats.org/officeDocument/2006/relationships/hyperlink" Target="#&#36923;&#36753;"/><Relationship Id="rId17" Type="http://schemas.openxmlformats.org/officeDocument/2006/relationships/hyperlink" Target="#&#25918;&#32622;&#35268;&#21017;"/><Relationship Id="rId18" Type="http://schemas.openxmlformats.org/officeDocument/2006/relationships/hyperlink" Target="#&#20840;&#23616;&#36164;&#28304;"/><Relationship Id="rId19" Type="http://schemas.openxmlformats.org/officeDocument/2006/relationships/hyperlink" Target="#&#23616;&#37096;&#36164;&#28304;"/><Relationship Id="rId20" Type="http://schemas.openxmlformats.org/officeDocument/2006/relationships/hyperlink" Target="#&#36148;&#22270;&#36148;&#33457;"/><Relationship Id="rId21" Type="http://schemas.openxmlformats.org/officeDocument/2006/relationships/hyperlink" Target="#&#27169;&#26495;"/><Relationship Id="rId22" Type="http://schemas.openxmlformats.org/officeDocument/2006/relationships/hyperlink" Target="#&#27880;&#37322;"/><Relationship Id="rId23" Type="http://schemas.openxmlformats.org/officeDocument/2006/relationships/hyperlink" Target="#&#20215;&#26684;&#36164;&#28304;"/><Relationship Id="rId24" Type="http://schemas.openxmlformats.org/officeDocument/2006/relationships/hyperlink" Target="#&#21442;&#32771;&#20540;!A1"/><Relationship Id="rId25" Type="http://schemas.openxmlformats.org/officeDocument/2006/relationships/hyperlink" Target="#&#20854;&#20182;!A1"/><Relationship Id="rId26" Type="http://schemas.openxmlformats.org/officeDocument/2006/relationships/hyperlink" Target="#&#21333;&#20301;&#20195;&#30721;!$B$1361"/></Relationships>
</file>

<file path=xl/drawings/_rels/drawing2.xml.rels><?xml version="1.0" encoding="UTF-8" standalone="yes"?>
<Relationships xmlns="http://schemas.openxmlformats.org/package/2006/relationships"><Relationship Id="rId1" Type="http://schemas.openxmlformats.org/officeDocument/2006/relationships/hyperlink" Target="#&#22270;&#23618;&#20449;&#24687;"/><Relationship Id="rId2" Type="http://schemas.openxmlformats.org/officeDocument/2006/relationships/hyperlink" Target="#&#22320;&#22359;&#31867;&#22411;"/><Relationship Id="rId3" Type="http://schemas.openxmlformats.org/officeDocument/2006/relationships/hyperlink" Target="#&#22320;&#22270;&#20449;&#24687;"/><Relationship Id="rId4" Type="http://schemas.openxmlformats.org/officeDocument/2006/relationships/hyperlink" Target="#&#29609;&#23478;&#25511;&#21046;"/><Relationship Id="rId5" Type="http://schemas.openxmlformats.org/officeDocument/2006/relationships/hyperlink" Target="#&#35302;&#21457;&#25511;&#21046;"/><Relationship Id="rId6" Type="http://schemas.openxmlformats.org/officeDocument/2006/relationships/hyperlink" Target="#&#26631;&#31614;&#26816;&#27979;"/><Relationship Id="rId7" Type="http://schemas.openxmlformats.org/officeDocument/2006/relationships/hyperlink" Target="#&#36816;&#21160;&#25511;&#21046;"/><Relationship Id="rId8" Type="http://schemas.openxmlformats.org/officeDocument/2006/relationships/hyperlink" Target="#&#21333;&#20301;&#26816;&#27979;"/><Relationship Id="rId9" Type="http://schemas.openxmlformats.org/officeDocument/2006/relationships/hyperlink" Target="#&#28155;&#21152;&#25110;&#21024;&#38500;&#21333;&#20301;"/><Relationship Id="rId10" Type="http://schemas.openxmlformats.org/officeDocument/2006/relationships/hyperlink" Target="#&#22320;&#22270;&#25991;&#26412;"/><Relationship Id="rId11" Type="http://schemas.openxmlformats.org/officeDocument/2006/relationships/hyperlink" Target="#&#25511;&#21046;&#38236;&#22836;"/><Relationship Id="rId12" Type="http://schemas.openxmlformats.org/officeDocument/2006/relationships/hyperlink" Target="#&#26410;&#30693;&#22788;&#29702;&#27719;&#24635;"/><Relationship Id="rId13" Type="http://schemas.openxmlformats.org/officeDocument/2006/relationships/hyperlink" Target="#&#20462;&#25913;&#36164;&#37329;"/><Relationship Id="rId14" Type="http://schemas.openxmlformats.org/officeDocument/2006/relationships/hyperlink" Target="#&#22320;&#22270;&#20195;&#30721;!$B$150"/></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1103109</xdr:colOff>
      <xdr:row>1</xdr:row>
      <xdr:rowOff>0</xdr:rowOff>
    </xdr:to>
    <xdr:sp macro="" textlink="">
      <xdr:nvSpPr>
        <xdr:cNvPr id="2" name=" ">
          <a:hlinkClick xmlns:r="http://schemas.openxmlformats.org/officeDocument/2006/relationships" r:id="rId1"/>
        </xdr:cNvPr>
        <xdr:cNvSpPr txBox="1"/>
      </xdr:nvSpPr>
      <xdr:spPr>
        <a:xfrm>
          <a:off x="123825" y="0"/>
          <a:ext cx="1132840" cy="419100"/>
        </a:xfrm>
        <a:prstGeom prst="rect">
          <a:avLst/>
        </a:prstGeom>
        <a:solidFill>
          <a:srgbClr val="98cc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核心</a:t>
          </a:r>
        </a:p>
      </xdr:txBody>
    </xdr:sp>
    <xdr:clientData/>
  </xdr:twoCellAnchor>
  <xdr:twoCellAnchor>
    <xdr:from>
      <xdr:col>1</xdr:col>
      <xdr:colOff>1103109</xdr:colOff>
      <xdr:row>0</xdr:row>
      <xdr:rowOff>0</xdr:rowOff>
    </xdr:from>
    <xdr:to>
      <xdr:col>1</xdr:col>
      <xdr:colOff>2417051</xdr:colOff>
      <xdr:row>1</xdr:row>
      <xdr:rowOff>0</xdr:rowOff>
    </xdr:to>
    <xdr:sp macro="" textlink="">
      <xdr:nvSpPr>
        <xdr:cNvPr id="3" name=" ">
          <a:hlinkClick xmlns:r="http://schemas.openxmlformats.org/officeDocument/2006/relationships" r:id="rId2"/>
        </xdr:cNvPr>
        <xdr:cNvSpPr txBox="1"/>
      </xdr:nvSpPr>
      <xdr:spPr>
        <a:xfrm>
          <a:off x="1256665" y="0"/>
          <a:ext cx="1287780" cy="419100"/>
        </a:xfrm>
        <a:prstGeom prst="rect">
          <a:avLst/>
        </a:prstGeom>
        <a:solidFill>
          <a:srgbClr val="8bb2e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可建造</a:t>
          </a:r>
        </a:p>
      </xdr:txBody>
    </xdr:sp>
    <xdr:clientData/>
  </xdr:twoCellAnchor>
  <xdr:twoCellAnchor>
    <xdr:from>
      <xdr:col>1</xdr:col>
      <xdr:colOff>2417051</xdr:colOff>
      <xdr:row>0</xdr:row>
      <xdr:rowOff>0</xdr:rowOff>
    </xdr:from>
    <xdr:to>
      <xdr:col>1</xdr:col>
      <xdr:colOff>3610517</xdr:colOff>
      <xdr:row>1</xdr:row>
      <xdr:rowOff>0</xdr:rowOff>
    </xdr:to>
    <xdr:sp macro="" textlink="">
      <xdr:nvSpPr>
        <xdr:cNvPr id="4" name=" ">
          <a:hlinkClick xmlns:r="http://schemas.openxmlformats.org/officeDocument/2006/relationships" r:id="rId3"/>
        </xdr:cNvPr>
        <xdr:cNvSpPr txBox="1"/>
      </xdr:nvSpPr>
      <xdr:spPr>
        <a:xfrm>
          <a:off x="2544445" y="0"/>
          <a:ext cx="932180" cy="419100"/>
        </a:xfrm>
        <a:prstGeom prst="rect">
          <a:avLst/>
        </a:prstGeom>
        <a:solidFill>
          <a:srgbClr val="ffff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图像</a:t>
          </a:r>
        </a:p>
      </xdr:txBody>
    </xdr:sp>
    <xdr:clientData/>
  </xdr:twoCellAnchor>
  <xdr:twoCellAnchor>
    <xdr:from>
      <xdr:col>1</xdr:col>
      <xdr:colOff>3610517</xdr:colOff>
      <xdr:row>0</xdr:row>
      <xdr:rowOff>0</xdr:rowOff>
    </xdr:from>
    <xdr:to>
      <xdr:col>2</xdr:col>
      <xdr:colOff>812648</xdr:colOff>
      <xdr:row>1</xdr:row>
      <xdr:rowOff>0</xdr:rowOff>
    </xdr:to>
    <xdr:sp macro="" textlink="">
      <xdr:nvSpPr>
        <xdr:cNvPr id="5" name=" ">
          <a:hlinkClick xmlns:r="http://schemas.openxmlformats.org/officeDocument/2006/relationships" r:id="rId4"/>
        </xdr:cNvPr>
        <xdr:cNvSpPr txBox="1"/>
      </xdr:nvSpPr>
      <xdr:spPr>
        <a:xfrm>
          <a:off x="3476625" y="0"/>
          <a:ext cx="815975" cy="419100"/>
        </a:xfrm>
        <a:prstGeom prst="rect">
          <a:avLst/>
        </a:prstGeom>
        <a:solidFill>
          <a:srgbClr val="ff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攻击</a:t>
          </a:r>
        </a:p>
      </xdr:txBody>
    </xdr:sp>
    <xdr:clientData/>
  </xdr:twoCellAnchor>
  <xdr:twoCellAnchor>
    <xdr:from>
      <xdr:col>2</xdr:col>
      <xdr:colOff>812648</xdr:colOff>
      <xdr:row>0</xdr:row>
      <xdr:rowOff>0</xdr:rowOff>
    </xdr:from>
    <xdr:to>
      <xdr:col>2</xdr:col>
      <xdr:colOff>1842002</xdr:colOff>
      <xdr:row>1</xdr:row>
      <xdr:rowOff>0</xdr:rowOff>
    </xdr:to>
    <xdr:sp macro="" textlink="">
      <xdr:nvSpPr>
        <xdr:cNvPr id="6" name=" ">
          <a:hlinkClick xmlns:r="http://schemas.openxmlformats.org/officeDocument/2006/relationships" r:id="rId5"/>
        </xdr:cNvPr>
        <xdr:cNvSpPr txBox="1"/>
      </xdr:nvSpPr>
      <xdr:spPr>
        <a:xfrm flipH="1">
          <a:off x="4292600" y="0"/>
          <a:ext cx="1029335" cy="419100"/>
        </a:xfrm>
        <a:prstGeom prst="rect">
          <a:avLst/>
        </a:prstGeom>
        <a:solidFill>
          <a:srgbClr val="e26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炮塔</a:t>
          </a:r>
        </a:p>
      </xdr:txBody>
    </xdr:sp>
    <xdr:clientData/>
  </xdr:twoCellAnchor>
  <xdr:twoCellAnchor>
    <xdr:from>
      <xdr:col>2</xdr:col>
      <xdr:colOff>1842002</xdr:colOff>
      <xdr:row>0</xdr:row>
      <xdr:rowOff>0</xdr:rowOff>
    </xdr:from>
    <xdr:to>
      <xdr:col>2</xdr:col>
      <xdr:colOff>3064360</xdr:colOff>
      <xdr:row>1</xdr:row>
      <xdr:rowOff>0</xdr:rowOff>
    </xdr:to>
    <xdr:sp macro="" textlink="">
      <xdr:nvSpPr>
        <xdr:cNvPr id="7" name=" ">
          <a:hlinkClick xmlns:r="http://schemas.openxmlformats.org/officeDocument/2006/relationships" r:id="rId6"/>
        </xdr:cNvPr>
        <xdr:cNvSpPr txBox="1"/>
      </xdr:nvSpPr>
      <xdr:spPr>
        <a:xfrm>
          <a:off x="5321935" y="0"/>
          <a:ext cx="1170305" cy="419100"/>
        </a:xfrm>
        <a:prstGeom prst="rect">
          <a:avLst/>
        </a:prstGeom>
        <a:solidFill>
          <a:srgbClr val="ffc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抛射体</a:t>
          </a:r>
        </a:p>
      </xdr:txBody>
    </xdr:sp>
    <xdr:clientData/>
  </xdr:twoCellAnchor>
  <xdr:twoCellAnchor>
    <xdr:from>
      <xdr:col>2</xdr:col>
      <xdr:colOff>3064360</xdr:colOff>
      <xdr:row>0</xdr:row>
      <xdr:rowOff>0</xdr:rowOff>
    </xdr:from>
    <xdr:to>
      <xdr:col>3</xdr:col>
      <xdr:colOff>553200</xdr:colOff>
      <xdr:row>1</xdr:row>
      <xdr:rowOff>0</xdr:rowOff>
    </xdr:to>
    <xdr:sp macro="" textlink="">
      <xdr:nvSpPr>
        <xdr:cNvPr id="8" name=" ">
          <a:hlinkClick xmlns:r="http://schemas.openxmlformats.org/officeDocument/2006/relationships" r:id="rId7"/>
        </xdr:cNvPr>
        <xdr:cNvSpPr txBox="1"/>
      </xdr:nvSpPr>
      <xdr:spPr>
        <a:xfrm>
          <a:off x="6492240" y="0"/>
          <a:ext cx="843915" cy="419100"/>
        </a:xfrm>
        <a:prstGeom prst="rect">
          <a:avLst/>
        </a:prstGeom>
        <a:solidFill>
          <a:srgbClr val="b2a1c7"/>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运动</a:t>
          </a:r>
        </a:p>
      </xdr:txBody>
    </xdr:sp>
    <xdr:clientData/>
  </xdr:twoCellAnchor>
  <xdr:twoCellAnchor>
    <xdr:from>
      <xdr:col>3</xdr:col>
      <xdr:colOff>553200</xdr:colOff>
      <xdr:row>0</xdr:row>
      <xdr:rowOff>0</xdr:rowOff>
    </xdr:from>
    <xdr:to>
      <xdr:col>3</xdr:col>
      <xdr:colOff>1543137</xdr:colOff>
      <xdr:row>1</xdr:row>
      <xdr:rowOff>0</xdr:rowOff>
    </xdr:to>
    <xdr:sp macro="" textlink="">
      <xdr:nvSpPr>
        <xdr:cNvPr id="9" name=" ">
          <a:hlinkClick xmlns:r="http://schemas.openxmlformats.org/officeDocument/2006/relationships" r:id="rId8"/>
        </xdr:cNvPr>
        <xdr:cNvSpPr txBox="1"/>
      </xdr:nvSpPr>
      <xdr:spPr>
        <a:xfrm>
          <a:off x="7336155" y="0"/>
          <a:ext cx="844550" cy="419100"/>
        </a:xfrm>
        <a:prstGeom prst="rect">
          <a:avLst/>
        </a:prstGeom>
        <a:solidFill>
          <a:srgbClr val="008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AI</a:t>
          </a:r>
        </a:p>
      </xdr:txBody>
    </xdr:sp>
    <xdr:clientData/>
  </xdr:twoCellAnchor>
  <xdr:twoCellAnchor>
    <xdr:from>
      <xdr:col>3</xdr:col>
      <xdr:colOff>1543137</xdr:colOff>
      <xdr:row>0</xdr:row>
      <xdr:rowOff>0</xdr:rowOff>
    </xdr:from>
    <xdr:to>
      <xdr:col>3</xdr:col>
      <xdr:colOff>3231853</xdr:colOff>
      <xdr:row>1</xdr:row>
      <xdr:rowOff>0</xdr:rowOff>
    </xdr:to>
    <xdr:sp macro="" textlink="">
      <xdr:nvSpPr>
        <xdr:cNvPr id="10" name=" ">
          <a:hlinkClick xmlns:r="http://schemas.openxmlformats.org/officeDocument/2006/relationships" r:id="rId9"/>
        </xdr:cNvPr>
        <xdr:cNvSpPr txBox="1"/>
      </xdr:nvSpPr>
      <xdr:spPr>
        <a:xfrm>
          <a:off x="9153641" y="0"/>
          <a:ext cx="1572062" cy="419047"/>
        </a:xfrm>
        <a:prstGeom prst="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腿脚/胳膊</a:t>
          </a:r>
        </a:p>
      </xdr:txBody>
    </xdr:sp>
    <xdr:clientData/>
  </xdr:twoCellAnchor>
  <xdr:twoCellAnchor>
    <xdr:from>
      <xdr:col>3</xdr:col>
      <xdr:colOff>3231853</xdr:colOff>
      <xdr:row>0</xdr:row>
      <xdr:rowOff>0</xdr:rowOff>
    </xdr:from>
    <xdr:to>
      <xdr:col>3</xdr:col>
      <xdr:colOff>4367369</xdr:colOff>
      <xdr:row>1</xdr:row>
      <xdr:rowOff>0</xdr:rowOff>
    </xdr:to>
    <xdr:sp macro="" textlink="">
      <xdr:nvSpPr>
        <xdr:cNvPr id="11" name=" ">
          <a:hlinkClick xmlns:r="http://schemas.openxmlformats.org/officeDocument/2006/relationships" r:id="rId10"/>
        </xdr:cNvPr>
        <xdr:cNvSpPr txBox="1"/>
      </xdr:nvSpPr>
      <xdr:spPr>
        <a:xfrm>
          <a:off x="10711100" y="0"/>
          <a:ext cx="1150475" cy="419047"/>
        </a:xfrm>
        <a:prstGeom prst="rect">
          <a:avLst/>
        </a:prstGeom>
        <a:solidFill>
          <a:srgbClr val="938553"/>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附属</a:t>
          </a:r>
        </a:p>
      </xdr:txBody>
    </xdr:sp>
    <xdr:clientData/>
  </xdr:twoCellAnchor>
  <xdr:twoCellAnchor>
    <xdr:from>
      <xdr:col>3</xdr:col>
      <xdr:colOff>4367369</xdr:colOff>
      <xdr:row>0</xdr:row>
      <xdr:rowOff>0</xdr:rowOff>
    </xdr:from>
    <xdr:to>
      <xdr:col>3</xdr:col>
      <xdr:colOff>5211727</xdr:colOff>
      <xdr:row>1</xdr:row>
      <xdr:rowOff>0</xdr:rowOff>
    </xdr:to>
    <xdr:sp macro="" textlink="">
      <xdr:nvSpPr>
        <xdr:cNvPr id="12" name=" ">
          <a:hlinkClick xmlns:r="http://schemas.openxmlformats.org/officeDocument/2006/relationships" r:id="rId11"/>
        </xdr:cNvPr>
        <xdr:cNvSpPr txBox="1"/>
      </xdr:nvSpPr>
      <xdr:spPr>
        <a:xfrm>
          <a:off x="11846972" y="0"/>
          <a:ext cx="844444" cy="419047"/>
        </a:xfrm>
        <a:prstGeom prst="rect">
          <a:avLst/>
        </a:prstGeom>
        <a:solidFill>
          <a:srgbClr val="e26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效果</a:t>
          </a:r>
        </a:p>
      </xdr:txBody>
    </xdr:sp>
    <xdr:clientData/>
  </xdr:twoCellAnchor>
  <xdr:twoCellAnchor>
    <xdr:from>
      <xdr:col>3</xdr:col>
      <xdr:colOff>5197169</xdr:colOff>
      <xdr:row>0</xdr:row>
      <xdr:rowOff>0</xdr:rowOff>
    </xdr:from>
    <xdr:to>
      <xdr:col>3</xdr:col>
      <xdr:colOff>6041527</xdr:colOff>
      <xdr:row>1</xdr:row>
      <xdr:rowOff>0</xdr:rowOff>
    </xdr:to>
    <xdr:sp macro="" textlink="">
      <xdr:nvSpPr>
        <xdr:cNvPr id="13" name=" ">
          <a:hlinkClick xmlns:r="http://schemas.openxmlformats.org/officeDocument/2006/relationships" r:id="rId12"/>
        </xdr:cNvPr>
        <xdr:cNvSpPr txBox="1"/>
      </xdr:nvSpPr>
      <xdr:spPr>
        <a:xfrm>
          <a:off x="12676812" y="0"/>
          <a:ext cx="844444" cy="419047"/>
        </a:xfrm>
        <a:prstGeom prst="rect">
          <a:avLst/>
        </a:prstGeom>
        <a:solidFill>
          <a:srgbClr val="6f64a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动画</a:t>
          </a:r>
        </a:p>
      </xdr:txBody>
    </xdr:sp>
    <xdr:clientData/>
  </xdr:twoCellAnchor>
  <xdr:twoCellAnchor>
    <xdr:from>
      <xdr:col>3</xdr:col>
      <xdr:colOff>5939622</xdr:colOff>
      <xdr:row>0</xdr:row>
      <xdr:rowOff>0</xdr:rowOff>
    </xdr:from>
    <xdr:to>
      <xdr:col>3</xdr:col>
      <xdr:colOff>7977727</xdr:colOff>
      <xdr:row>1</xdr:row>
      <xdr:rowOff>0</xdr:rowOff>
    </xdr:to>
    <xdr:sp macro="" textlink="">
      <xdr:nvSpPr>
        <xdr:cNvPr id="14" name=" ">
          <a:hlinkClick xmlns:r="http://schemas.openxmlformats.org/officeDocument/2006/relationships" r:id="rId13"/>
        </xdr:cNvPr>
        <xdr:cNvSpPr txBox="1"/>
      </xdr:nvSpPr>
      <xdr:spPr>
        <a:xfrm>
          <a:off x="13492050" y="0"/>
          <a:ext cx="1965077" cy="419047"/>
        </a:xfrm>
        <a:prstGeom prst="rect">
          <a:avLst/>
        </a:prstGeom>
        <a:solidFill>
          <a:srgbClr val="00419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行动/隐藏行动</a:t>
          </a:r>
        </a:p>
      </xdr:txBody>
    </xdr:sp>
    <xdr:clientData/>
  </xdr:twoCellAnchor>
  <xdr:twoCellAnchor>
    <xdr:from>
      <xdr:col>3</xdr:col>
      <xdr:colOff>7963169</xdr:colOff>
      <xdr:row>0</xdr:row>
      <xdr:rowOff>0</xdr:rowOff>
    </xdr:from>
    <xdr:to>
      <xdr:col>3</xdr:col>
      <xdr:colOff>9317054</xdr:colOff>
      <xdr:row>1</xdr:row>
      <xdr:rowOff>0</xdr:rowOff>
    </xdr:to>
    <xdr:sp macro="" textlink="">
      <xdr:nvSpPr>
        <xdr:cNvPr id="15" name=" ">
          <a:hlinkClick xmlns:r="http://schemas.openxmlformats.org/officeDocument/2006/relationships" r:id="rId14"/>
        </xdr:cNvPr>
        <xdr:cNvSpPr txBox="1"/>
      </xdr:nvSpPr>
      <xdr:spPr>
        <a:xfrm>
          <a:off x="15442524" y="0"/>
          <a:ext cx="1354284" cy="419047"/>
        </a:xfrm>
        <a:prstGeom prst="rect">
          <a:avLst/>
        </a:prstGeom>
        <a:solidFill>
          <a:srgbClr val="a5a5a5"/>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生成单位</a:t>
          </a:r>
        </a:p>
      </xdr:txBody>
    </xdr:sp>
    <xdr:clientData/>
  </xdr:twoCellAnchor>
  <xdr:twoCellAnchor>
    <xdr:from>
      <xdr:col>3</xdr:col>
      <xdr:colOff>9317054</xdr:colOff>
      <xdr:row>0</xdr:row>
      <xdr:rowOff>0</xdr:rowOff>
    </xdr:from>
    <xdr:to>
      <xdr:col>3</xdr:col>
      <xdr:colOff>10962096</xdr:colOff>
      <xdr:row>1</xdr:row>
      <xdr:rowOff>0</xdr:rowOff>
    </xdr:to>
    <xdr:sp macro="" textlink="">
      <xdr:nvSpPr>
        <xdr:cNvPr id="16" name=" ">
          <a:hlinkClick xmlns:r="http://schemas.openxmlformats.org/officeDocument/2006/relationships" r:id="rId15"/>
        </xdr:cNvPr>
        <xdr:cNvSpPr txBox="1"/>
      </xdr:nvSpPr>
      <xdr:spPr>
        <a:xfrm>
          <a:off x="16796808" y="0"/>
          <a:ext cx="1645078" cy="419047"/>
        </a:xfrm>
        <a:prstGeom prst="rect">
          <a:avLst/>
        </a:prstGeom>
        <a:solidFill>
          <a:srgbClr val="a5a5a5"/>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生成抛射体</a:t>
          </a:r>
        </a:p>
      </xdr:txBody>
    </xdr:sp>
    <xdr:clientData/>
  </xdr:twoCellAnchor>
  <xdr:twoCellAnchor>
    <xdr:from>
      <xdr:col>3</xdr:col>
      <xdr:colOff>10947538</xdr:colOff>
      <xdr:row>0</xdr:row>
      <xdr:rowOff>0</xdr:rowOff>
    </xdr:from>
    <xdr:to>
      <xdr:col>3</xdr:col>
      <xdr:colOff>11850128</xdr:colOff>
      <xdr:row>1</xdr:row>
      <xdr:rowOff>0</xdr:rowOff>
    </xdr:to>
    <xdr:sp macro="" textlink="">
      <xdr:nvSpPr>
        <xdr:cNvPr id="17" name=" ">
          <a:hlinkClick xmlns:r="http://schemas.openxmlformats.org/officeDocument/2006/relationships" r:id="rId16"/>
        </xdr:cNvPr>
        <xdr:cNvSpPr txBox="1"/>
      </xdr:nvSpPr>
      <xdr:spPr>
        <a:xfrm>
          <a:off x="18427282" y="0"/>
          <a:ext cx="902222" cy="419047"/>
        </a:xfrm>
        <a:prstGeom prst="rect">
          <a:avLst/>
        </a:prstGeom>
        <a:solidFill>
          <a:srgbClr val="fe00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逻辑</a:t>
          </a:r>
        </a:p>
      </xdr:txBody>
    </xdr:sp>
    <xdr:clientData/>
  </xdr:twoCellAnchor>
  <xdr:twoCellAnchor>
    <xdr:from>
      <xdr:col>3</xdr:col>
      <xdr:colOff>11835570</xdr:colOff>
      <xdr:row>0</xdr:row>
      <xdr:rowOff>0</xdr:rowOff>
    </xdr:from>
    <xdr:to>
      <xdr:col>3</xdr:col>
      <xdr:colOff>13145781</xdr:colOff>
      <xdr:row>1</xdr:row>
      <xdr:rowOff>0</xdr:rowOff>
    </xdr:to>
    <xdr:sp macro="" textlink="">
      <xdr:nvSpPr>
        <xdr:cNvPr id="18" name=" ">
          <a:hlinkClick xmlns:r="http://schemas.openxmlformats.org/officeDocument/2006/relationships" r:id="rId17"/>
        </xdr:cNvPr>
        <xdr:cNvSpPr txBox="1"/>
      </xdr:nvSpPr>
      <xdr:spPr>
        <a:xfrm>
          <a:off x="19314900" y="0"/>
          <a:ext cx="1310476" cy="419047"/>
        </a:xfrm>
        <a:prstGeom prst="rect">
          <a:avLst/>
        </a:prstGeom>
        <a:solidFill>
          <a:srgbClr val="938553"/>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放置规则</a:t>
          </a:r>
        </a:p>
      </xdr:txBody>
    </xdr:sp>
    <xdr:clientData/>
  </xdr:twoCellAnchor>
  <xdr:twoCellAnchor>
    <xdr:from>
      <xdr:col>4</xdr:col>
      <xdr:colOff>0</xdr:colOff>
      <xdr:row>0</xdr:row>
      <xdr:rowOff>0</xdr:rowOff>
    </xdr:from>
    <xdr:to>
      <xdr:col>4</xdr:col>
      <xdr:colOff>1548649</xdr:colOff>
      <xdr:row>1</xdr:row>
      <xdr:rowOff>0</xdr:rowOff>
    </xdr:to>
    <xdr:sp macro="" textlink="">
      <xdr:nvSpPr>
        <xdr:cNvPr id="19" name=" ">
          <a:hlinkClick xmlns:r="http://schemas.openxmlformats.org/officeDocument/2006/relationships" r:id="rId18"/>
        </xdr:cNvPr>
        <xdr:cNvSpPr txBox="1"/>
      </xdr:nvSpPr>
      <xdr:spPr>
        <a:xfrm>
          <a:off x="22407596" y="0"/>
          <a:ext cx="1613966" cy="419047"/>
        </a:xfrm>
        <a:prstGeom prst="rect">
          <a:avLst/>
        </a:prstGeom>
        <a:solidFill>
          <a:srgbClr val="ff00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全局资源</a:t>
          </a:r>
        </a:p>
      </xdr:txBody>
    </xdr:sp>
    <xdr:clientData/>
  </xdr:twoCellAnchor>
  <xdr:twoCellAnchor>
    <xdr:from>
      <xdr:col>4</xdr:col>
      <xdr:colOff>1480038</xdr:colOff>
      <xdr:row>0</xdr:row>
      <xdr:rowOff>0</xdr:rowOff>
    </xdr:from>
    <xdr:to>
      <xdr:col>4</xdr:col>
      <xdr:colOff>2842457</xdr:colOff>
      <xdr:row>1</xdr:row>
      <xdr:rowOff>0</xdr:rowOff>
    </xdr:to>
    <xdr:sp macro="" textlink="">
      <xdr:nvSpPr>
        <xdr:cNvPr id="20" name=" ">
          <a:hlinkClick xmlns:r="http://schemas.openxmlformats.org/officeDocument/2006/relationships" r:id="rId19"/>
        </xdr:cNvPr>
        <xdr:cNvSpPr txBox="1"/>
      </xdr:nvSpPr>
      <xdr:spPr>
        <a:xfrm>
          <a:off x="23986008" y="0"/>
          <a:ext cx="1340950" cy="419047"/>
        </a:xfrm>
        <a:prstGeom prst="rect">
          <a:avLst/>
        </a:prstGeom>
        <a:solidFill>
          <a:srgbClr val="ff00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局部资源</a:t>
          </a:r>
        </a:p>
      </xdr:txBody>
    </xdr:sp>
    <xdr:clientData/>
  </xdr:twoCellAnchor>
  <xdr:twoCellAnchor>
    <xdr:from>
      <xdr:col>4</xdr:col>
      <xdr:colOff>2773846</xdr:colOff>
      <xdr:row>0</xdr:row>
      <xdr:rowOff>0</xdr:rowOff>
    </xdr:from>
    <xdr:to>
      <xdr:col>4</xdr:col>
      <xdr:colOff>3587377</xdr:colOff>
      <xdr:row>1</xdr:row>
      <xdr:rowOff>0</xdr:rowOff>
    </xdr:to>
    <xdr:sp macro="" textlink="">
      <xdr:nvSpPr>
        <xdr:cNvPr id="21" name=" ">
          <a:hlinkClick xmlns:r="http://schemas.openxmlformats.org/officeDocument/2006/relationships" r:id="rId20"/>
        </xdr:cNvPr>
        <xdr:cNvSpPr txBox="1"/>
      </xdr:nvSpPr>
      <xdr:spPr>
        <a:xfrm>
          <a:off x="25291402" y="0"/>
          <a:ext cx="850158" cy="419047"/>
        </a:xfrm>
        <a:prstGeom prst="rect">
          <a:avLst/>
        </a:prstGeom>
        <a:solidFill>
          <a:srgbClr val="fe63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贴花</a:t>
          </a:r>
        </a:p>
      </xdr:txBody>
    </xdr:sp>
    <xdr:clientData/>
  </xdr:twoCellAnchor>
  <xdr:twoCellAnchor>
    <xdr:from>
      <xdr:col>4</xdr:col>
      <xdr:colOff>3587377</xdr:colOff>
      <xdr:row>0</xdr:row>
      <xdr:rowOff>0</xdr:rowOff>
    </xdr:from>
    <xdr:to>
      <xdr:col>4</xdr:col>
      <xdr:colOff>4577336</xdr:colOff>
      <xdr:row>1</xdr:row>
      <xdr:rowOff>0</xdr:rowOff>
    </xdr:to>
    <xdr:sp macro="" textlink="">
      <xdr:nvSpPr>
        <xdr:cNvPr id="22" name=" ">
          <a:hlinkClick xmlns:r="http://schemas.openxmlformats.org/officeDocument/2006/relationships" r:id="rId21"/>
        </xdr:cNvPr>
        <xdr:cNvSpPr txBox="1"/>
      </xdr:nvSpPr>
      <xdr:spPr>
        <a:xfrm>
          <a:off x="23195280" y="0"/>
          <a:ext cx="767080" cy="419100"/>
        </a:xfrm>
        <a:prstGeom prst="rect">
          <a:avLst/>
        </a:prstGeom>
        <a:solidFill>
          <a:srgbClr val="00245d"/>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模板</a:t>
          </a:r>
        </a:p>
      </xdr:txBody>
    </xdr:sp>
    <xdr:clientData/>
  </xdr:twoCellAnchor>
  <xdr:twoCellAnchor>
    <xdr:from>
      <xdr:col>4</xdr:col>
      <xdr:colOff>4533229</xdr:colOff>
      <xdr:row>0</xdr:row>
      <xdr:rowOff>0</xdr:rowOff>
    </xdr:from>
    <xdr:to>
      <xdr:col>5</xdr:col>
      <xdr:colOff>468040</xdr:colOff>
      <xdr:row>1</xdr:row>
      <xdr:rowOff>0</xdr:rowOff>
    </xdr:to>
    <xdr:sp macro="" textlink="">
      <xdr:nvSpPr>
        <xdr:cNvPr id="23" name=" ">
          <a:hlinkClick xmlns:r="http://schemas.openxmlformats.org/officeDocument/2006/relationships" r:id="rId22"/>
        </xdr:cNvPr>
        <xdr:cNvSpPr txBox="1"/>
      </xdr:nvSpPr>
      <xdr:spPr>
        <a:xfrm>
          <a:off x="23962360" y="0"/>
          <a:ext cx="478156" cy="419100"/>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注释</a:t>
          </a:r>
        </a:p>
      </xdr:txBody>
    </xdr:sp>
    <xdr:clientData/>
  </xdr:twoCellAnchor>
  <xdr:twoCellAnchor>
    <xdr:from>
      <xdr:col>3</xdr:col>
      <xdr:colOff>13072991</xdr:colOff>
      <xdr:row>0</xdr:row>
      <xdr:rowOff>0</xdr:rowOff>
    </xdr:from>
    <xdr:to>
      <xdr:col>4</xdr:col>
      <xdr:colOff>0</xdr:colOff>
      <xdr:row>1</xdr:row>
      <xdr:rowOff>0</xdr:rowOff>
    </xdr:to>
    <xdr:sp macro="" textlink="">
      <xdr:nvSpPr>
        <xdr:cNvPr id="24" name=" ">
          <a:hlinkClick xmlns:r="http://schemas.openxmlformats.org/officeDocument/2006/relationships" r:id="rId23"/>
        </xdr:cNvPr>
        <xdr:cNvSpPr txBox="1"/>
      </xdr:nvSpPr>
      <xdr:spPr>
        <a:xfrm>
          <a:off x="20552360" y="6547"/>
          <a:ext cx="1890792" cy="418427"/>
        </a:xfrm>
        <a:prstGeom prst="rect">
          <a:avLst/>
        </a:prstGeom>
        <a:solidFill>
          <a:srgbClr val="944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价格&amp;内置</a:t>
          </a:r>
        </a:p>
      </xdr:txBody>
    </xdr:sp>
    <xdr:clientData/>
  </xdr:twoCellAnchor>
  <xdr:twoCellAnchor>
    <xdr:from>
      <xdr:col>3</xdr:col>
      <xdr:colOff>844358</xdr:colOff>
      <xdr:row>1</xdr:row>
      <xdr:rowOff>0</xdr:rowOff>
    </xdr:from>
    <xdr:to>
      <xdr:col>3</xdr:col>
      <xdr:colOff>4221790</xdr:colOff>
      <xdr:row>2</xdr:row>
      <xdr:rowOff>0</xdr:rowOff>
    </xdr:to>
    <xdr:sp macro="" textlink="">
      <xdr:nvSpPr>
        <xdr:cNvPr id="25" name=" ">
          <a:hlinkClick xmlns:r="http://schemas.openxmlformats.org/officeDocument/2006/relationships" r:id="rId24"/>
        </xdr:cNvPr>
        <xdr:cNvSpPr txBox="1"/>
      </xdr:nvSpPr>
      <xdr:spPr>
        <a:xfrm>
          <a:off x="7613015" y="419100"/>
          <a:ext cx="3115310" cy="303530"/>
        </a:xfrm>
        <a:prstGeom prst="rect">
          <a:avLst/>
        </a:prstGeom>
        <a:solidFill>
          <a:srgbClr val="93855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360045" tIns="0" rIns="360045" bIns="0" anchor="ctr"/>
        <a:lstStyle/>
        <a:p>
          <a:pPr algn="ctr"/>
          <a:r>
            <a:rPr lang="en-US" altLang="zh-CN" sz="2000" b="1">
              <a:solidFill>
                <a:srgbClr val="FFFFFF"/>
              </a:solidFill>
              <a:latin typeface="等线" panose="" pitchFamily="0" charset="0"/>
              <a:ea typeface="等线" panose="" pitchFamily="0" charset="0"/>
            </a:rPr>
            <a:t>部分key代码参考值</a:t>
          </a:r>
        </a:p>
      </xdr:txBody>
    </xdr:sp>
    <xdr:clientData/>
  </xdr:twoCellAnchor>
  <xdr:twoCellAnchor>
    <xdr:from>
      <xdr:col>3</xdr:col>
      <xdr:colOff>8661948</xdr:colOff>
      <xdr:row>1</xdr:row>
      <xdr:rowOff>0</xdr:rowOff>
    </xdr:from>
    <xdr:to>
      <xdr:col>3</xdr:col>
      <xdr:colOff>10816517</xdr:colOff>
      <xdr:row>2</xdr:row>
      <xdr:rowOff>0</xdr:rowOff>
    </xdr:to>
    <xdr:sp macro="" textlink="">
      <xdr:nvSpPr>
        <xdr:cNvPr id="26" name=" ">
          <a:hlinkClick xmlns:r="http://schemas.openxmlformats.org/officeDocument/2006/relationships" r:id="rId25"/>
        </xdr:cNvPr>
        <xdr:cNvSpPr txBox="1"/>
      </xdr:nvSpPr>
      <xdr:spPr>
        <a:xfrm>
          <a:off x="15168245" y="419100"/>
          <a:ext cx="2154555" cy="303530"/>
        </a:xfrm>
        <a:prstGeom prst="rect">
          <a:avLst/>
        </a:prstGeom>
        <a:solidFill>
          <a:srgbClr val="93855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360045" tIns="0" rIns="360045" bIns="0" anchor="ctr"/>
        <a:lstStyle/>
        <a:p>
          <a:pPr algn="ctr"/>
          <a:r>
            <a:rPr lang="en-US" altLang="zh-CN" sz="2000" b="1">
              <a:solidFill>
                <a:srgbClr val="FFFFFF"/>
              </a:solidFill>
              <a:latin typeface="等线" panose="" pitchFamily="0" charset="0"/>
              <a:ea typeface="等线" panose="" pitchFamily="0" charset="0"/>
            </a:rPr>
            <a:t>其他知识</a:t>
          </a:r>
        </a:p>
      </xdr:txBody>
    </xdr:sp>
    <xdr:clientData/>
  </xdr:twoCellAnchor>
  <xdr:twoCellAnchor>
    <xdr:from>
      <xdr:col>5</xdr:col>
      <xdr:colOff>468040</xdr:colOff>
      <xdr:row>0</xdr:row>
      <xdr:rowOff>0</xdr:rowOff>
    </xdr:from>
    <xdr:to>
      <xdr:col>5</xdr:col>
      <xdr:colOff>1505479</xdr:colOff>
      <xdr:row>1</xdr:row>
      <xdr:rowOff>0</xdr:rowOff>
    </xdr:to>
    <xdr:sp macro="" textlink="">
      <xdr:nvSpPr>
        <xdr:cNvPr id="27" name=" ">
          <a:hlinkClick xmlns:r="http://schemas.openxmlformats.org/officeDocument/2006/relationships" r:id="rId26"/>
        </xdr:cNvPr>
        <xdr:cNvSpPr txBox="1"/>
      </xdr:nvSpPr>
      <xdr:spPr>
        <a:xfrm>
          <a:off x="24440516" y="0"/>
          <a:ext cx="849628" cy="419100"/>
        </a:xfrm>
        <a:prstGeom prst="rect">
          <a:avLst/>
        </a:prstGeom>
        <a:solidFill>
          <a:srgbClr val="d561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模组</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1019493</xdr:colOff>
      <xdr:row>1</xdr:row>
      <xdr:rowOff>0</xdr:rowOff>
    </xdr:to>
    <xdr:sp macro="" textlink="">
      <xdr:nvSpPr>
        <xdr:cNvPr id="2" name=" ">
          <a:hlinkClick xmlns:r="http://schemas.openxmlformats.org/officeDocument/2006/relationships" r:id="rId1"/>
        </xdr:cNvPr>
        <xdr:cNvSpPr txBox="1"/>
      </xdr:nvSpPr>
      <xdr:spPr>
        <a:xfrm>
          <a:off x="123825" y="0"/>
          <a:ext cx="1043305" cy="317500"/>
        </a:xfrm>
        <a:prstGeom prst="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图层信息</a:t>
          </a:r>
        </a:p>
      </xdr:txBody>
    </xdr:sp>
    <xdr:clientData/>
  </xdr:twoCellAnchor>
  <xdr:twoCellAnchor>
    <xdr:from>
      <xdr:col>1</xdr:col>
      <xdr:colOff>990991</xdr:colOff>
      <xdr:row>0</xdr:row>
      <xdr:rowOff>0</xdr:rowOff>
    </xdr:from>
    <xdr:to>
      <xdr:col>1</xdr:col>
      <xdr:colOff>2087220</xdr:colOff>
      <xdr:row>1</xdr:row>
      <xdr:rowOff>0</xdr:rowOff>
    </xdr:to>
    <xdr:sp macro="" textlink="">
      <xdr:nvSpPr>
        <xdr:cNvPr id="3" name=" ">
          <a:hlinkClick xmlns:r="http://schemas.openxmlformats.org/officeDocument/2006/relationships" r:id="rId2"/>
        </xdr:cNvPr>
        <xdr:cNvSpPr txBox="1"/>
      </xdr:nvSpPr>
      <xdr:spPr>
        <a:xfrm>
          <a:off x="1143000" y="0"/>
          <a:ext cx="933450" cy="317500"/>
        </a:xfrm>
        <a:prstGeom prst="rect">
          <a:avLst/>
        </a:prstGeom>
        <a:solidFill>
          <a:srgbClr val="00b0f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地块类型</a:t>
          </a:r>
        </a:p>
      </xdr:txBody>
    </xdr:sp>
    <xdr:clientData/>
  </xdr:twoCellAnchor>
  <xdr:twoCellAnchor>
    <xdr:from>
      <xdr:col>1</xdr:col>
      <xdr:colOff>2063103</xdr:colOff>
      <xdr:row>0</xdr:row>
      <xdr:rowOff>0</xdr:rowOff>
    </xdr:from>
    <xdr:to>
      <xdr:col>2</xdr:col>
      <xdr:colOff>914255</xdr:colOff>
      <xdr:row>1</xdr:row>
      <xdr:rowOff>0</xdr:rowOff>
    </xdr:to>
    <xdr:sp macro="" textlink="">
      <xdr:nvSpPr>
        <xdr:cNvPr id="4" name=" ">
          <a:hlinkClick xmlns:r="http://schemas.openxmlformats.org/officeDocument/2006/relationships" r:id="rId3"/>
        </xdr:cNvPr>
        <xdr:cNvSpPr txBox="1"/>
      </xdr:nvSpPr>
      <xdr:spPr>
        <a:xfrm>
          <a:off x="2076450" y="0"/>
          <a:ext cx="937895" cy="317500"/>
        </a:xfrm>
        <a:prstGeom prst="rect">
          <a:avLst/>
        </a:prstGeom>
        <a:solidFill>
          <a:srgbClr val="ffc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地图信息</a:t>
          </a:r>
        </a:p>
      </xdr:txBody>
    </xdr:sp>
    <xdr:clientData/>
  </xdr:twoCellAnchor>
  <xdr:twoCellAnchor>
    <xdr:from>
      <xdr:col>2</xdr:col>
      <xdr:colOff>870405</xdr:colOff>
      <xdr:row>0</xdr:row>
      <xdr:rowOff>0</xdr:rowOff>
    </xdr:from>
    <xdr:to>
      <xdr:col>2</xdr:col>
      <xdr:colOff>1933748</xdr:colOff>
      <xdr:row>1</xdr:row>
      <xdr:rowOff>0</xdr:rowOff>
    </xdr:to>
    <xdr:sp macro="" textlink="">
      <xdr:nvSpPr>
        <xdr:cNvPr id="5" name=" ">
          <a:hlinkClick xmlns:r="http://schemas.openxmlformats.org/officeDocument/2006/relationships" r:id="rId4"/>
        </xdr:cNvPr>
        <xdr:cNvSpPr txBox="1"/>
      </xdr:nvSpPr>
      <xdr:spPr>
        <a:xfrm>
          <a:off x="2990215" y="0"/>
          <a:ext cx="1038860" cy="317500"/>
        </a:xfrm>
        <a:prstGeom prst="rect">
          <a:avLst/>
        </a:prstGeom>
        <a:solidFill>
          <a:srgbClr val="c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队伍控制</a:t>
          </a:r>
        </a:p>
      </xdr:txBody>
    </xdr:sp>
    <xdr:clientData/>
  </xdr:twoCellAnchor>
  <xdr:twoCellAnchor>
    <xdr:from>
      <xdr:col>2</xdr:col>
      <xdr:colOff>1929363</xdr:colOff>
      <xdr:row>0</xdr:row>
      <xdr:rowOff>0</xdr:rowOff>
    </xdr:from>
    <xdr:to>
      <xdr:col>3</xdr:col>
      <xdr:colOff>688789</xdr:colOff>
      <xdr:row>1</xdr:row>
      <xdr:rowOff>0</xdr:rowOff>
    </xdr:to>
    <xdr:sp macro="" textlink="">
      <xdr:nvSpPr>
        <xdr:cNvPr id="6" name=" ">
          <a:hlinkClick xmlns:r="http://schemas.openxmlformats.org/officeDocument/2006/relationships" r:id="rId5"/>
        </xdr:cNvPr>
        <xdr:cNvSpPr txBox="1"/>
      </xdr:nvSpPr>
      <xdr:spPr>
        <a:xfrm>
          <a:off x="4010025" y="0"/>
          <a:ext cx="767715" cy="317500"/>
        </a:xfrm>
        <a:prstGeom prst="rect">
          <a:avLst/>
        </a:prstGeom>
        <a:solidFill>
          <a:srgbClr val="40009c"/>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触发控制</a:t>
          </a:r>
        </a:p>
      </xdr:txBody>
    </xdr:sp>
    <xdr:clientData/>
  </xdr:twoCellAnchor>
  <xdr:twoCellAnchor>
    <xdr:from>
      <xdr:col>3</xdr:col>
      <xdr:colOff>688789</xdr:colOff>
      <xdr:row>0</xdr:row>
      <xdr:rowOff>0</xdr:rowOff>
    </xdr:from>
    <xdr:to>
      <xdr:col>3</xdr:col>
      <xdr:colOff>1816681</xdr:colOff>
      <xdr:row>1</xdr:row>
      <xdr:rowOff>0</xdr:rowOff>
    </xdr:to>
    <xdr:sp macro="" textlink="">
      <xdr:nvSpPr>
        <xdr:cNvPr id="7" name=" ">
          <a:hlinkClick xmlns:r="http://schemas.openxmlformats.org/officeDocument/2006/relationships" r:id="rId6"/>
        </xdr:cNvPr>
        <xdr:cNvSpPr txBox="1"/>
      </xdr:nvSpPr>
      <xdr:spPr>
        <a:xfrm>
          <a:off x="4777740" y="0"/>
          <a:ext cx="1127760" cy="317500"/>
        </a:xfrm>
        <a:prstGeom prst="rect">
          <a:avLst/>
        </a:prstGeom>
        <a:solidFill>
          <a:srgbClr val="94895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53975" tIns="46990" rIns="53975" bIns="46990" anchor="ctr"/>
        <a:lstStyle/>
        <a:p>
          <a:pPr algn="l"/>
          <a:r>
            <a:rPr lang="en-US" altLang="zh-CN" sz="1400" b="1">
              <a:solidFill>
                <a:srgbClr val="FFFFFF"/>
              </a:solidFill>
              <a:latin typeface="微软雅黑" panose="" pitchFamily="0" charset="0"/>
              <a:ea typeface="微软雅黑" panose="" pitchFamily="0" charset="0"/>
            </a:rPr>
            <a:t>标签/检测</a:t>
          </a:r>
        </a:p>
      </xdr:txBody>
    </xdr:sp>
    <xdr:clientData/>
  </xdr:twoCellAnchor>
  <xdr:twoCellAnchor>
    <xdr:from>
      <xdr:col>3</xdr:col>
      <xdr:colOff>1816681</xdr:colOff>
      <xdr:row>0</xdr:row>
      <xdr:rowOff>0</xdr:rowOff>
    </xdr:from>
    <xdr:to>
      <xdr:col>3</xdr:col>
      <xdr:colOff>2996232</xdr:colOff>
      <xdr:row>1</xdr:row>
      <xdr:rowOff>0</xdr:rowOff>
    </xdr:to>
    <xdr:sp macro="" textlink="">
      <xdr:nvSpPr>
        <xdr:cNvPr id="8" name=" ">
          <a:hlinkClick xmlns:r="http://schemas.openxmlformats.org/officeDocument/2006/relationships" r:id="rId7"/>
        </xdr:cNvPr>
        <xdr:cNvSpPr txBox="1"/>
      </xdr:nvSpPr>
      <xdr:spPr>
        <a:xfrm>
          <a:off x="5905500" y="0"/>
          <a:ext cx="1128395" cy="317500"/>
        </a:xfrm>
        <a:prstGeom prst="rect">
          <a:avLst/>
        </a:prstGeom>
        <a:solidFill>
          <a:srgbClr val="00206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运动控制</a:t>
          </a:r>
        </a:p>
      </xdr:txBody>
    </xdr:sp>
    <xdr:clientData/>
  </xdr:twoCellAnchor>
  <xdr:twoCellAnchor>
    <xdr:from>
      <xdr:col>3</xdr:col>
      <xdr:colOff>2935963</xdr:colOff>
      <xdr:row>0</xdr:row>
      <xdr:rowOff>0</xdr:rowOff>
    </xdr:from>
    <xdr:to>
      <xdr:col>3</xdr:col>
      <xdr:colOff>3994976</xdr:colOff>
      <xdr:row>1</xdr:row>
      <xdr:rowOff>0</xdr:rowOff>
    </xdr:to>
    <xdr:sp macro="" textlink="">
      <xdr:nvSpPr>
        <xdr:cNvPr id="9" name=" ">
          <a:hlinkClick xmlns:r="http://schemas.openxmlformats.org/officeDocument/2006/relationships" r:id="rId8"/>
        </xdr:cNvPr>
        <xdr:cNvSpPr txBox="1"/>
      </xdr:nvSpPr>
      <xdr:spPr>
        <a:xfrm>
          <a:off x="6973570" y="0"/>
          <a:ext cx="1058545" cy="317500"/>
        </a:xfrm>
        <a:prstGeom prst="rect">
          <a:avLst/>
        </a:prstGeom>
        <a:solidFill>
          <a:srgbClr val="008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单位检测</a:t>
          </a:r>
        </a:p>
      </xdr:txBody>
    </xdr:sp>
    <xdr:clientData/>
  </xdr:twoCellAnchor>
  <xdr:twoCellAnchor>
    <xdr:from>
      <xdr:col>3</xdr:col>
      <xdr:colOff>5191747</xdr:colOff>
      <xdr:row>0</xdr:row>
      <xdr:rowOff>0</xdr:rowOff>
    </xdr:from>
    <xdr:to>
      <xdr:col>3</xdr:col>
      <xdr:colOff>7128966</xdr:colOff>
      <xdr:row>1</xdr:row>
      <xdr:rowOff>0</xdr:rowOff>
    </xdr:to>
    <xdr:sp macro="" textlink="">
      <xdr:nvSpPr>
        <xdr:cNvPr id="10" name=" ">
          <a:hlinkClick xmlns:r="http://schemas.openxmlformats.org/officeDocument/2006/relationships" r:id="rId9"/>
        </xdr:cNvPr>
        <xdr:cNvSpPr txBox="1"/>
      </xdr:nvSpPr>
      <xdr:spPr>
        <a:xfrm>
          <a:off x="9229090" y="0"/>
          <a:ext cx="1937385" cy="317500"/>
        </a:xfrm>
        <a:prstGeom prst="rect">
          <a:avLst/>
        </a:prstGeom>
        <a:solidFill>
          <a:srgbClr val="96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添加单位/删除单位</a:t>
          </a:r>
        </a:p>
      </xdr:txBody>
    </xdr:sp>
    <xdr:clientData/>
  </xdr:twoCellAnchor>
  <xdr:twoCellAnchor>
    <xdr:from>
      <xdr:col>3</xdr:col>
      <xdr:colOff>7128966</xdr:colOff>
      <xdr:row>0</xdr:row>
      <xdr:rowOff>0</xdr:rowOff>
    </xdr:from>
    <xdr:to>
      <xdr:col>3</xdr:col>
      <xdr:colOff>8317127</xdr:colOff>
      <xdr:row>1</xdr:row>
      <xdr:rowOff>0</xdr:rowOff>
    </xdr:to>
    <xdr:sp macro="" textlink="">
      <xdr:nvSpPr>
        <xdr:cNvPr id="11" name=" ">
          <a:hlinkClick xmlns:r="http://schemas.openxmlformats.org/officeDocument/2006/relationships" r:id="rId10"/>
        </xdr:cNvPr>
        <xdr:cNvSpPr txBox="1"/>
      </xdr:nvSpPr>
      <xdr:spPr>
        <a:xfrm>
          <a:off x="11166475" y="0"/>
          <a:ext cx="530225" cy="317500"/>
        </a:xfrm>
        <a:prstGeom prst="rect">
          <a:avLst/>
        </a:prstGeom>
        <a:solidFill>
          <a:srgbClr val="008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地图文本</a:t>
          </a:r>
        </a:p>
      </xdr:txBody>
    </xdr:sp>
    <xdr:clientData/>
  </xdr:twoCellAnchor>
  <xdr:twoCellAnchor>
    <xdr:from>
      <xdr:col>3</xdr:col>
      <xdr:colOff>8256858</xdr:colOff>
      <xdr:row>0</xdr:row>
      <xdr:rowOff>0</xdr:rowOff>
    </xdr:from>
    <xdr:to>
      <xdr:col>4</xdr:col>
      <xdr:colOff>584765</xdr:colOff>
      <xdr:row>1</xdr:row>
      <xdr:rowOff>0</xdr:rowOff>
    </xdr:to>
    <xdr:sp macro="" textlink="">
      <xdr:nvSpPr>
        <xdr:cNvPr id="12" name=" ">
          <a:hlinkClick xmlns:r="http://schemas.openxmlformats.org/officeDocument/2006/relationships" r:id="rId11"/>
        </xdr:cNvPr>
        <xdr:cNvSpPr txBox="1"/>
      </xdr:nvSpPr>
      <xdr:spPr>
        <a:xfrm>
          <a:off x="11696700" y="0"/>
          <a:ext cx="605790" cy="317500"/>
        </a:xfrm>
        <a:prstGeom prst="rect">
          <a:avLst/>
        </a:prstGeom>
        <a:solidFill>
          <a:srgbClr val="bfbfb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控制镜头</a:t>
          </a:r>
        </a:p>
      </xdr:txBody>
    </xdr:sp>
    <xdr:clientData/>
  </xdr:twoCellAnchor>
  <xdr:twoCellAnchor>
    <xdr:from>
      <xdr:col>4</xdr:col>
      <xdr:colOff>1797611</xdr:colOff>
      <xdr:row>0</xdr:row>
      <xdr:rowOff>0</xdr:rowOff>
    </xdr:from>
    <xdr:to>
      <xdr:col>5</xdr:col>
      <xdr:colOff>0</xdr:colOff>
      <xdr:row>1</xdr:row>
      <xdr:rowOff>0</xdr:rowOff>
    </xdr:to>
    <xdr:sp macro="" textlink="">
      <xdr:nvSpPr>
        <xdr:cNvPr id="13" name=" ">
          <a:hlinkClick xmlns:r="http://schemas.openxmlformats.org/officeDocument/2006/relationships" r:id="rId12"/>
        </xdr:cNvPr>
        <xdr:cNvSpPr txBox="1"/>
      </xdr:nvSpPr>
      <xdr:spPr>
        <a:xfrm>
          <a:off x="13515340" y="0"/>
          <a:ext cx="2039620" cy="317500"/>
        </a:xfrm>
        <a:prstGeom prst="rect">
          <a:avLst/>
        </a:prstGeom>
        <a:solidFill>
          <a:srgbClr val="0d0d0d"/>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所有地图类型汇总</a:t>
          </a:r>
        </a:p>
      </xdr:txBody>
    </xdr:sp>
    <xdr:clientData/>
  </xdr:twoCellAnchor>
  <xdr:twoCellAnchor>
    <xdr:from>
      <xdr:col>3</xdr:col>
      <xdr:colOff>3994976</xdr:colOff>
      <xdr:row>0</xdr:row>
      <xdr:rowOff>0</xdr:rowOff>
    </xdr:from>
    <xdr:to>
      <xdr:col>3</xdr:col>
      <xdr:colOff>5191747</xdr:colOff>
      <xdr:row>1</xdr:row>
      <xdr:rowOff>0</xdr:rowOff>
    </xdr:to>
    <xdr:sp macro="" textlink="">
      <xdr:nvSpPr>
        <xdr:cNvPr id="14" name=" ">
          <a:hlinkClick xmlns:r="http://schemas.openxmlformats.org/officeDocument/2006/relationships" r:id="rId13"/>
        </xdr:cNvPr>
        <xdr:cNvSpPr txBox="1"/>
      </xdr:nvSpPr>
      <xdr:spPr>
        <a:xfrm>
          <a:off x="8032115" y="0"/>
          <a:ext cx="1196975" cy="317500"/>
        </a:xfrm>
        <a:prstGeom prst="rect">
          <a:avLst/>
        </a:prstGeom>
        <a:solidFill>
          <a:srgbClr val="002659"/>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修改资金</a:t>
          </a:r>
        </a:p>
      </xdr:txBody>
    </xdr:sp>
    <xdr:clientData/>
  </xdr:twoCellAnchor>
  <xdr:twoCellAnchor>
    <xdr:from>
      <xdr:col>4</xdr:col>
      <xdr:colOff>584765</xdr:colOff>
      <xdr:row>0</xdr:row>
      <xdr:rowOff>0</xdr:rowOff>
    </xdr:from>
    <xdr:to>
      <xdr:col>4</xdr:col>
      <xdr:colOff>1797611</xdr:colOff>
      <xdr:row>1</xdr:row>
      <xdr:rowOff>0</xdr:rowOff>
    </xdr:to>
    <xdr:sp macro="" textlink="">
      <xdr:nvSpPr>
        <xdr:cNvPr id="15" name=" ">
          <a:hlinkClick xmlns:r="http://schemas.openxmlformats.org/officeDocument/2006/relationships" r:id="rId14"/>
        </xdr:cNvPr>
        <xdr:cNvSpPr txBox="1"/>
      </xdr:nvSpPr>
      <xdr:spPr>
        <a:xfrm>
          <a:off x="12302490" y="0"/>
          <a:ext cx="1212850" cy="317500"/>
        </a:xfrm>
        <a:prstGeom prst="rect">
          <a:avLst/>
        </a:prstGeom>
        <a:solidFill>
          <a:srgbClr val="006ec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控制镜头</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nc-sa/4.0/" TargetMode="External"/><Relationship Id="rId2" Type="http://schemas.openxmlformats.org/officeDocument/2006/relationships/hyperlink" Target="https://creativecommons.org/licenses/by-nc-sa/4.0/" TargetMode="External"/></Relationships>
</file>

<file path=xl/worksheets/sheet1.xml><?xml version="1.0" encoding="utf-8"?>
<worksheet xmlns:r="http://schemas.openxmlformats.org/officeDocument/2006/relationships" xmlns="http://schemas.openxmlformats.org/spreadsheetml/2006/main">
  <dimension ref="A1:CY1752"/>
  <sheetViews>
    <sheetView tabSelected="1" workbookViewId="0" zoomScale="51">
      <pane xSplit="1" ySplit="2" topLeftCell="B3" state="frozen" activePane="bottomRight"/>
      <selection pane="bottomRight" activeCell="B817" sqref="B817:F817"/>
    </sheetView>
  </sheetViews>
  <sheetFormatPr defaultRowHeight="13.5" defaultColWidth="9"/>
  <cols>
    <col min="1" max="1" customWidth="1" width="1.625" style="1"/>
    <col min="2" max="2" customWidth="1" width="44.0" style="2"/>
    <col min="3" max="3" customWidth="1" width="39.57422" style="2"/>
    <col min="4" max="4" customWidth="1" width="170.14062" style="2"/>
    <col min="5" max="5" customWidth="1" bestFit="1" width="57.277344" style="2"/>
    <col min="6" max="6" customWidth="1" width="17.421875" style="2"/>
    <col min="7" max="7" customWidth="1" width="1.625" style="1"/>
    <col min="8" max="8" customWidth="1" width="13.847656" style="0"/>
    <col min="9" max="9" customWidth="1" width="1.75" style="0"/>
    <col min="21" max="21" customWidth="1" width="7.0" style="0"/>
  </cols>
  <sheetData>
    <row r="1" spans="8:8" s="3" ht="33.0" customFormat="1" customHeight="1">
      <c r="A1" s="4"/>
      <c r="B1" s="5"/>
      <c r="C1" s="5"/>
      <c r="D1" s="5"/>
      <c r="E1" s="5"/>
      <c r="F1" s="5"/>
      <c r="G1" s="4"/>
    </row>
    <row r="2" spans="8:8" s="6" ht="23.9" customFormat="1" customHeight="1">
      <c r="A2" s="4"/>
      <c r="B2" s="7" t="s">
        <v>0</v>
      </c>
      <c r="C2" s="7" t="s">
        <v>1</v>
      </c>
      <c r="D2" s="8" t="s">
        <v>2</v>
      </c>
      <c r="E2" s="7" t="s">
        <v>3</v>
      </c>
      <c r="F2" s="7" t="s">
        <v>4</v>
      </c>
      <c r="G2" s="4"/>
    </row>
    <row r="3" spans="8:8" s="9" ht="29.25" customFormat="1">
      <c r="A3" s="10"/>
      <c r="B3" s="11" t="s">
        <v>5</v>
      </c>
      <c r="C3" s="11" t="s">
        <v>6</v>
      </c>
      <c r="D3" s="11" t="s">
        <v>7</v>
      </c>
      <c r="E3" s="12"/>
      <c r="F3" s="12"/>
      <c r="G3" s="13"/>
      <c r="H3" s="14"/>
      <c r="I3" s="15"/>
    </row>
    <row r="4" spans="8:8" s="9" ht="29.25" customFormat="1">
      <c r="A4" s="10"/>
      <c r="B4" s="11" t="s">
        <v>8</v>
      </c>
      <c r="C4" s="11" t="s">
        <v>9</v>
      </c>
      <c r="D4" s="11" t="s">
        <v>10</v>
      </c>
      <c r="E4" s="11" t="s">
        <v>11</v>
      </c>
      <c r="F4" s="11" t="s">
        <v>12</v>
      </c>
      <c r="G4" s="13"/>
      <c r="H4" s="14"/>
      <c r="I4" s="15"/>
    </row>
    <row r="5" spans="8:8" s="16" ht="16.5" customFormat="1">
      <c r="A5" s="17"/>
      <c r="B5" s="18" t="s">
        <v>13</v>
      </c>
      <c r="C5" s="18" t="s">
        <v>13</v>
      </c>
      <c r="D5" s="19" t="s">
        <v>14</v>
      </c>
      <c r="E5" s="18" t="s">
        <v>13</v>
      </c>
      <c r="F5" s="18" t="s">
        <v>13</v>
      </c>
      <c r="G5" s="20"/>
      <c r="H5" s="21"/>
      <c r="I5" s="22"/>
    </row>
    <row r="6" spans="8:8" s="16" ht="48.7" customFormat="1" customHeight="1">
      <c r="A6" s="17"/>
      <c r="B6" s="23" t="s">
        <v>15</v>
      </c>
      <c r="C6" s="23" t="s">
        <v>16</v>
      </c>
      <c r="D6" s="23" t="s">
        <v>17</v>
      </c>
      <c r="E6" s="23" t="s">
        <v>18</v>
      </c>
      <c r="F6" s="23" t="s">
        <v>19</v>
      </c>
      <c r="G6" s="20"/>
    </row>
    <row r="7" spans="8:8" s="16" ht="16.5" customFormat="1">
      <c r="A7" s="17"/>
      <c r="B7" s="23" t="s">
        <v>20</v>
      </c>
      <c r="C7" s="23" t="s">
        <v>21</v>
      </c>
      <c r="D7" s="23" t="s">
        <v>10090</v>
      </c>
      <c r="E7" s="23" t="s">
        <v>23</v>
      </c>
      <c r="F7" s="23" t="s">
        <v>24</v>
      </c>
      <c r="G7" s="20"/>
    </row>
    <row r="8" spans="8:8" s="16" ht="16.5" customFormat="1">
      <c r="A8" s="17"/>
      <c r="B8" s="23" t="s">
        <v>25</v>
      </c>
      <c r="C8" s="23" t="s">
        <v>26</v>
      </c>
      <c r="D8" s="23" t="s">
        <v>27</v>
      </c>
      <c r="E8" s="23" t="s">
        <v>28</v>
      </c>
      <c r="F8" s="23" t="s">
        <v>19</v>
      </c>
      <c r="G8" s="20"/>
    </row>
    <row r="9" spans="8:8" s="16" ht="16.5" customFormat="1">
      <c r="A9" s="17"/>
      <c r="B9" s="23" t="s">
        <v>29</v>
      </c>
      <c r="C9" s="23" t="s">
        <v>30</v>
      </c>
      <c r="D9" s="23" t="s">
        <v>31</v>
      </c>
      <c r="E9" s="23" t="s">
        <v>32</v>
      </c>
      <c r="F9" s="23" t="s">
        <v>33</v>
      </c>
      <c r="G9" s="20"/>
    </row>
    <row r="10" spans="8:8" s="16" ht="16.5" customFormat="1">
      <c r="A10" s="17"/>
      <c r="B10" s="23" t="s">
        <v>34</v>
      </c>
      <c r="C10" s="23" t="s">
        <v>35</v>
      </c>
      <c r="D10" s="23" t="s">
        <v>36</v>
      </c>
      <c r="E10" s="23" t="s">
        <v>37</v>
      </c>
      <c r="F10" s="23" t="s">
        <v>38</v>
      </c>
      <c r="G10" s="20"/>
    </row>
    <row r="11" spans="8:8" s="16" ht="16.5" customFormat="1">
      <c r="A11" s="17"/>
      <c r="B11" s="23" t="s">
        <v>39</v>
      </c>
      <c r="C11" s="23" t="s">
        <v>40</v>
      </c>
      <c r="D11" s="23" t="s">
        <v>41</v>
      </c>
      <c r="E11" s="23" t="s">
        <v>42</v>
      </c>
      <c r="F11" s="23" t="s">
        <v>43</v>
      </c>
      <c r="G11" s="20"/>
    </row>
    <row r="12" spans="8:8" s="16" ht="16.5" customFormat="1">
      <c r="A12" s="17"/>
      <c r="B12" s="23" t="s">
        <v>44</v>
      </c>
      <c r="C12" s="23" t="s">
        <v>45</v>
      </c>
      <c r="D12" s="23" t="s">
        <v>46</v>
      </c>
      <c r="E12" s="23" t="s">
        <v>47</v>
      </c>
      <c r="F12" s="23" t="s">
        <v>43</v>
      </c>
      <c r="G12" s="20"/>
    </row>
    <row r="13" spans="8:8" s="16" ht="21.7" customFormat="1" customHeight="1">
      <c r="A13" s="17"/>
      <c r="B13" s="23" t="s">
        <v>48</v>
      </c>
      <c r="C13" s="23" t="s">
        <v>49</v>
      </c>
      <c r="D13" s="23" t="s">
        <v>50</v>
      </c>
      <c r="E13" s="23" t="s">
        <v>51</v>
      </c>
      <c r="F13" s="23" t="s">
        <v>52</v>
      </c>
      <c r="G13" s="20"/>
    </row>
    <row r="14" spans="8:8" s="16" ht="16.5" customFormat="1">
      <c r="A14" s="17"/>
      <c r="B14" s="23" t="s">
        <v>53</v>
      </c>
      <c r="C14" s="23" t="s">
        <v>54</v>
      </c>
      <c r="D14" s="23" t="s">
        <v>55</v>
      </c>
      <c r="E14" s="23" t="s">
        <v>56</v>
      </c>
      <c r="F14" s="23" t="s">
        <v>43</v>
      </c>
      <c r="G14" s="20"/>
    </row>
    <row r="15" spans="8:8" s="16" ht="16.5" customFormat="1">
      <c r="A15" s="17"/>
      <c r="B15" s="23" t="s">
        <v>57</v>
      </c>
      <c r="C15" s="23" t="s">
        <v>58</v>
      </c>
      <c r="D15" s="23" t="s">
        <v>59</v>
      </c>
      <c r="E15" s="23" t="s">
        <v>60</v>
      </c>
      <c r="F15" s="23" t="s">
        <v>61</v>
      </c>
      <c r="G15" s="20"/>
    </row>
    <row r="16" spans="8:8" s="16" ht="16.5" customFormat="1">
      <c r="A16" s="17"/>
      <c r="B16" s="23" t="s">
        <v>62</v>
      </c>
      <c r="C16" s="23" t="s">
        <v>63</v>
      </c>
      <c r="D16" s="23" t="s">
        <v>64</v>
      </c>
      <c r="E16" s="23" t="s">
        <v>65</v>
      </c>
      <c r="F16" s="23" t="s">
        <v>61</v>
      </c>
      <c r="G16" s="20"/>
    </row>
    <row r="17" spans="8:8" s="16" ht="16.5" customFormat="1">
      <c r="A17" s="17"/>
      <c r="B17" s="23" t="s">
        <v>66</v>
      </c>
      <c r="C17" s="23" t="s">
        <v>67</v>
      </c>
      <c r="D17" s="23" t="s">
        <v>68</v>
      </c>
      <c r="E17" s="23" t="s">
        <v>69</v>
      </c>
      <c r="F17" s="23" t="s">
        <v>61</v>
      </c>
      <c r="G17" s="20"/>
    </row>
    <row r="18" spans="8:8" s="16" ht="16.5" customFormat="1">
      <c r="A18" s="17"/>
      <c r="B18" s="23" t="s">
        <v>70</v>
      </c>
      <c r="C18" s="23" t="s">
        <v>71</v>
      </c>
      <c r="D18" s="23" t="s">
        <v>72</v>
      </c>
      <c r="E18" s="23" t="s">
        <v>73</v>
      </c>
      <c r="F18" s="23" t="s">
        <v>38</v>
      </c>
      <c r="G18" s="20"/>
    </row>
    <row r="19" spans="8:8" s="16" ht="16.5" customFormat="1">
      <c r="A19" s="17"/>
      <c r="B19" s="23" t="s">
        <v>74</v>
      </c>
      <c r="C19" s="23" t="s">
        <v>75</v>
      </c>
      <c r="D19" s="23" t="s">
        <v>76</v>
      </c>
      <c r="E19" s="23" t="s">
        <v>77</v>
      </c>
      <c r="F19" s="23" t="s">
        <v>61</v>
      </c>
      <c r="G19" s="20"/>
    </row>
    <row r="20" spans="8:8" s="16" ht="16.5" customFormat="1">
      <c r="A20" s="17"/>
      <c r="B20" s="18" t="s">
        <v>13</v>
      </c>
      <c r="C20" s="18" t="s">
        <v>13</v>
      </c>
      <c r="D20" s="19" t="s">
        <v>78</v>
      </c>
      <c r="E20" s="18" t="s">
        <v>13</v>
      </c>
      <c r="F20" s="18" t="s">
        <v>13</v>
      </c>
      <c r="G20" s="20"/>
    </row>
    <row r="21" spans="8:8" s="16" ht="16.5" customFormat="1">
      <c r="A21" s="17"/>
      <c r="B21" s="23" t="s">
        <v>79</v>
      </c>
      <c r="C21" s="23" t="s">
        <v>80</v>
      </c>
      <c r="D21" s="23" t="s">
        <v>81</v>
      </c>
      <c r="E21" s="23" t="s">
        <v>82</v>
      </c>
      <c r="F21" s="23" t="s">
        <v>43</v>
      </c>
      <c r="G21" s="20"/>
    </row>
    <row r="22" spans="8:8" s="16" ht="16.5" customFormat="1">
      <c r="A22" s="17"/>
      <c r="B22" s="23" t="s">
        <v>83</v>
      </c>
      <c r="C22" s="23" t="s">
        <v>84</v>
      </c>
      <c r="D22" s="23" t="s">
        <v>85</v>
      </c>
      <c r="E22" s="23" t="s">
        <v>86</v>
      </c>
      <c r="F22" s="23" t="s">
        <v>33</v>
      </c>
      <c r="G22" s="20"/>
    </row>
    <row r="23" spans="8:8" s="16" ht="16.5" customFormat="1">
      <c r="A23" s="17"/>
      <c r="B23" s="23" t="s">
        <v>87</v>
      </c>
      <c r="C23" s="23" t="s">
        <v>88</v>
      </c>
      <c r="D23" s="23" t="s">
        <v>89</v>
      </c>
      <c r="E23" s="23" t="s">
        <v>90</v>
      </c>
      <c r="F23" s="23" t="s">
        <v>43</v>
      </c>
      <c r="G23" s="20"/>
    </row>
    <row r="24" spans="8:8" s="16" ht="16.5" customFormat="1">
      <c r="A24" s="17"/>
      <c r="B24" s="23" t="s">
        <v>91</v>
      </c>
      <c r="C24" s="23" t="s">
        <v>92</v>
      </c>
      <c r="D24" s="23" t="s">
        <v>93</v>
      </c>
      <c r="E24" s="23" t="s">
        <v>94</v>
      </c>
      <c r="F24" s="23" t="s">
        <v>61</v>
      </c>
      <c r="G24" s="20"/>
    </row>
    <row r="25" spans="8:8" s="16" ht="15.65" customFormat="1">
      <c r="A25" s="17"/>
      <c r="B25" s="23" t="s">
        <v>95</v>
      </c>
      <c r="C25" s="23" t="s">
        <v>96</v>
      </c>
      <c r="D25" s="23" t="s">
        <v>9918</v>
      </c>
      <c r="E25" s="23" t="s">
        <v>98</v>
      </c>
      <c r="F25" s="23" t="s">
        <v>33</v>
      </c>
      <c r="G25" s="20"/>
    </row>
    <row r="26" spans="8:8" s="16" ht="16.5" customFormat="1">
      <c r="A26" s="17"/>
      <c r="B26" s="23" t="s">
        <v>99</v>
      </c>
      <c r="C26" s="23" t="s">
        <v>100</v>
      </c>
      <c r="D26" s="23" t="s">
        <v>101</v>
      </c>
      <c r="E26" s="23" t="s">
        <v>102</v>
      </c>
      <c r="F26" s="23" t="s">
        <v>33</v>
      </c>
      <c r="G26" s="20"/>
    </row>
    <row r="27" spans="8:8" s="16" ht="16.5" customFormat="1">
      <c r="A27" s="17"/>
      <c r="B27" s="23" t="s">
        <v>103</v>
      </c>
      <c r="C27" s="23" t="s">
        <v>104</v>
      </c>
      <c r="D27" s="23" t="s">
        <v>105</v>
      </c>
      <c r="E27" s="23" t="s">
        <v>106</v>
      </c>
      <c r="F27" s="23" t="s">
        <v>61</v>
      </c>
      <c r="G27" s="20"/>
    </row>
    <row r="28" spans="8:8" s="16" ht="16.5" customFormat="1">
      <c r="A28" s="17"/>
      <c r="B28" s="23" t="s">
        <v>107</v>
      </c>
      <c r="C28" s="23" t="s">
        <v>108</v>
      </c>
      <c r="D28" s="23" t="s">
        <v>109</v>
      </c>
      <c r="E28" s="23" t="s">
        <v>110</v>
      </c>
      <c r="F28" s="23" t="s">
        <v>33</v>
      </c>
      <c r="G28" s="20"/>
    </row>
    <row r="29" spans="8:8" s="16" ht="16.5" customFormat="1">
      <c r="A29" s="17"/>
      <c r="B29" s="23" t="s">
        <v>111</v>
      </c>
      <c r="C29" s="23" t="s">
        <v>112</v>
      </c>
      <c r="D29" s="23" t="s">
        <v>113</v>
      </c>
      <c r="E29" s="23" t="s">
        <v>114</v>
      </c>
      <c r="F29" s="23" t="s">
        <v>33</v>
      </c>
      <c r="G29" s="20"/>
    </row>
    <row r="30" spans="8:8" s="16" ht="16.5" customFormat="1">
      <c r="A30" s="17"/>
      <c r="B30" s="23" t="s">
        <v>115</v>
      </c>
      <c r="C30" s="23" t="s">
        <v>116</v>
      </c>
      <c r="D30" s="23" t="s">
        <v>117</v>
      </c>
      <c r="E30" s="23" t="s">
        <v>118</v>
      </c>
      <c r="F30" s="23" t="s">
        <v>33</v>
      </c>
      <c r="G30" s="20"/>
    </row>
    <row r="31" spans="8:8" s="16" ht="16.5" customFormat="1">
      <c r="A31" s="17"/>
      <c r="B31" s="23" t="s">
        <v>119</v>
      </c>
      <c r="C31" s="23" t="s">
        <v>120</v>
      </c>
      <c r="D31" s="23" t="s">
        <v>121</v>
      </c>
      <c r="E31" s="23" t="s">
        <v>122</v>
      </c>
      <c r="F31" s="23" t="s">
        <v>123</v>
      </c>
      <c r="G31" s="20"/>
    </row>
    <row r="32" spans="8:8" s="16" ht="16.5" customFormat="1">
      <c r="A32" s="17"/>
      <c r="B32" s="23" t="s">
        <v>124</v>
      </c>
      <c r="C32" s="23" t="s">
        <v>125</v>
      </c>
      <c r="D32" s="23" t="s">
        <v>126</v>
      </c>
      <c r="E32" s="23" t="s">
        <v>127</v>
      </c>
      <c r="F32" s="23" t="s">
        <v>19</v>
      </c>
      <c r="G32" s="20"/>
    </row>
    <row r="33" spans="8:8" s="16" ht="16.5" customFormat="1">
      <c r="A33" s="17"/>
      <c r="B33" s="23" t="s">
        <v>128</v>
      </c>
      <c r="C33" s="23" t="s">
        <v>129</v>
      </c>
      <c r="D33" s="23" t="s">
        <v>130</v>
      </c>
      <c r="E33" s="23" t="s">
        <v>131</v>
      </c>
      <c r="F33" s="23" t="s">
        <v>43</v>
      </c>
      <c r="G33" s="20"/>
    </row>
    <row r="34" spans="8:8" s="16" ht="16.5" customFormat="1">
      <c r="A34" s="17"/>
      <c r="B34" s="23" t="s">
        <v>132</v>
      </c>
      <c r="C34" s="23" t="s">
        <v>133</v>
      </c>
      <c r="D34" s="23" t="s">
        <v>134</v>
      </c>
      <c r="E34" s="23" t="s">
        <v>135</v>
      </c>
      <c r="F34" s="23" t="s">
        <v>43</v>
      </c>
      <c r="G34" s="20"/>
    </row>
    <row r="35" spans="8:8" s="16" ht="16.5" customFormat="1">
      <c r="A35" s="17"/>
      <c r="B35" s="23" t="s">
        <v>136</v>
      </c>
      <c r="C35" s="23" t="s">
        <v>137</v>
      </c>
      <c r="D35" s="23" t="s">
        <v>138</v>
      </c>
      <c r="E35" s="23" t="s">
        <v>139</v>
      </c>
      <c r="F35" s="23" t="s">
        <v>34</v>
      </c>
      <c r="G35" s="20"/>
    </row>
    <row r="36" spans="8:8" s="16" ht="16.5" customFormat="1">
      <c r="A36" s="17"/>
      <c r="B36" s="23" t="s">
        <v>140</v>
      </c>
      <c r="C36" s="23" t="s">
        <v>141</v>
      </c>
      <c r="D36" s="23" t="s">
        <v>142</v>
      </c>
      <c r="E36" s="23" t="s">
        <v>143</v>
      </c>
      <c r="F36" s="23" t="s">
        <v>34</v>
      </c>
      <c r="G36" s="20"/>
    </row>
    <row r="37" spans="8:8" s="16" ht="16.5" customFormat="1">
      <c r="A37" s="17"/>
      <c r="B37" s="23" t="s">
        <v>144</v>
      </c>
      <c r="C37" s="23" t="s">
        <v>145</v>
      </c>
      <c r="D37" s="23" t="s">
        <v>146</v>
      </c>
      <c r="E37" s="23" t="s">
        <v>147</v>
      </c>
      <c r="F37" s="23" t="s">
        <v>34</v>
      </c>
      <c r="G37" s="20"/>
    </row>
    <row r="38" spans="8:8" s="16" ht="16.5" customFormat="1">
      <c r="A38" s="17"/>
      <c r="B38" s="23" t="s">
        <v>148</v>
      </c>
      <c r="C38" s="23" t="s">
        <v>149</v>
      </c>
      <c r="D38" s="23" t="s">
        <v>150</v>
      </c>
      <c r="E38" s="23" t="s">
        <v>151</v>
      </c>
      <c r="F38" s="23" t="s">
        <v>152</v>
      </c>
      <c r="G38" s="20"/>
    </row>
    <row r="39" spans="8:8" s="16" ht="16.5" customFormat="1">
      <c r="A39" s="17"/>
      <c r="B39" s="23" t="s">
        <v>153</v>
      </c>
      <c r="C39" s="23" t="s">
        <v>154</v>
      </c>
      <c r="D39" s="23" t="s">
        <v>155</v>
      </c>
      <c r="E39" s="23" t="s">
        <v>156</v>
      </c>
      <c r="F39" s="23" t="s">
        <v>43</v>
      </c>
      <c r="G39" s="20"/>
    </row>
    <row r="40" spans="8:8" s="16" ht="16.5" customFormat="1">
      <c r="A40" s="17"/>
      <c r="B40" s="23" t="s">
        <v>157</v>
      </c>
      <c r="C40" s="23" t="s">
        <v>158</v>
      </c>
      <c r="D40" s="23" t="s">
        <v>159</v>
      </c>
      <c r="E40" s="23" t="s">
        <v>160</v>
      </c>
      <c r="F40" s="23" t="s">
        <v>43</v>
      </c>
      <c r="G40" s="20"/>
    </row>
    <row r="41" spans="8:8" s="16" ht="16.5" customFormat="1">
      <c r="A41" s="17"/>
      <c r="B41" s="18" t="s">
        <v>13</v>
      </c>
      <c r="C41" s="18" t="s">
        <v>13</v>
      </c>
      <c r="D41" s="19" t="s">
        <v>161</v>
      </c>
      <c r="E41" s="18" t="s">
        <v>13</v>
      </c>
      <c r="F41" s="18" t="s">
        <v>13</v>
      </c>
      <c r="G41" s="20"/>
    </row>
    <row r="42" spans="8:8" s="16" ht="16.5" customFormat="1">
      <c r="A42" s="17"/>
      <c r="B42" s="23" t="s">
        <v>162</v>
      </c>
      <c r="C42" s="23" t="s">
        <v>163</v>
      </c>
      <c r="D42" s="23" t="s">
        <v>164</v>
      </c>
      <c r="E42" s="23" t="s">
        <v>165</v>
      </c>
      <c r="F42" s="23" t="s">
        <v>61</v>
      </c>
      <c r="G42" s="20"/>
    </row>
    <row r="43" spans="8:8" s="16" ht="16.5" customFormat="1">
      <c r="A43" s="17"/>
      <c r="B43" s="23" t="s">
        <v>166</v>
      </c>
      <c r="C43" s="23" t="s">
        <v>167</v>
      </c>
      <c r="D43" s="23" t="s">
        <v>168</v>
      </c>
      <c r="E43" s="23" t="s">
        <v>169</v>
      </c>
      <c r="F43" s="23" t="s">
        <v>170</v>
      </c>
      <c r="G43" s="20"/>
    </row>
    <row r="44" spans="8:8" s="16" ht="62.2" customFormat="1" customHeight="1">
      <c r="A44" s="17"/>
      <c r="B44" s="23" t="s">
        <v>171</v>
      </c>
      <c r="C44" s="23" t="s">
        <v>172</v>
      </c>
      <c r="D44" s="23" t="s">
        <v>173</v>
      </c>
      <c r="E44" s="23" t="s">
        <v>174</v>
      </c>
      <c r="F44" s="23" t="s">
        <v>19</v>
      </c>
      <c r="G44" s="20"/>
    </row>
    <row r="45" spans="8:8" s="16" ht="16.5" customFormat="1">
      <c r="A45" s="17"/>
      <c r="B45" s="23" t="s">
        <v>175</v>
      </c>
      <c r="C45" s="23" t="s">
        <v>176</v>
      </c>
      <c r="D45" s="23" t="s">
        <v>177</v>
      </c>
      <c r="E45" s="23" t="s">
        <v>178</v>
      </c>
      <c r="F45" s="23" t="s">
        <v>170</v>
      </c>
      <c r="G45" s="20"/>
    </row>
    <row r="46" spans="8:8" s="16" ht="16.5" customFormat="1">
      <c r="A46" s="17"/>
      <c r="B46" s="23" t="s">
        <v>179</v>
      </c>
      <c r="C46" s="23" t="s">
        <v>180</v>
      </c>
      <c r="D46" s="23" t="s">
        <v>181</v>
      </c>
      <c r="E46" s="23" t="s">
        <v>182</v>
      </c>
      <c r="F46" s="23" t="s">
        <v>19</v>
      </c>
      <c r="G46" s="20"/>
    </row>
    <row r="47" spans="8:8" s="16" ht="16.5" customFormat="1">
      <c r="A47" s="17"/>
      <c r="B47" s="23" t="s">
        <v>183</v>
      </c>
      <c r="C47" s="23" t="s">
        <v>184</v>
      </c>
      <c r="D47" s="23" t="s">
        <v>185</v>
      </c>
      <c r="E47" s="23" t="s">
        <v>186</v>
      </c>
      <c r="F47" s="23" t="s">
        <v>19</v>
      </c>
      <c r="G47" s="20"/>
    </row>
    <row r="48" spans="8:8" s="16" ht="16.5" customFormat="1">
      <c r="A48" s="17"/>
      <c r="B48" s="23" t="s">
        <v>187</v>
      </c>
      <c r="C48" s="23" t="s">
        <v>188</v>
      </c>
      <c r="D48" s="23" t="s">
        <v>189</v>
      </c>
      <c r="E48" s="23" t="s">
        <v>190</v>
      </c>
      <c r="F48" s="23" t="s">
        <v>43</v>
      </c>
      <c r="G48" s="20"/>
    </row>
    <row r="49" spans="8:8" s="16" ht="16.5" customFormat="1">
      <c r="A49" s="17"/>
      <c r="B49" s="23" t="s">
        <v>191</v>
      </c>
      <c r="C49" s="23" t="s">
        <v>192</v>
      </c>
      <c r="D49" s="23" t="s">
        <v>193</v>
      </c>
      <c r="E49" s="23" t="s">
        <v>194</v>
      </c>
      <c r="F49" s="23" t="s">
        <v>43</v>
      </c>
      <c r="G49" s="20"/>
    </row>
    <row r="50" spans="8:8" s="16" ht="16.5" customFormat="1">
      <c r="A50" s="17"/>
      <c r="B50" s="23" t="s">
        <v>195</v>
      </c>
      <c r="C50" s="23" t="s">
        <v>196</v>
      </c>
      <c r="D50" s="23" t="s">
        <v>197</v>
      </c>
      <c r="E50" s="23" t="s">
        <v>198</v>
      </c>
      <c r="F50" s="23" t="s">
        <v>43</v>
      </c>
      <c r="G50" s="20"/>
    </row>
    <row r="51" spans="8:8" s="16" ht="16.5" customFormat="1">
      <c r="A51" s="17"/>
      <c r="B51" s="23" t="s">
        <v>199</v>
      </c>
      <c r="C51" s="23" t="s">
        <v>200</v>
      </c>
      <c r="D51" s="23" t="s">
        <v>201</v>
      </c>
      <c r="E51" s="23" t="s">
        <v>202</v>
      </c>
      <c r="F51" s="23" t="s">
        <v>61</v>
      </c>
      <c r="G51" s="20"/>
    </row>
    <row r="52" spans="8:8" s="16" ht="16.5" customFormat="1">
      <c r="A52" s="17"/>
      <c r="B52" s="23" t="s">
        <v>203</v>
      </c>
      <c r="C52" s="23" t="s">
        <v>204</v>
      </c>
      <c r="D52" s="23" t="s">
        <v>205</v>
      </c>
      <c r="E52" s="23" t="s">
        <v>206</v>
      </c>
      <c r="F52" s="23" t="s">
        <v>33</v>
      </c>
      <c r="G52" s="20"/>
    </row>
    <row r="53" spans="8:8" s="16" ht="16.5" customFormat="1">
      <c r="A53" s="17"/>
      <c r="B53" s="23" t="s">
        <v>207</v>
      </c>
      <c r="C53" s="23" t="s">
        <v>208</v>
      </c>
      <c r="D53" s="23" t="s">
        <v>209</v>
      </c>
      <c r="E53" s="23" t="s">
        <v>210</v>
      </c>
      <c r="F53" s="23" t="s">
        <v>61</v>
      </c>
      <c r="G53" s="20"/>
    </row>
    <row r="54" spans="8:8" s="16" ht="16.5" customFormat="1">
      <c r="A54" s="17"/>
      <c r="B54" s="23" t="s">
        <v>211</v>
      </c>
      <c r="C54" s="23" t="s">
        <v>212</v>
      </c>
      <c r="D54" s="23" t="s">
        <v>213</v>
      </c>
      <c r="E54" s="23" t="s">
        <v>214</v>
      </c>
      <c r="F54" s="23" t="s">
        <v>61</v>
      </c>
      <c r="G54" s="20"/>
    </row>
    <row r="55" spans="8:8" s="16" ht="33.0" customFormat="1">
      <c r="A55" s="17"/>
      <c r="B55" s="23" t="s">
        <v>215</v>
      </c>
      <c r="C55" s="23" t="s">
        <v>216</v>
      </c>
      <c r="D55" s="23" t="s">
        <v>217</v>
      </c>
      <c r="E55" s="23" t="s">
        <v>218</v>
      </c>
      <c r="F55" s="23" t="s">
        <v>219</v>
      </c>
      <c r="G55" s="20"/>
    </row>
    <row r="56" spans="8:8" s="16" ht="16.5" customFormat="1">
      <c r="A56" s="17"/>
      <c r="B56" s="18" t="s">
        <v>13</v>
      </c>
      <c r="C56" s="18" t="s">
        <v>13</v>
      </c>
      <c r="D56" s="19" t="s">
        <v>220</v>
      </c>
      <c r="E56" s="18" t="s">
        <v>13</v>
      </c>
      <c r="F56" s="18" t="s">
        <v>13</v>
      </c>
      <c r="G56" s="20"/>
    </row>
    <row r="57" spans="8:8" s="16" ht="16.5" customFormat="1">
      <c r="A57" s="17"/>
      <c r="B57" s="23" t="s">
        <v>221</v>
      </c>
      <c r="C57" s="23" t="s">
        <v>222</v>
      </c>
      <c r="D57" s="23" t="s">
        <v>223</v>
      </c>
      <c r="E57" s="23" t="s">
        <v>224</v>
      </c>
      <c r="F57" s="23" t="s">
        <v>61</v>
      </c>
      <c r="G57" s="20"/>
    </row>
    <row r="58" spans="8:8" s="16" ht="49.9" customFormat="1" customHeight="1">
      <c r="A58" s="17"/>
      <c r="B58" s="23" t="s">
        <v>225</v>
      </c>
      <c r="C58" s="23" t="s">
        <v>226</v>
      </c>
      <c r="D58" s="23" t="s">
        <v>227</v>
      </c>
      <c r="E58" s="23" t="s">
        <v>228</v>
      </c>
      <c r="F58" s="23" t="s">
        <v>229</v>
      </c>
      <c r="G58" s="20"/>
    </row>
    <row r="59" spans="8:8" s="16" ht="16.5" customFormat="1">
      <c r="A59" s="17"/>
      <c r="B59" s="23" t="s">
        <v>230</v>
      </c>
      <c r="C59" s="23" t="s">
        <v>231</v>
      </c>
      <c r="D59" s="23" t="s">
        <v>232</v>
      </c>
      <c r="E59" s="23" t="s">
        <v>233</v>
      </c>
      <c r="F59" s="23" t="s">
        <v>229</v>
      </c>
      <c r="G59" s="20"/>
    </row>
    <row r="60" spans="8:8" s="16" ht="16.5" customFormat="1">
      <c r="A60" s="17"/>
      <c r="B60" s="23" t="s">
        <v>234</v>
      </c>
      <c r="C60" s="23" t="s">
        <v>235</v>
      </c>
      <c r="D60" s="23" t="s">
        <v>236</v>
      </c>
      <c r="E60" s="23" t="s">
        <v>237</v>
      </c>
      <c r="F60" s="23" t="s">
        <v>229</v>
      </c>
      <c r="G60" s="20"/>
    </row>
    <row r="61" spans="8:8" s="16" ht="16.5" customFormat="1">
      <c r="A61" s="17"/>
      <c r="B61" s="23" t="s">
        <v>238</v>
      </c>
      <c r="C61" s="23" t="s">
        <v>239</v>
      </c>
      <c r="D61" s="23" t="s">
        <v>240</v>
      </c>
      <c r="E61" s="23" t="s">
        <v>241</v>
      </c>
      <c r="F61" s="23" t="s">
        <v>43</v>
      </c>
      <c r="G61" s="20"/>
    </row>
    <row r="62" spans="8:8" s="16" ht="50.95" customFormat="1" customHeight="1">
      <c r="A62" s="17"/>
      <c r="B62" s="23" t="s">
        <v>242</v>
      </c>
      <c r="C62" s="23" t="s">
        <v>243</v>
      </c>
      <c r="D62" s="23" t="s">
        <v>244</v>
      </c>
      <c r="E62" s="23" t="s">
        <v>245</v>
      </c>
      <c r="F62" s="23" t="s">
        <v>33</v>
      </c>
      <c r="G62" s="20"/>
    </row>
    <row r="63" spans="8:8" s="16" ht="16.5" customFormat="1">
      <c r="A63" s="17"/>
      <c r="B63" s="23" t="s">
        <v>246</v>
      </c>
      <c r="C63" s="23" t="s">
        <v>247</v>
      </c>
      <c r="D63" s="23" t="s">
        <v>248</v>
      </c>
      <c r="E63" s="23" t="s">
        <v>249</v>
      </c>
      <c r="F63" s="23" t="s">
        <v>33</v>
      </c>
      <c r="G63" s="20"/>
    </row>
    <row r="64" spans="8:8" s="16" ht="16.5" customFormat="1">
      <c r="A64" s="17"/>
      <c r="B64" s="23" t="s">
        <v>250</v>
      </c>
      <c r="C64" s="23" t="s">
        <v>251</v>
      </c>
      <c r="D64" s="23" t="s">
        <v>252</v>
      </c>
      <c r="E64" s="23" t="s">
        <v>253</v>
      </c>
      <c r="F64" s="23" t="s">
        <v>61</v>
      </c>
      <c r="G64" s="20"/>
    </row>
    <row r="65" spans="8:8" s="16" ht="16.5" customFormat="1">
      <c r="A65" s="17"/>
      <c r="B65" s="23" t="s">
        <v>254</v>
      </c>
      <c r="C65" s="23" t="s">
        <v>255</v>
      </c>
      <c r="D65" s="23" t="s">
        <v>256</v>
      </c>
      <c r="E65" s="23" t="s">
        <v>257</v>
      </c>
      <c r="F65" s="23" t="s">
        <v>33</v>
      </c>
      <c r="G65" s="20"/>
    </row>
    <row r="66" spans="8:8" s="16" ht="16.5" customFormat="1">
      <c r="A66" s="17"/>
      <c r="B66" s="23" t="s">
        <v>258</v>
      </c>
      <c r="C66" s="23" t="s">
        <v>259</v>
      </c>
      <c r="D66" s="23" t="s">
        <v>260</v>
      </c>
      <c r="E66" s="23" t="s">
        <v>261</v>
      </c>
      <c r="F66" s="23" t="s">
        <v>61</v>
      </c>
      <c r="G66" s="20"/>
    </row>
    <row r="67" spans="8:8" s="16" ht="16.5" customFormat="1">
      <c r="A67" s="17"/>
      <c r="B67" s="18" t="s">
        <v>13</v>
      </c>
      <c r="C67" s="18" t="s">
        <v>13</v>
      </c>
      <c r="D67" s="19" t="s">
        <v>262</v>
      </c>
      <c r="E67" s="18" t="s">
        <v>13</v>
      </c>
      <c r="F67" s="18" t="s">
        <v>13</v>
      </c>
      <c r="G67" s="20"/>
    </row>
    <row r="68" spans="8:8" s="16" ht="16.5" customFormat="1">
      <c r="A68" s="17"/>
      <c r="B68" s="23" t="s">
        <v>263</v>
      </c>
      <c r="C68" s="23" t="s">
        <v>264</v>
      </c>
      <c r="D68" s="23" t="s">
        <v>265</v>
      </c>
      <c r="E68" s="23" t="s">
        <v>266</v>
      </c>
      <c r="F68" s="23" t="s">
        <v>267</v>
      </c>
      <c r="G68" s="20"/>
    </row>
    <row r="69" spans="8:8" s="16" ht="16.5" customFormat="1">
      <c r="A69" s="17"/>
      <c r="B69" s="23" t="s">
        <v>268</v>
      </c>
      <c r="C69" s="23" t="s">
        <v>269</v>
      </c>
      <c r="D69" s="23" t="s">
        <v>270</v>
      </c>
      <c r="E69" s="23" t="s">
        <v>271</v>
      </c>
      <c r="F69" s="23" t="s">
        <v>61</v>
      </c>
      <c r="G69" s="20"/>
    </row>
    <row r="70" spans="8:8" s="16" ht="16.5" customFormat="1">
      <c r="A70" s="17"/>
      <c r="B70" s="23" t="s">
        <v>272</v>
      </c>
      <c r="C70" s="23" t="s">
        <v>273</v>
      </c>
      <c r="D70" s="23" t="s">
        <v>274</v>
      </c>
      <c r="E70" s="23" t="s">
        <v>275</v>
      </c>
      <c r="F70" s="23" t="s">
        <v>24</v>
      </c>
      <c r="G70" s="20"/>
    </row>
    <row r="71" spans="8:8" s="16" ht="16.5" customFormat="1">
      <c r="A71" s="17"/>
      <c r="B71" s="23" t="s">
        <v>276</v>
      </c>
      <c r="C71" s="23" t="s">
        <v>277</v>
      </c>
      <c r="D71" s="23" t="s">
        <v>278</v>
      </c>
      <c r="E71" s="23" t="s">
        <v>279</v>
      </c>
      <c r="F71" s="23" t="s">
        <v>61</v>
      </c>
      <c r="G71" s="20"/>
    </row>
    <row r="72" spans="8:8" s="16" ht="16.5" customFormat="1">
      <c r="A72" s="17"/>
      <c r="B72" s="23" t="s">
        <v>280</v>
      </c>
      <c r="C72" s="23" t="s">
        <v>281</v>
      </c>
      <c r="D72" s="23" t="s">
        <v>282</v>
      </c>
      <c r="E72" s="23" t="s">
        <v>283</v>
      </c>
      <c r="F72" s="23" t="s">
        <v>61</v>
      </c>
      <c r="G72" s="20"/>
    </row>
    <row r="73" spans="8:8" s="16" ht="90.7" customFormat="1" customHeight="1">
      <c r="A73" s="17"/>
      <c r="B73" s="23" t="s">
        <v>284</v>
      </c>
      <c r="C73" s="23" t="s">
        <v>285</v>
      </c>
      <c r="D73" s="23" t="s">
        <v>286</v>
      </c>
      <c r="E73" s="23" t="s">
        <v>287</v>
      </c>
      <c r="F73" s="23" t="s">
        <v>19</v>
      </c>
      <c r="G73" s="20"/>
    </row>
    <row r="74" spans="8:8" s="16" ht="16.5" customFormat="1">
      <c r="A74" s="17"/>
      <c r="B74" s="23" t="s">
        <v>288</v>
      </c>
      <c r="C74" s="23" t="s">
        <v>289</v>
      </c>
      <c r="D74" s="23" t="s">
        <v>290</v>
      </c>
      <c r="E74" s="23" t="s">
        <v>291</v>
      </c>
      <c r="F74" s="23" t="s">
        <v>33</v>
      </c>
      <c r="G74" s="20"/>
    </row>
    <row r="75" spans="8:8" s="16" ht="16.5" customFormat="1">
      <c r="A75" s="17"/>
      <c r="B75" s="23" t="s">
        <v>292</v>
      </c>
      <c r="C75" s="23" t="s">
        <v>293</v>
      </c>
      <c r="D75" s="23" t="s">
        <v>294</v>
      </c>
      <c r="E75" s="23" t="s">
        <v>295</v>
      </c>
      <c r="F75" s="23" t="s">
        <v>61</v>
      </c>
      <c r="G75" s="20"/>
    </row>
    <row r="76" spans="8:8" s="16" ht="16.5" customFormat="1">
      <c r="A76" s="17"/>
      <c r="B76" s="23" t="s">
        <v>296</v>
      </c>
      <c r="C76" s="23" t="s">
        <v>297</v>
      </c>
      <c r="D76" s="23" t="s">
        <v>298</v>
      </c>
      <c r="E76" s="23" t="s">
        <v>299</v>
      </c>
      <c r="F76" s="23" t="s">
        <v>61</v>
      </c>
      <c r="G76" s="20"/>
    </row>
    <row r="77" spans="8:8" s="16" ht="16.5" customFormat="1">
      <c r="A77" s="17"/>
      <c r="B77" s="23" t="s">
        <v>300</v>
      </c>
      <c r="C77" s="23" t="s">
        <v>301</v>
      </c>
      <c r="D77" s="23" t="s">
        <v>302</v>
      </c>
      <c r="E77" s="23" t="s">
        <v>303</v>
      </c>
      <c r="F77" s="23" t="s">
        <v>61</v>
      </c>
      <c r="G77" s="20"/>
    </row>
    <row r="78" spans="8:8" s="16" ht="20.75" customFormat="1" customHeight="1">
      <c r="A78" s="17"/>
      <c r="B78" s="23" t="s">
        <v>304</v>
      </c>
      <c r="C78" s="23" t="s">
        <v>305</v>
      </c>
      <c r="D78" s="23" t="s">
        <v>306</v>
      </c>
      <c r="E78" s="23" t="s">
        <v>307</v>
      </c>
      <c r="F78" s="23" t="s">
        <v>61</v>
      </c>
      <c r="G78" s="20"/>
    </row>
    <row r="79" spans="8:8" s="16" ht="16.5" customFormat="1">
      <c r="A79" s="17"/>
      <c r="B79" s="23" t="s">
        <v>308</v>
      </c>
      <c r="C79" s="23" t="s">
        <v>309</v>
      </c>
      <c r="D79" s="23" t="s">
        <v>310</v>
      </c>
      <c r="E79" s="23" t="s">
        <v>311</v>
      </c>
      <c r="F79" s="23" t="s">
        <v>61</v>
      </c>
      <c r="G79" s="20"/>
    </row>
    <row r="80" spans="8:8" s="16" ht="16.5" customFormat="1">
      <c r="A80" s="17"/>
      <c r="B80" s="23" t="s">
        <v>312</v>
      </c>
      <c r="C80" s="23" t="s">
        <v>313</v>
      </c>
      <c r="D80" s="23" t="s">
        <v>314</v>
      </c>
      <c r="E80" s="23" t="s">
        <v>315</v>
      </c>
      <c r="F80" s="23" t="s">
        <v>61</v>
      </c>
      <c r="G80" s="20"/>
    </row>
    <row r="81" spans="8:8" s="16" ht="16.5" customFormat="1">
      <c r="A81" s="17"/>
      <c r="B81" s="23" t="s">
        <v>219</v>
      </c>
      <c r="C81" s="23" t="s">
        <v>316</v>
      </c>
      <c r="D81" s="23" t="s">
        <v>317</v>
      </c>
      <c r="E81" s="23" t="s">
        <v>318</v>
      </c>
      <c r="F81" s="23" t="s">
        <v>24</v>
      </c>
      <c r="G81" s="20"/>
    </row>
    <row r="82" spans="8:8" s="16" ht="52.25" customFormat="1" customHeight="1">
      <c r="A82" s="17"/>
      <c r="B82" s="23" t="s">
        <v>319</v>
      </c>
      <c r="C82" s="23" t="s">
        <v>320</v>
      </c>
      <c r="D82" s="23" t="s">
        <v>10164</v>
      </c>
      <c r="E82" s="23" t="s">
        <v>322</v>
      </c>
      <c r="F82" s="23" t="s">
        <v>323</v>
      </c>
      <c r="G82" s="20"/>
    </row>
    <row r="83" spans="8:8" s="16" ht="16.5" customFormat="1">
      <c r="A83" s="17"/>
      <c r="B83" s="23" t="s">
        <v>324</v>
      </c>
      <c r="C83" s="23" t="s">
        <v>325</v>
      </c>
      <c r="D83" s="23" t="s">
        <v>326</v>
      </c>
      <c r="E83" s="23"/>
      <c r="F83" s="23"/>
      <c r="G83" s="20"/>
    </row>
    <row r="84" spans="8:8" s="16" ht="16.5" customFormat="1">
      <c r="A84" s="17"/>
      <c r="B84" s="23" t="s">
        <v>327</v>
      </c>
      <c r="C84" s="23" t="s">
        <v>328</v>
      </c>
      <c r="D84" s="23" t="s">
        <v>329</v>
      </c>
      <c r="E84" s="23" t="s">
        <v>330</v>
      </c>
      <c r="F84" s="23" t="s">
        <v>323</v>
      </c>
      <c r="G84" s="20"/>
    </row>
    <row r="85" spans="8:8" s="16" ht="16.5" customFormat="1">
      <c r="A85" s="17"/>
      <c r="B85" s="23" t="s">
        <v>331</v>
      </c>
      <c r="C85" s="23" t="s">
        <v>332</v>
      </c>
      <c r="D85" s="23" t="s">
        <v>333</v>
      </c>
      <c r="E85" s="24"/>
      <c r="F85" s="23" t="s">
        <v>323</v>
      </c>
      <c r="G85" s="20"/>
    </row>
    <row r="86" spans="8:8" s="16" ht="16.5" customFormat="1">
      <c r="A86" s="17"/>
      <c r="B86" s="23" t="s">
        <v>334</v>
      </c>
      <c r="C86" s="23" t="s">
        <v>335</v>
      </c>
      <c r="D86" s="23" t="s">
        <v>336</v>
      </c>
      <c r="E86" s="23" t="s">
        <v>337</v>
      </c>
      <c r="F86" s="23" t="s">
        <v>43</v>
      </c>
      <c r="G86" s="20"/>
    </row>
    <row r="87" spans="8:8" s="16" ht="16.5" customFormat="1">
      <c r="A87" s="17"/>
      <c r="B87" s="23" t="s">
        <v>338</v>
      </c>
      <c r="C87" s="23" t="s">
        <v>339</v>
      </c>
      <c r="D87" s="23" t="s">
        <v>340</v>
      </c>
      <c r="E87" s="23" t="s">
        <v>341</v>
      </c>
      <c r="F87" s="23" t="s">
        <v>43</v>
      </c>
      <c r="G87" s="20"/>
    </row>
    <row r="88" spans="8:8" s="16" ht="16.5" customFormat="1">
      <c r="A88" s="17"/>
      <c r="B88" s="23" t="s">
        <v>342</v>
      </c>
      <c r="C88" s="23" t="s">
        <v>343</v>
      </c>
      <c r="D88" s="23" t="s">
        <v>344</v>
      </c>
      <c r="E88" s="23" t="s">
        <v>345</v>
      </c>
      <c r="F88" s="23" t="s">
        <v>43</v>
      </c>
      <c r="G88" s="20"/>
    </row>
    <row r="89" spans="8:8" s="16" ht="16.5" customFormat="1">
      <c r="A89" s="17"/>
      <c r="B89" s="23" t="s">
        <v>346</v>
      </c>
      <c r="C89" s="23" t="s">
        <v>347</v>
      </c>
      <c r="D89" s="23" t="s">
        <v>348</v>
      </c>
      <c r="E89" s="23" t="s">
        <v>349</v>
      </c>
      <c r="F89" s="23" t="s">
        <v>61</v>
      </c>
      <c r="G89" s="20"/>
    </row>
    <row r="90" spans="8:8" s="16" ht="16.5" customFormat="1">
      <c r="A90" s="17"/>
      <c r="B90" s="23" t="s">
        <v>350</v>
      </c>
      <c r="C90" s="23" t="s">
        <v>351</v>
      </c>
      <c r="D90" s="23" t="s">
        <v>352</v>
      </c>
      <c r="E90" s="23" t="s">
        <v>353</v>
      </c>
      <c r="F90" s="23" t="s">
        <v>61</v>
      </c>
      <c r="G90" s="20"/>
    </row>
    <row r="91" spans="8:8" s="16" ht="16.5" customFormat="1">
      <c r="A91" s="17"/>
      <c r="B91" s="23" t="s">
        <v>354</v>
      </c>
      <c r="C91" s="23" t="s">
        <v>355</v>
      </c>
      <c r="D91" s="23" t="s">
        <v>356</v>
      </c>
      <c r="E91" s="23" t="s">
        <v>357</v>
      </c>
      <c r="F91" s="23" t="s">
        <v>61</v>
      </c>
      <c r="G91" s="20"/>
    </row>
    <row r="92" spans="8:8" s="16" ht="16.5" customFormat="1">
      <c r="A92" s="17"/>
      <c r="B92" s="23" t="s">
        <v>358</v>
      </c>
      <c r="C92" s="23" t="s">
        <v>359</v>
      </c>
      <c r="D92" s="23" t="s">
        <v>360</v>
      </c>
      <c r="E92" s="23" t="s">
        <v>361</v>
      </c>
      <c r="F92" s="23" t="s">
        <v>61</v>
      </c>
      <c r="G92" s="20"/>
    </row>
    <row r="93" spans="8:8" s="16" ht="16.5" customFormat="1">
      <c r="A93" s="17"/>
      <c r="B93" s="23" t="s">
        <v>362</v>
      </c>
      <c r="C93" s="23" t="s">
        <v>363</v>
      </c>
      <c r="D93" s="23" t="s">
        <v>364</v>
      </c>
      <c r="E93" s="23" t="s">
        <v>365</v>
      </c>
      <c r="F93" s="23" t="s">
        <v>61</v>
      </c>
      <c r="G93" s="20"/>
    </row>
    <row r="94" spans="8:8" s="16" ht="16.5" customFormat="1">
      <c r="A94" s="17"/>
      <c r="B94" s="23" t="s">
        <v>366</v>
      </c>
      <c r="C94" s="23" t="s">
        <v>367</v>
      </c>
      <c r="D94" s="23" t="s">
        <v>368</v>
      </c>
      <c r="E94" s="23" t="s">
        <v>369</v>
      </c>
      <c r="F94" s="23" t="s">
        <v>61</v>
      </c>
      <c r="G94" s="20"/>
    </row>
    <row r="95" spans="8:8" s="16" ht="16.5" customFormat="1">
      <c r="A95" s="17"/>
      <c r="B95" s="23" t="s">
        <v>370</v>
      </c>
      <c r="C95" s="23" t="s">
        <v>371</v>
      </c>
      <c r="D95" s="23" t="s">
        <v>372</v>
      </c>
      <c r="E95" s="23" t="s">
        <v>373</v>
      </c>
      <c r="F95" s="23" t="s">
        <v>61</v>
      </c>
      <c r="G95" s="20"/>
    </row>
    <row r="96" spans="8:8" s="16" ht="33.0" customFormat="1">
      <c r="A96" s="17"/>
      <c r="B96" s="23" t="s">
        <v>374</v>
      </c>
      <c r="C96" s="23" t="s">
        <v>375</v>
      </c>
      <c r="D96" s="23" t="s">
        <v>376</v>
      </c>
      <c r="E96" s="23" t="s">
        <v>377</v>
      </c>
      <c r="F96" s="23" t="s">
        <v>378</v>
      </c>
      <c r="G96" s="20"/>
    </row>
    <row r="97" spans="8:8" s="16" ht="16.5" customFormat="1">
      <c r="A97" s="17"/>
      <c r="B97" s="23" t="s">
        <v>379</v>
      </c>
      <c r="C97" s="23" t="s">
        <v>380</v>
      </c>
      <c r="D97" s="23" t="s">
        <v>381</v>
      </c>
      <c r="E97" s="23" t="s">
        <v>382</v>
      </c>
      <c r="F97" s="23" t="s">
        <v>378</v>
      </c>
      <c r="G97" s="20"/>
    </row>
    <row r="98" spans="8:8" s="16" ht="16.5" customFormat="1">
      <c r="A98" s="17"/>
      <c r="B98" s="23" t="s">
        <v>383</v>
      </c>
      <c r="C98" s="23" t="s">
        <v>384</v>
      </c>
      <c r="D98" s="23" t="s">
        <v>385</v>
      </c>
      <c r="E98" s="23" t="s">
        <v>386</v>
      </c>
      <c r="F98" s="23" t="s">
        <v>378</v>
      </c>
      <c r="G98" s="20"/>
    </row>
    <row r="99" spans="8:8" s="16" ht="41.95" customFormat="1" customHeight="1">
      <c r="A99" s="17"/>
      <c r="B99" s="23" t="s">
        <v>387</v>
      </c>
      <c r="C99" s="23" t="s">
        <v>388</v>
      </c>
      <c r="D99" s="23" t="s">
        <v>389</v>
      </c>
      <c r="E99" s="23" t="s">
        <v>390</v>
      </c>
      <c r="F99" s="23" t="s">
        <v>61</v>
      </c>
      <c r="G99" s="20"/>
    </row>
    <row r="100" spans="8:8" s="16" ht="16.5" customFormat="1">
      <c r="A100" s="17"/>
      <c r="B100" s="23" t="s">
        <v>391</v>
      </c>
      <c r="C100" s="23" t="s">
        <v>392</v>
      </c>
      <c r="D100" s="23" t="s">
        <v>393</v>
      </c>
      <c r="E100" s="23" t="s">
        <v>394</v>
      </c>
      <c r="F100" s="23" t="s">
        <v>61</v>
      </c>
      <c r="G100" s="20"/>
    </row>
    <row r="101" spans="8:8" s="16" ht="16.5" customFormat="1">
      <c r="A101" s="17"/>
      <c r="B101" s="23" t="s">
        <v>395</v>
      </c>
      <c r="C101" s="23" t="s">
        <v>396</v>
      </c>
      <c r="D101" s="23" t="s">
        <v>397</v>
      </c>
      <c r="E101" s="23" t="s">
        <v>398</v>
      </c>
      <c r="F101" s="23" t="s">
        <v>61</v>
      </c>
      <c r="G101" s="20"/>
    </row>
    <row r="102" spans="8:8" s="16" ht="16.5" customFormat="1">
      <c r="A102" s="17"/>
      <c r="B102" s="23" t="s">
        <v>399</v>
      </c>
      <c r="C102" s="23" t="s">
        <v>400</v>
      </c>
      <c r="D102" s="23" t="s">
        <v>401</v>
      </c>
      <c r="E102" s="23" t="s">
        <v>402</v>
      </c>
      <c r="F102" s="23" t="s">
        <v>403</v>
      </c>
      <c r="G102" s="20"/>
    </row>
    <row r="103" spans="8:8" s="16" ht="16.5" customFormat="1">
      <c r="A103" s="17"/>
      <c r="B103" s="23" t="s">
        <v>404</v>
      </c>
      <c r="C103" s="23" t="s">
        <v>405</v>
      </c>
      <c r="D103" s="23" t="s">
        <v>406</v>
      </c>
      <c r="E103" s="23" t="s">
        <v>407</v>
      </c>
      <c r="F103" s="23" t="s">
        <v>61</v>
      </c>
      <c r="G103" s="20"/>
    </row>
    <row r="104" spans="8:8" s="16" ht="16.5" customFormat="1">
      <c r="A104" s="17"/>
      <c r="B104" s="18" t="s">
        <v>13</v>
      </c>
      <c r="C104" s="18" t="s">
        <v>13</v>
      </c>
      <c r="D104" s="19" t="s">
        <v>408</v>
      </c>
      <c r="E104" s="18" t="s">
        <v>13</v>
      </c>
      <c r="F104" s="18" t="s">
        <v>13</v>
      </c>
      <c r="G104" s="20"/>
    </row>
    <row r="105" spans="8:8" s="16" ht="16.5" customFormat="1">
      <c r="A105" s="17"/>
      <c r="B105" s="23" t="s">
        <v>409</v>
      </c>
      <c r="C105" s="23" t="s">
        <v>410</v>
      </c>
      <c r="D105" s="23" t="s">
        <v>411</v>
      </c>
      <c r="E105" s="23" t="s">
        <v>412</v>
      </c>
      <c r="F105" s="23" t="s">
        <v>43</v>
      </c>
      <c r="G105" s="20"/>
    </row>
    <row r="106" spans="8:8" s="16" ht="16.5" customFormat="1">
      <c r="A106" s="17"/>
      <c r="B106" s="23" t="s">
        <v>413</v>
      </c>
      <c r="C106" s="23" t="s">
        <v>414</v>
      </c>
      <c r="D106" s="23" t="s">
        <v>415</v>
      </c>
      <c r="E106" s="23" t="s">
        <v>416</v>
      </c>
      <c r="F106" s="23" t="s">
        <v>43</v>
      </c>
      <c r="G106" s="20"/>
    </row>
    <row r="107" spans="8:8" s="16" ht="16.5" customFormat="1">
      <c r="A107" s="17"/>
      <c r="B107" s="23" t="s">
        <v>417</v>
      </c>
      <c r="C107" s="23" t="s">
        <v>418</v>
      </c>
      <c r="D107" s="23" t="s">
        <v>419</v>
      </c>
      <c r="E107" s="23" t="s">
        <v>420</v>
      </c>
      <c r="F107" s="23" t="s">
        <v>24</v>
      </c>
      <c r="G107" s="20"/>
    </row>
    <row r="108" spans="8:8" s="16" ht="16.5" customFormat="1">
      <c r="A108" s="17"/>
      <c r="B108" s="23" t="s">
        <v>421</v>
      </c>
      <c r="C108" s="23" t="s">
        <v>422</v>
      </c>
      <c r="D108" s="23" t="s">
        <v>423</v>
      </c>
      <c r="E108" s="23" t="s">
        <v>424</v>
      </c>
      <c r="F108" s="23" t="s">
        <v>425</v>
      </c>
      <c r="G108" s="20"/>
    </row>
    <row r="109" spans="8:8" s="16" ht="16.5" customFormat="1">
      <c r="A109" s="17"/>
      <c r="B109" s="23" t="s">
        <v>426</v>
      </c>
      <c r="C109" s="23" t="s">
        <v>427</v>
      </c>
      <c r="D109" s="23" t="s">
        <v>428</v>
      </c>
      <c r="E109" s="23" t="s">
        <v>429</v>
      </c>
      <c r="F109" s="23" t="s">
        <v>61</v>
      </c>
      <c r="G109" s="20"/>
    </row>
    <row r="110" spans="8:8" s="16" ht="16.5" customFormat="1">
      <c r="A110" s="17"/>
      <c r="B110" s="23" t="s">
        <v>430</v>
      </c>
      <c r="C110" s="23" t="s">
        <v>431</v>
      </c>
      <c r="D110" s="23" t="s">
        <v>432</v>
      </c>
      <c r="E110" s="23" t="s">
        <v>433</v>
      </c>
      <c r="F110" s="23" t="s">
        <v>434</v>
      </c>
      <c r="G110" s="20"/>
    </row>
    <row r="111" spans="8:8" s="16" ht="16.5" customFormat="1">
      <c r="A111" s="17"/>
      <c r="B111" s="23" t="s">
        <v>435</v>
      </c>
      <c r="C111" s="23" t="s">
        <v>436</v>
      </c>
      <c r="D111" s="23" t="s">
        <v>437</v>
      </c>
      <c r="E111" s="23" t="s">
        <v>438</v>
      </c>
      <c r="F111" s="23" t="s">
        <v>434</v>
      </c>
      <c r="G111" s="20"/>
    </row>
    <row r="112" spans="8:8" s="16" ht="16.5" customFormat="1">
      <c r="A112" s="17"/>
      <c r="B112" s="23" t="s">
        <v>439</v>
      </c>
      <c r="C112" s="23" t="s">
        <v>440</v>
      </c>
      <c r="D112" s="23" t="s">
        <v>441</v>
      </c>
      <c r="E112" s="23" t="s">
        <v>442</v>
      </c>
      <c r="F112" s="23" t="s">
        <v>434</v>
      </c>
      <c r="G112" s="20"/>
    </row>
    <row r="113" spans="8:8" s="16" ht="21.7" customFormat="1" customHeight="1">
      <c r="A113" s="17"/>
      <c r="B113" s="23" t="s">
        <v>443</v>
      </c>
      <c r="C113" s="23" t="s">
        <v>444</v>
      </c>
      <c r="D113" s="23" t="s">
        <v>445</v>
      </c>
      <c r="E113" s="23" t="s">
        <v>446</v>
      </c>
      <c r="F113" s="23" t="s">
        <v>52</v>
      </c>
      <c r="G113" s="20"/>
    </row>
    <row r="114" spans="8:8" s="16" ht="16.5" customFormat="1">
      <c r="A114" s="17"/>
      <c r="B114" s="23" t="s">
        <v>447</v>
      </c>
      <c r="C114" s="23" t="s">
        <v>448</v>
      </c>
      <c r="D114" s="23" t="s">
        <v>449</v>
      </c>
      <c r="E114" s="23" t="s">
        <v>450</v>
      </c>
      <c r="F114" s="23" t="s">
        <v>434</v>
      </c>
      <c r="G114" s="20"/>
    </row>
    <row r="115" spans="8:8" s="16" ht="16.5" customFormat="1">
      <c r="A115" s="17"/>
      <c r="B115" s="23" t="s">
        <v>451</v>
      </c>
      <c r="C115" s="23" t="s">
        <v>452</v>
      </c>
      <c r="D115" s="23" t="s">
        <v>453</v>
      </c>
      <c r="E115" s="23" t="s">
        <v>454</v>
      </c>
      <c r="F115" s="23" t="s">
        <v>33</v>
      </c>
      <c r="G115" s="20"/>
    </row>
    <row r="116" spans="8:8" s="16" ht="16.5" customFormat="1">
      <c r="A116" s="17"/>
      <c r="B116" s="23" t="s">
        <v>455</v>
      </c>
      <c r="C116" s="23" t="s">
        <v>456</v>
      </c>
      <c r="D116" s="23" t="s">
        <v>457</v>
      </c>
      <c r="E116" s="23" t="s">
        <v>458</v>
      </c>
      <c r="F116" s="23" t="s">
        <v>61</v>
      </c>
      <c r="G116" s="20"/>
    </row>
    <row r="117" spans="8:8" s="16" ht="16.5" customFormat="1">
      <c r="A117" s="17"/>
      <c r="B117" s="23" t="s">
        <v>459</v>
      </c>
      <c r="C117" s="23" t="s">
        <v>460</v>
      </c>
      <c r="D117" s="23" t="s">
        <v>461</v>
      </c>
      <c r="E117" s="23" t="s">
        <v>462</v>
      </c>
      <c r="F117" s="23" t="s">
        <v>61</v>
      </c>
      <c r="G117" s="20"/>
    </row>
    <row r="118" spans="8:8" s="16" ht="16.5" customFormat="1">
      <c r="A118" s="17"/>
      <c r="B118" s="23" t="s">
        <v>463</v>
      </c>
      <c r="C118" s="23" t="s">
        <v>464</v>
      </c>
      <c r="D118" s="23" t="s">
        <v>465</v>
      </c>
      <c r="E118" s="23" t="s">
        <v>466</v>
      </c>
      <c r="F118" s="23" t="s">
        <v>61</v>
      </c>
      <c r="G118" s="20"/>
    </row>
    <row r="119" spans="8:8" s="16" ht="16.5" customFormat="1">
      <c r="A119" s="17"/>
      <c r="B119" s="23" t="s">
        <v>467</v>
      </c>
      <c r="C119" s="23" t="s">
        <v>468</v>
      </c>
      <c r="D119" s="23" t="s">
        <v>469</v>
      </c>
      <c r="E119" s="23" t="s">
        <v>470</v>
      </c>
      <c r="F119" s="23" t="s">
        <v>61</v>
      </c>
      <c r="G119" s="20"/>
    </row>
    <row r="120" spans="8:8" s="16" ht="16.5" customFormat="1">
      <c r="A120" s="17"/>
      <c r="B120" s="23" t="s">
        <v>471</v>
      </c>
      <c r="C120" s="23" t="s">
        <v>472</v>
      </c>
      <c r="D120" s="23" t="s">
        <v>473</v>
      </c>
      <c r="E120" s="23" t="s">
        <v>474</v>
      </c>
      <c r="F120" s="23" t="s">
        <v>61</v>
      </c>
      <c r="G120" s="20"/>
    </row>
    <row r="121" spans="8:8" s="16" ht="16.5" customFormat="1">
      <c r="A121" s="17"/>
      <c r="B121" s="23" t="s">
        <v>475</v>
      </c>
      <c r="C121" s="23" t="s">
        <v>476</v>
      </c>
      <c r="D121" s="23" t="s">
        <v>477</v>
      </c>
      <c r="E121" s="23" t="s">
        <v>478</v>
      </c>
      <c r="F121" s="23" t="s">
        <v>61</v>
      </c>
      <c r="G121" s="20"/>
    </row>
    <row r="122" spans="8:8" s="16" ht="16.5" customFormat="1">
      <c r="A122" s="17"/>
      <c r="B122" s="23" t="s">
        <v>479</v>
      </c>
      <c r="C122" s="23" t="s">
        <v>480</v>
      </c>
      <c r="D122" s="23" t="s">
        <v>481</v>
      </c>
      <c r="E122" s="23" t="s">
        <v>482</v>
      </c>
      <c r="F122" s="23" t="s">
        <v>61</v>
      </c>
      <c r="G122" s="20"/>
    </row>
    <row r="123" spans="8:8" s="16" ht="16.5" customFormat="1">
      <c r="A123" s="17"/>
      <c r="B123" s="18" t="s">
        <v>13</v>
      </c>
      <c r="C123" s="18" t="s">
        <v>13</v>
      </c>
      <c r="D123" s="19" t="s">
        <v>483</v>
      </c>
      <c r="E123" s="18" t="s">
        <v>13</v>
      </c>
      <c r="F123" s="18" t="s">
        <v>13</v>
      </c>
      <c r="G123" s="20"/>
    </row>
    <row r="124" spans="8:8" s="16" ht="16.5" customFormat="1">
      <c r="A124" s="17"/>
      <c r="B124" s="23" t="s">
        <v>484</v>
      </c>
      <c r="C124" s="23" t="s">
        <v>485</v>
      </c>
      <c r="D124" s="23" t="s">
        <v>486</v>
      </c>
      <c r="E124" s="23" t="s">
        <v>487</v>
      </c>
      <c r="F124" s="23" t="s">
        <v>33</v>
      </c>
      <c r="G124" s="20"/>
    </row>
    <row r="125" spans="8:8" s="16" ht="16.5" customFormat="1">
      <c r="A125" s="17"/>
      <c r="B125" s="23" t="s">
        <v>488</v>
      </c>
      <c r="C125" s="23" t="s">
        <v>489</v>
      </c>
      <c r="D125" s="23" t="s">
        <v>490</v>
      </c>
      <c r="E125" s="23" t="s">
        <v>491</v>
      </c>
      <c r="F125" s="23" t="s">
        <v>24</v>
      </c>
      <c r="G125" s="20"/>
    </row>
    <row r="126" spans="8:8" s="16" ht="16.5" customFormat="1">
      <c r="A126" s="17"/>
      <c r="B126" s="23" t="s">
        <v>492</v>
      </c>
      <c r="C126" s="23" t="s">
        <v>493</v>
      </c>
      <c r="D126" s="23" t="s">
        <v>494</v>
      </c>
      <c r="E126" s="23" t="s">
        <v>495</v>
      </c>
      <c r="F126" s="23" t="s">
        <v>43</v>
      </c>
      <c r="G126" s="20"/>
    </row>
    <row r="127" spans="8:8" s="16" ht="16.5" customFormat="1">
      <c r="A127" s="17"/>
      <c r="B127" s="23" t="s">
        <v>496</v>
      </c>
      <c r="C127" s="23" t="s">
        <v>497</v>
      </c>
      <c r="D127" s="23" t="s">
        <v>498</v>
      </c>
      <c r="E127" s="23" t="s">
        <v>499</v>
      </c>
      <c r="F127" s="23" t="s">
        <v>43</v>
      </c>
      <c r="G127" s="20"/>
    </row>
    <row r="128" spans="8:8" s="16" ht="16.5" customFormat="1">
      <c r="A128" s="17"/>
      <c r="B128" s="18" t="s">
        <v>13</v>
      </c>
      <c r="C128" s="18" t="s">
        <v>13</v>
      </c>
      <c r="D128" s="19" t="s">
        <v>500</v>
      </c>
      <c r="E128" s="18" t="s">
        <v>13</v>
      </c>
      <c r="F128" s="18" t="s">
        <v>13</v>
      </c>
      <c r="G128" s="20"/>
    </row>
    <row r="129" spans="8:8" s="16" ht="16.5" customFormat="1">
      <c r="A129" s="17"/>
      <c r="B129" s="23" t="s">
        <v>501</v>
      </c>
      <c r="C129" s="23" t="s">
        <v>502</v>
      </c>
      <c r="D129" s="23" t="s">
        <v>503</v>
      </c>
      <c r="E129" s="23" t="s">
        <v>504</v>
      </c>
      <c r="F129" s="23" t="s">
        <v>61</v>
      </c>
      <c r="G129" s="20"/>
    </row>
    <row r="130" spans="8:8" s="16" ht="16.5" customFormat="1">
      <c r="A130" s="17"/>
      <c r="B130" s="23" t="s">
        <v>505</v>
      </c>
      <c r="C130" s="23" t="s">
        <v>506</v>
      </c>
      <c r="D130" s="23" t="s">
        <v>507</v>
      </c>
      <c r="E130" s="23" t="s">
        <v>508</v>
      </c>
      <c r="F130" s="23" t="s">
        <v>43</v>
      </c>
      <c r="G130" s="20"/>
    </row>
    <row r="131" spans="8:8" s="16" ht="16.5" customFormat="1">
      <c r="A131" s="17"/>
      <c r="B131" s="23" t="s">
        <v>509</v>
      </c>
      <c r="C131" s="23" t="s">
        <v>510</v>
      </c>
      <c r="D131" s="23" t="s">
        <v>511</v>
      </c>
      <c r="E131" s="23" t="s">
        <v>512</v>
      </c>
      <c r="F131" s="23" t="s">
        <v>24</v>
      </c>
      <c r="G131" s="20"/>
    </row>
    <row r="132" spans="8:8" s="16" ht="16.5" customFormat="1">
      <c r="A132" s="17"/>
      <c r="B132" s="23" t="s">
        <v>513</v>
      </c>
      <c r="C132" s="23" t="s">
        <v>514</v>
      </c>
      <c r="D132" s="23" t="s">
        <v>515</v>
      </c>
      <c r="E132" s="23" t="s">
        <v>516</v>
      </c>
      <c r="F132" s="23" t="s">
        <v>33</v>
      </c>
      <c r="G132" s="20"/>
    </row>
    <row r="133" spans="8:8" s="16" ht="16.5" customFormat="1">
      <c r="A133" s="17"/>
      <c r="B133" s="23" t="s">
        <v>517</v>
      </c>
      <c r="C133" s="23" t="s">
        <v>518</v>
      </c>
      <c r="D133" s="23" t="s">
        <v>519</v>
      </c>
      <c r="E133" s="23" t="s">
        <v>520</v>
      </c>
      <c r="F133" s="23" t="s">
        <v>33</v>
      </c>
      <c r="G133" s="20"/>
    </row>
    <row r="134" spans="8:8" s="16" ht="16.5" customFormat="1">
      <c r="A134" s="17"/>
      <c r="B134" s="18" t="s">
        <v>13</v>
      </c>
      <c r="C134" s="18" t="s">
        <v>13</v>
      </c>
      <c r="D134" s="19" t="s">
        <v>521</v>
      </c>
      <c r="E134" s="18" t="s">
        <v>13</v>
      </c>
      <c r="F134" s="18" t="s">
        <v>13</v>
      </c>
      <c r="G134" s="20"/>
    </row>
    <row r="135" spans="8:8" s="16" ht="16.5" customFormat="1">
      <c r="A135" s="17"/>
      <c r="B135" s="23" t="s">
        <v>522</v>
      </c>
      <c r="C135" s="23" t="s">
        <v>523</v>
      </c>
      <c r="D135" s="23" t="s">
        <v>524</v>
      </c>
      <c r="E135" s="23" t="s">
        <v>525</v>
      </c>
      <c r="F135" s="23" t="s">
        <v>61</v>
      </c>
      <c r="G135" s="20"/>
    </row>
    <row r="136" spans="8:8" s="16" ht="16.5" customFormat="1">
      <c r="A136" s="17"/>
      <c r="B136" s="23" t="s">
        <v>526</v>
      </c>
      <c r="C136" s="23" t="s">
        <v>527</v>
      </c>
      <c r="D136" s="23" t="s">
        <v>528</v>
      </c>
      <c r="E136" s="23" t="s">
        <v>529</v>
      </c>
      <c r="F136" s="23" t="s">
        <v>61</v>
      </c>
      <c r="G136" s="20"/>
    </row>
    <row r="137" spans="8:8" s="16" ht="16.5" customFormat="1">
      <c r="A137" s="17"/>
      <c r="B137" s="23" t="s">
        <v>530</v>
      </c>
      <c r="C137" s="23" t="s">
        <v>531</v>
      </c>
      <c r="D137" s="23" t="s">
        <v>532</v>
      </c>
      <c r="E137" s="23" t="s">
        <v>533</v>
      </c>
      <c r="F137" s="23" t="s">
        <v>61</v>
      </c>
      <c r="G137" s="20"/>
    </row>
    <row r="138" spans="8:8" s="16" ht="16.5" customFormat="1">
      <c r="A138" s="17"/>
      <c r="B138" s="23" t="s">
        <v>534</v>
      </c>
      <c r="C138" s="23" t="s">
        <v>535</v>
      </c>
      <c r="D138" s="23" t="s">
        <v>536</v>
      </c>
      <c r="E138" s="23" t="s">
        <v>537</v>
      </c>
      <c r="F138" s="23" t="s">
        <v>219</v>
      </c>
      <c r="G138" s="20"/>
    </row>
    <row r="139" spans="8:8" s="16" ht="16.5" customFormat="1">
      <c r="A139" s="17"/>
      <c r="B139" s="23" t="s">
        <v>538</v>
      </c>
      <c r="C139" s="23" t="s">
        <v>539</v>
      </c>
      <c r="D139" s="23" t="s">
        <v>540</v>
      </c>
      <c r="E139" s="23" t="s">
        <v>541</v>
      </c>
      <c r="F139" s="23" t="s">
        <v>219</v>
      </c>
      <c r="G139" s="20"/>
    </row>
    <row r="140" spans="8:8" s="16" ht="16.5" customFormat="1">
      <c r="A140" s="17"/>
      <c r="B140" s="23" t="s">
        <v>542</v>
      </c>
      <c r="C140" s="23" t="s">
        <v>543</v>
      </c>
      <c r="D140" s="23" t="s">
        <v>544</v>
      </c>
      <c r="E140" s="23" t="s">
        <v>545</v>
      </c>
      <c r="F140" s="23" t="s">
        <v>43</v>
      </c>
      <c r="G140" s="20"/>
    </row>
    <row r="141" spans="8:8" s="16" ht="16.5" customFormat="1">
      <c r="A141" s="17"/>
      <c r="B141" s="23" t="s">
        <v>546</v>
      </c>
      <c r="C141" s="23" t="s">
        <v>547</v>
      </c>
      <c r="D141" s="23" t="s">
        <v>548</v>
      </c>
      <c r="E141" s="23" t="s">
        <v>549</v>
      </c>
      <c r="F141" s="23" t="s">
        <v>33</v>
      </c>
      <c r="G141" s="20"/>
    </row>
    <row r="142" spans="8:8" s="16" ht="16.5" customFormat="1">
      <c r="A142" s="17"/>
      <c r="B142" s="23" t="s">
        <v>550</v>
      </c>
      <c r="C142" s="23" t="s">
        <v>49</v>
      </c>
      <c r="D142" s="23" t="s">
        <v>551</v>
      </c>
      <c r="E142" s="23" t="s">
        <v>552</v>
      </c>
      <c r="F142" s="23" t="s">
        <v>33</v>
      </c>
      <c r="G142" s="20"/>
    </row>
    <row r="143" spans="8:8" s="16" ht="16.5" customFormat="1">
      <c r="A143" s="17"/>
      <c r="B143" s="23" t="s">
        <v>553</v>
      </c>
      <c r="C143" s="23" t="s">
        <v>554</v>
      </c>
      <c r="D143" s="23" t="s">
        <v>555</v>
      </c>
      <c r="E143" s="23" t="s">
        <v>556</v>
      </c>
      <c r="F143" s="23" t="s">
        <v>33</v>
      </c>
      <c r="G143" s="20"/>
    </row>
    <row r="144" spans="8:8" s="16" ht="33.0" customFormat="1">
      <c r="A144" s="17"/>
      <c r="B144" s="23" t="s">
        <v>557</v>
      </c>
      <c r="C144" s="23" t="s">
        <v>558</v>
      </c>
      <c r="D144" s="23" t="s">
        <v>559</v>
      </c>
      <c r="E144" s="23" t="s">
        <v>560</v>
      </c>
      <c r="F144" s="23" t="s">
        <v>61</v>
      </c>
      <c r="G144" s="20"/>
    </row>
    <row r="145" spans="8:8" s="16" ht="16.5" customFormat="1">
      <c r="A145" s="17"/>
      <c r="B145" s="23" t="s">
        <v>561</v>
      </c>
      <c r="C145" s="23" t="s">
        <v>562</v>
      </c>
      <c r="D145" s="23" t="s">
        <v>563</v>
      </c>
      <c r="E145" s="23" t="s">
        <v>564</v>
      </c>
      <c r="F145" s="23" t="s">
        <v>61</v>
      </c>
      <c r="G145" s="20"/>
    </row>
    <row r="146" spans="8:8" s="16" ht="16.5" customFormat="1">
      <c r="A146" s="17"/>
      <c r="B146" s="23" t="s">
        <v>565</v>
      </c>
      <c r="C146" s="23" t="s">
        <v>566</v>
      </c>
      <c r="D146" s="23" t="s">
        <v>567</v>
      </c>
      <c r="E146" s="23" t="s">
        <v>568</v>
      </c>
      <c r="F146" s="23" t="s">
        <v>43</v>
      </c>
      <c r="G146" s="20"/>
    </row>
    <row r="147" spans="8:8" s="16" ht="16.5" customFormat="1">
      <c r="A147" s="17"/>
      <c r="B147" s="23" t="s">
        <v>569</v>
      </c>
      <c r="C147" s="23" t="s">
        <v>570</v>
      </c>
      <c r="D147" s="23" t="s">
        <v>571</v>
      </c>
      <c r="E147" s="23" t="s">
        <v>572</v>
      </c>
      <c r="F147" s="23" t="s">
        <v>43</v>
      </c>
      <c r="G147" s="20"/>
    </row>
    <row r="148" spans="8:8" s="16" ht="16.5" customFormat="1">
      <c r="A148" s="17"/>
      <c r="B148" s="23" t="s">
        <v>573</v>
      </c>
      <c r="C148" s="23" t="s">
        <v>574</v>
      </c>
      <c r="D148" s="23" t="s">
        <v>575</v>
      </c>
      <c r="E148" s="23" t="s">
        <v>576</v>
      </c>
      <c r="F148" s="23" t="s">
        <v>33</v>
      </c>
      <c r="G148" s="20"/>
    </row>
    <row r="149" spans="8:8" s="16" ht="16.5" customFormat="1">
      <c r="A149" s="17"/>
      <c r="B149" s="23" t="s">
        <v>577</v>
      </c>
      <c r="C149" s="23" t="s">
        <v>578</v>
      </c>
      <c r="D149" s="23" t="s">
        <v>579</v>
      </c>
      <c r="E149" s="23" t="s">
        <v>580</v>
      </c>
      <c r="F149" s="23" t="s">
        <v>43</v>
      </c>
      <c r="G149" s="20"/>
    </row>
    <row r="150" spans="8:8" s="16" ht="16.5" customFormat="1">
      <c r="A150" s="17"/>
      <c r="B150" s="23" t="s">
        <v>581</v>
      </c>
      <c r="C150" s="23" t="s">
        <v>582</v>
      </c>
      <c r="D150" s="23" t="s">
        <v>583</v>
      </c>
      <c r="E150" s="23" t="s">
        <v>584</v>
      </c>
      <c r="F150" s="23" t="s">
        <v>24</v>
      </c>
      <c r="G150" s="20"/>
    </row>
    <row r="151" spans="8:8" s="16" ht="16.5" customFormat="1">
      <c r="A151" s="17"/>
      <c r="B151" s="23" t="s">
        <v>585</v>
      </c>
      <c r="C151" s="23" t="s">
        <v>586</v>
      </c>
      <c r="D151" s="23" t="s">
        <v>587</v>
      </c>
      <c r="E151" s="23" t="s">
        <v>588</v>
      </c>
      <c r="F151" s="23" t="s">
        <v>33</v>
      </c>
      <c r="G151" s="20"/>
    </row>
    <row r="152" spans="8:8" s="16" ht="16.5" customFormat="1">
      <c r="A152" s="17"/>
      <c r="B152" s="23" t="s">
        <v>589</v>
      </c>
      <c r="C152" s="23" t="s">
        <v>590</v>
      </c>
      <c r="D152" s="23" t="s">
        <v>591</v>
      </c>
      <c r="E152" s="23" t="s">
        <v>592</v>
      </c>
      <c r="F152" s="23" t="s">
        <v>61</v>
      </c>
      <c r="G152" s="20"/>
    </row>
    <row r="153" spans="8:8" s="16" ht="16.5" customFormat="1">
      <c r="A153" s="17"/>
      <c r="B153" s="23" t="s">
        <v>593</v>
      </c>
      <c r="C153" s="23" t="s">
        <v>594</v>
      </c>
      <c r="D153" s="23" t="s">
        <v>595</v>
      </c>
      <c r="E153" s="23" t="s">
        <v>596</v>
      </c>
      <c r="F153" s="23" t="s">
        <v>434</v>
      </c>
      <c r="G153" s="20"/>
    </row>
    <row r="154" spans="8:8" s="16" ht="16.5" customFormat="1">
      <c r="A154" s="17"/>
      <c r="B154" s="23" t="s">
        <v>597</v>
      </c>
      <c r="C154" s="23" t="s">
        <v>598</v>
      </c>
      <c r="D154" s="23" t="s">
        <v>599</v>
      </c>
      <c r="E154" s="23" t="s">
        <v>600</v>
      </c>
      <c r="F154" s="23" t="s">
        <v>170</v>
      </c>
      <c r="G154" s="20"/>
    </row>
    <row r="155" spans="8:8" s="16" ht="16.5" customFormat="1">
      <c r="A155" s="17"/>
      <c r="B155" s="23" t="s">
        <v>601</v>
      </c>
      <c r="C155" s="23" t="s">
        <v>602</v>
      </c>
      <c r="D155" s="23" t="s">
        <v>603</v>
      </c>
      <c r="E155" s="23" t="s">
        <v>604</v>
      </c>
      <c r="F155" s="23" t="s">
        <v>33</v>
      </c>
      <c r="G155" s="20"/>
    </row>
    <row r="156" spans="8:8" s="16" ht="16.5" customFormat="1">
      <c r="A156" s="17"/>
      <c r="B156" s="23" t="s">
        <v>605</v>
      </c>
      <c r="C156" s="23" t="s">
        <v>606</v>
      </c>
      <c r="D156" s="23" t="s">
        <v>607</v>
      </c>
      <c r="E156" s="23" t="s">
        <v>608</v>
      </c>
      <c r="F156" s="23" t="s">
        <v>33</v>
      </c>
      <c r="G156" s="20"/>
    </row>
    <row r="157" spans="8:8" s="16" ht="16.5" customFormat="1">
      <c r="A157" s="17"/>
      <c r="B157" s="23" t="s">
        <v>609</v>
      </c>
      <c r="C157" s="23" t="s">
        <v>610</v>
      </c>
      <c r="D157" s="23" t="s">
        <v>611</v>
      </c>
      <c r="E157" s="23" t="s">
        <v>612</v>
      </c>
      <c r="F157" s="23" t="s">
        <v>33</v>
      </c>
      <c r="G157" s="20"/>
    </row>
    <row r="158" spans="8:8" s="16" ht="16.5" customFormat="1">
      <c r="A158" s="17"/>
      <c r="B158" s="23" t="s">
        <v>613</v>
      </c>
      <c r="C158" s="23" t="s">
        <v>614</v>
      </c>
      <c r="D158" s="23" t="s">
        <v>615</v>
      </c>
      <c r="E158" s="23" t="s">
        <v>616</v>
      </c>
      <c r="F158" s="23" t="s">
        <v>33</v>
      </c>
      <c r="G158" s="20"/>
    </row>
    <row r="159" spans="8:8" s="16" ht="16.5" customFormat="1">
      <c r="A159" s="17"/>
      <c r="B159" s="23" t="s">
        <v>617</v>
      </c>
      <c r="C159" s="23" t="s">
        <v>618</v>
      </c>
      <c r="D159" s="23" t="s">
        <v>619</v>
      </c>
      <c r="E159" s="23" t="s">
        <v>620</v>
      </c>
      <c r="F159" s="23" t="s">
        <v>33</v>
      </c>
      <c r="G159" s="20"/>
    </row>
    <row r="160" spans="8:8" s="16" ht="16.5" customFormat="1">
      <c r="A160" s="17"/>
      <c r="B160" s="23" t="s">
        <v>621</v>
      </c>
      <c r="C160" s="23" t="s">
        <v>622</v>
      </c>
      <c r="D160" s="23" t="s">
        <v>623</v>
      </c>
      <c r="E160" s="23" t="s">
        <v>624</v>
      </c>
      <c r="F160" s="23" t="s">
        <v>61</v>
      </c>
      <c r="G160" s="20"/>
    </row>
    <row r="161" spans="8:8" s="16" ht="16.5" customFormat="1">
      <c r="A161" s="17"/>
      <c r="B161" s="18" t="s">
        <v>13</v>
      </c>
      <c r="C161" s="18" t="s">
        <v>13</v>
      </c>
      <c r="D161" s="19" t="s">
        <v>625</v>
      </c>
      <c r="E161" s="18" t="s">
        <v>13</v>
      </c>
      <c r="F161" s="18" t="s">
        <v>13</v>
      </c>
      <c r="G161" s="20"/>
    </row>
    <row r="162" spans="8:8" s="16" ht="16.5" customFormat="1">
      <c r="A162" s="17"/>
      <c r="B162" s="23" t="s">
        <v>626</v>
      </c>
      <c r="C162" s="23" t="s">
        <v>627</v>
      </c>
      <c r="D162" s="23" t="s">
        <v>628</v>
      </c>
      <c r="E162" s="23" t="s">
        <v>629</v>
      </c>
      <c r="F162" s="23" t="s">
        <v>61</v>
      </c>
      <c r="G162" s="20"/>
    </row>
    <row r="163" spans="8:8" s="16" ht="16.5" customFormat="1">
      <c r="A163" s="17"/>
      <c r="B163" s="23" t="s">
        <v>630</v>
      </c>
      <c r="C163" s="23" t="s">
        <v>631</v>
      </c>
      <c r="D163" s="23" t="s">
        <v>632</v>
      </c>
      <c r="E163" s="23" t="s">
        <v>633</v>
      </c>
      <c r="F163" s="23" t="s">
        <v>61</v>
      </c>
      <c r="G163" s="20"/>
    </row>
    <row r="164" spans="8:8" s="16" ht="16.5" customFormat="1">
      <c r="A164" s="17"/>
      <c r="B164" s="23" t="s">
        <v>634</v>
      </c>
      <c r="C164" s="23" t="s">
        <v>635</v>
      </c>
      <c r="D164" s="23" t="s">
        <v>636</v>
      </c>
      <c r="E164" s="23" t="s">
        <v>637</v>
      </c>
      <c r="F164" s="23" t="s">
        <v>43</v>
      </c>
      <c r="G164" s="20"/>
    </row>
    <row r="165" spans="8:8" s="16" ht="16.5" customFormat="1">
      <c r="A165" s="17"/>
      <c r="B165" s="23" t="s">
        <v>638</v>
      </c>
      <c r="C165" s="23" t="s">
        <v>639</v>
      </c>
      <c r="D165" s="23" t="s">
        <v>640</v>
      </c>
      <c r="E165" s="23" t="s">
        <v>641</v>
      </c>
      <c r="F165" s="23" t="s">
        <v>43</v>
      </c>
      <c r="G165" s="20"/>
    </row>
    <row r="166" spans="8:8" s="16" ht="16.5" customFormat="1">
      <c r="A166" s="17"/>
      <c r="B166" s="23" t="s">
        <v>642</v>
      </c>
      <c r="C166" s="23" t="s">
        <v>643</v>
      </c>
      <c r="D166" s="23" t="s">
        <v>644</v>
      </c>
      <c r="E166" s="23" t="s">
        <v>645</v>
      </c>
      <c r="F166" s="23" t="s">
        <v>61</v>
      </c>
      <c r="G166" s="20"/>
    </row>
    <row r="167" spans="8:8" s="16" ht="16.5" customFormat="1">
      <c r="A167" s="17"/>
      <c r="B167" s="23" t="s">
        <v>646</v>
      </c>
      <c r="C167" s="23" t="s">
        <v>647</v>
      </c>
      <c r="D167" s="23" t="s">
        <v>648</v>
      </c>
      <c r="E167" s="23" t="s">
        <v>649</v>
      </c>
      <c r="F167" s="23" t="s">
        <v>33</v>
      </c>
      <c r="G167" s="20"/>
    </row>
    <row r="168" spans="8:8" s="16" ht="16.5" customFormat="1">
      <c r="A168" s="17"/>
      <c r="B168" s="23" t="s">
        <v>650</v>
      </c>
      <c r="C168" s="23" t="s">
        <v>651</v>
      </c>
      <c r="D168" s="23" t="s">
        <v>652</v>
      </c>
      <c r="E168" s="23" t="s">
        <v>653</v>
      </c>
      <c r="F168" s="23" t="s">
        <v>33</v>
      </c>
      <c r="G168" s="20"/>
    </row>
    <row r="169" spans="8:8" s="16" ht="16.5" customFormat="1">
      <c r="A169" s="17"/>
      <c r="B169" s="23" t="s">
        <v>654</v>
      </c>
      <c r="C169" s="23" t="s">
        <v>655</v>
      </c>
      <c r="D169" s="23" t="s">
        <v>656</v>
      </c>
      <c r="E169" s="23" t="s">
        <v>657</v>
      </c>
      <c r="F169" s="23" t="s">
        <v>61</v>
      </c>
      <c r="G169" s="20"/>
    </row>
    <row r="170" spans="8:8" s="16" ht="16.5" customFormat="1">
      <c r="A170" s="17"/>
      <c r="B170" s="23" t="s">
        <v>658</v>
      </c>
      <c r="C170" s="23" t="s">
        <v>659</v>
      </c>
      <c r="D170" s="23" t="s">
        <v>660</v>
      </c>
      <c r="E170" s="23" t="s">
        <v>661</v>
      </c>
      <c r="F170" s="23" t="s">
        <v>662</v>
      </c>
      <c r="G170" s="20"/>
    </row>
    <row r="171" spans="8:8" s="16" ht="16.5" customFormat="1">
      <c r="A171" s="17"/>
      <c r="B171" s="23" t="s">
        <v>663</v>
      </c>
      <c r="C171" s="23" t="s">
        <v>664</v>
      </c>
      <c r="D171" s="23" t="s">
        <v>665</v>
      </c>
      <c r="E171" s="23" t="s">
        <v>666</v>
      </c>
      <c r="F171" s="23" t="s">
        <v>61</v>
      </c>
      <c r="G171" s="20"/>
    </row>
    <row r="172" spans="8:8" s="16" ht="16.0" customFormat="1">
      <c r="A172" s="17"/>
      <c r="B172" s="23" t="s">
        <v>667</v>
      </c>
      <c r="C172" s="23" t="s">
        <v>668</v>
      </c>
      <c r="D172" s="23" t="s">
        <v>669</v>
      </c>
      <c r="E172" s="23" t="s">
        <v>670</v>
      </c>
      <c r="F172" s="23" t="s">
        <v>123</v>
      </c>
      <c r="G172" s="20"/>
    </row>
    <row r="173" spans="8:8" s="16" ht="16.5" customFormat="1">
      <c r="A173" s="17"/>
      <c r="B173" s="23" t="s">
        <v>672</v>
      </c>
      <c r="C173" s="23" t="s">
        <v>673</v>
      </c>
      <c r="D173" s="23" t="s">
        <v>674</v>
      </c>
      <c r="E173" s="23" t="s">
        <v>675</v>
      </c>
      <c r="F173" s="23" t="s">
        <v>676</v>
      </c>
      <c r="G173" s="20"/>
    </row>
    <row r="174" spans="8:8" s="16" ht="16.5" customFormat="1">
      <c r="A174" s="17"/>
      <c r="B174" s="23" t="s">
        <v>677</v>
      </c>
      <c r="C174" s="23" t="s">
        <v>678</v>
      </c>
      <c r="D174" s="23" t="s">
        <v>679</v>
      </c>
      <c r="E174" s="23" t="s">
        <v>680</v>
      </c>
      <c r="F174" s="23" t="s">
        <v>676</v>
      </c>
      <c r="G174" s="20"/>
    </row>
    <row r="175" spans="8:8" s="16" ht="20.95" customFormat="1" customHeight="1">
      <c r="A175" s="17"/>
      <c r="B175" s="23" t="s">
        <v>681</v>
      </c>
      <c r="C175" s="23" t="s">
        <v>682</v>
      </c>
      <c r="D175" s="23" t="s">
        <v>683</v>
      </c>
      <c r="E175" s="23" t="s">
        <v>684</v>
      </c>
      <c r="F175" s="23" t="s">
        <v>123</v>
      </c>
      <c r="G175" s="20"/>
    </row>
    <row r="176" spans="8:8" s="16" ht="22.45" customFormat="1" customHeight="1">
      <c r="A176" s="17"/>
      <c r="B176" s="23" t="s">
        <v>685</v>
      </c>
      <c r="C176" s="23" t="s">
        <v>686</v>
      </c>
      <c r="D176" s="23" t="s">
        <v>687</v>
      </c>
      <c r="E176" s="23" t="s">
        <v>680</v>
      </c>
      <c r="F176" s="23" t="s">
        <v>676</v>
      </c>
      <c r="G176" s="20"/>
    </row>
    <row r="177" spans="8:8" s="16" ht="16.5" customFormat="1">
      <c r="A177" s="17"/>
      <c r="B177" s="23" t="s">
        <v>688</v>
      </c>
      <c r="C177" s="23" t="s">
        <v>689</v>
      </c>
      <c r="D177" s="23" t="s">
        <v>690</v>
      </c>
      <c r="E177" s="23" t="s">
        <v>691</v>
      </c>
      <c r="F177" s="23" t="s">
        <v>24</v>
      </c>
      <c r="G177" s="20"/>
    </row>
    <row r="178" spans="8:8" s="16" ht="16.5" customFormat="1">
      <c r="A178" s="17"/>
      <c r="B178" s="23" t="s">
        <v>692</v>
      </c>
      <c r="C178" s="23" t="s">
        <v>693</v>
      </c>
      <c r="D178" s="23" t="s">
        <v>694</v>
      </c>
      <c r="E178" s="23" t="s">
        <v>695</v>
      </c>
      <c r="F178" s="23" t="s">
        <v>61</v>
      </c>
      <c r="G178" s="20"/>
    </row>
    <row r="179" spans="8:8" s="16" ht="16.5" customFormat="1">
      <c r="A179" s="17"/>
      <c r="B179" s="23" t="s">
        <v>696</v>
      </c>
      <c r="C179" s="23" t="s">
        <v>697</v>
      </c>
      <c r="D179" s="23" t="s">
        <v>698</v>
      </c>
      <c r="E179" s="23" t="s">
        <v>699</v>
      </c>
      <c r="F179" s="23" t="s">
        <v>61</v>
      </c>
      <c r="G179" s="20"/>
    </row>
    <row r="180" spans="8:8" s="16" ht="16.5" customFormat="1">
      <c r="A180" s="17"/>
      <c r="B180" s="23" t="s">
        <v>700</v>
      </c>
      <c r="C180" s="23" t="s">
        <v>701</v>
      </c>
      <c r="D180" s="23" t="s">
        <v>702</v>
      </c>
      <c r="E180" s="23" t="s">
        <v>703</v>
      </c>
      <c r="F180" s="23" t="s">
        <v>378</v>
      </c>
      <c r="G180" s="20"/>
    </row>
    <row r="181" spans="8:8" s="16" ht="34.45" customFormat="1" customHeight="1">
      <c r="A181" s="17"/>
      <c r="B181" s="23" t="s">
        <v>704</v>
      </c>
      <c r="C181" s="23" t="s">
        <v>705</v>
      </c>
      <c r="D181" s="23" t="s">
        <v>706</v>
      </c>
      <c r="E181" s="23" t="s">
        <v>707</v>
      </c>
      <c r="F181" s="23" t="s">
        <v>708</v>
      </c>
      <c r="G181" s="20"/>
    </row>
    <row r="182" spans="8:8" s="16" ht="16.5" customFormat="1">
      <c r="A182" s="17"/>
      <c r="B182" s="23" t="s">
        <v>709</v>
      </c>
      <c r="C182" s="23" t="s">
        <v>710</v>
      </c>
      <c r="D182" s="23" t="s">
        <v>711</v>
      </c>
      <c r="E182" s="23" t="s">
        <v>712</v>
      </c>
      <c r="F182" s="23" t="s">
        <v>676</v>
      </c>
      <c r="G182" s="20"/>
    </row>
    <row r="183" spans="8:8" s="16" ht="16.5" customFormat="1">
      <c r="A183" s="17"/>
      <c r="B183" s="23" t="s">
        <v>713</v>
      </c>
      <c r="C183" s="23" t="s">
        <v>714</v>
      </c>
      <c r="D183" s="23" t="s">
        <v>715</v>
      </c>
      <c r="E183" s="23" t="s">
        <v>716</v>
      </c>
      <c r="F183" s="23" t="s">
        <v>61</v>
      </c>
      <c r="G183" s="20"/>
    </row>
    <row r="184" spans="8:8" s="16" ht="16.5" customFormat="1">
      <c r="A184" s="17"/>
      <c r="B184" s="18" t="s">
        <v>13</v>
      </c>
      <c r="C184" s="18" t="s">
        <v>13</v>
      </c>
      <c r="D184" s="19" t="s">
        <v>717</v>
      </c>
      <c r="E184" s="18" t="s">
        <v>13</v>
      </c>
      <c r="F184" s="18" t="s">
        <v>13</v>
      </c>
      <c r="G184" s="20"/>
    </row>
    <row r="185" spans="8:8" s="16" ht="16.5" customFormat="1">
      <c r="A185" s="17"/>
      <c r="B185" s="23" t="s">
        <v>718</v>
      </c>
      <c r="C185" s="23" t="s">
        <v>719</v>
      </c>
      <c r="D185" s="23" t="s">
        <v>720</v>
      </c>
      <c r="E185" s="23" t="s">
        <v>721</v>
      </c>
      <c r="F185" s="23" t="s">
        <v>722</v>
      </c>
      <c r="G185" s="20"/>
    </row>
    <row r="186" spans="8:8" s="16" ht="33.0" customFormat="1">
      <c r="A186" s="17"/>
      <c r="B186" s="23" t="s">
        <v>723</v>
      </c>
      <c r="C186" s="23" t="s">
        <v>724</v>
      </c>
      <c r="D186" s="23" t="s">
        <v>725</v>
      </c>
      <c r="E186" s="23" t="s">
        <v>726</v>
      </c>
      <c r="F186" s="23" t="s">
        <v>61</v>
      </c>
      <c r="G186" s="20"/>
    </row>
    <row r="187" spans="8:8" s="16" ht="16.5" customFormat="1">
      <c r="A187" s="17"/>
      <c r="B187" s="23" t="s">
        <v>727</v>
      </c>
      <c r="C187" s="23" t="s">
        <v>728</v>
      </c>
      <c r="D187" s="23" t="s">
        <v>729</v>
      </c>
      <c r="E187" s="23" t="s">
        <v>730</v>
      </c>
      <c r="F187" s="23" t="s">
        <v>61</v>
      </c>
      <c r="G187" s="20"/>
    </row>
    <row r="188" spans="8:8" s="16" ht="46.45" customFormat="1" customHeight="1">
      <c r="A188" s="17"/>
      <c r="B188" s="23" t="s">
        <v>731</v>
      </c>
      <c r="C188" s="23" t="s">
        <v>732</v>
      </c>
      <c r="D188" s="23" t="s">
        <v>733</v>
      </c>
      <c r="E188" s="23" t="s">
        <v>734</v>
      </c>
      <c r="F188" s="23" t="s">
        <v>735</v>
      </c>
      <c r="G188" s="20"/>
    </row>
    <row r="189" spans="8:8" s="16" ht="16.5" customFormat="1">
      <c r="A189" s="17"/>
      <c r="B189" s="18" t="s">
        <v>13</v>
      </c>
      <c r="C189" s="18" t="s">
        <v>13</v>
      </c>
      <c r="D189" s="18" t="s">
        <v>736</v>
      </c>
      <c r="E189" s="18" t="s">
        <v>13</v>
      </c>
      <c r="F189" s="18" t="s">
        <v>13</v>
      </c>
      <c r="G189" s="20"/>
    </row>
    <row r="190" spans="8:8" s="16" ht="17.6" customFormat="1" customHeight="1">
      <c r="A190" s="17"/>
      <c r="B190" s="23" t="s">
        <v>737</v>
      </c>
      <c r="C190" s="23" t="s">
        <v>10166</v>
      </c>
      <c r="D190" s="23" t="s">
        <v>739</v>
      </c>
      <c r="E190" s="23" t="s">
        <v>740</v>
      </c>
      <c r="F190" s="23" t="s">
        <v>741</v>
      </c>
      <c r="G190" s="20"/>
    </row>
    <row r="191" spans="8:8" s="16" ht="17.6" customFormat="1" customHeight="1">
      <c r="A191" s="17"/>
      <c r="B191" s="23" t="s">
        <v>742</v>
      </c>
      <c r="C191" s="23" t="s">
        <v>10167</v>
      </c>
      <c r="D191" s="23" t="s">
        <v>744</v>
      </c>
      <c r="E191" s="23" t="s">
        <v>745</v>
      </c>
      <c r="F191" s="23" t="s">
        <v>741</v>
      </c>
      <c r="G191" s="20"/>
    </row>
    <row r="192" spans="8:8" s="16" ht="16.5" customFormat="1">
      <c r="A192" s="17"/>
      <c r="B192" s="24"/>
      <c r="C192" s="24"/>
      <c r="D192" s="24"/>
      <c r="E192" s="24"/>
      <c r="F192" s="24"/>
      <c r="G192" s="20"/>
    </row>
    <row r="193" spans="8:8" s="9" ht="29.25" customFormat="1">
      <c r="A193" s="25"/>
      <c r="B193" s="26" t="s">
        <v>746</v>
      </c>
      <c r="C193" s="26" t="s">
        <v>6</v>
      </c>
      <c r="D193" s="26" t="s">
        <v>747</v>
      </c>
      <c r="E193" s="26" t="s">
        <v>748</v>
      </c>
      <c r="F193" s="27"/>
      <c r="G193" s="28"/>
      <c r="H193" s="14"/>
      <c r="I193" s="15"/>
    </row>
    <row r="194" spans="8:8" s="9" ht="29.25" customFormat="1">
      <c r="A194" s="25"/>
      <c r="B194" s="26" t="s">
        <v>8</v>
      </c>
      <c r="C194" s="26" t="s">
        <v>9</v>
      </c>
      <c r="D194" s="26" t="s">
        <v>10</v>
      </c>
      <c r="E194" s="26" t="s">
        <v>11</v>
      </c>
      <c r="F194" s="26" t="s">
        <v>12</v>
      </c>
      <c r="G194" s="28"/>
      <c r="H194" s="14"/>
      <c r="I194" s="15"/>
    </row>
    <row r="195" spans="8:8" s="16" ht="16.5" customFormat="1">
      <c r="A195" s="29"/>
      <c r="B195" s="23" t="s">
        <v>15</v>
      </c>
      <c r="C195" s="23" t="s">
        <v>16</v>
      </c>
      <c r="D195" s="23" t="s">
        <v>749</v>
      </c>
      <c r="E195" s="23" t="s">
        <v>750</v>
      </c>
      <c r="F195" s="23" t="s">
        <v>24</v>
      </c>
      <c r="G195" s="30"/>
      <c r="H195" s="21"/>
      <c r="I195" s="22"/>
    </row>
    <row r="196" spans="8:8" s="16" ht="16.5" customFormat="1">
      <c r="A196" s="29"/>
      <c r="B196" s="23" t="s">
        <v>751</v>
      </c>
      <c r="C196" s="23" t="s">
        <v>752</v>
      </c>
      <c r="D196" s="23" t="s">
        <v>753</v>
      </c>
      <c r="E196" s="23" t="s">
        <v>754</v>
      </c>
      <c r="F196" s="23" t="s">
        <v>33</v>
      </c>
      <c r="G196" s="30"/>
    </row>
    <row r="197" spans="8:8" s="16" ht="16.5" customFormat="1">
      <c r="A197" s="29"/>
      <c r="B197" s="23" t="s">
        <v>755</v>
      </c>
      <c r="C197" s="23" t="s">
        <v>756</v>
      </c>
      <c r="D197" s="23" t="s">
        <v>757</v>
      </c>
      <c r="E197" s="23" t="s">
        <v>758</v>
      </c>
      <c r="F197" s="23" t="s">
        <v>43</v>
      </c>
      <c r="G197" s="30"/>
    </row>
    <row r="198" spans="8:8" s="16" ht="16.5" customFormat="1">
      <c r="A198" s="29"/>
      <c r="B198" s="23" t="s">
        <v>759</v>
      </c>
      <c r="C198" s="23" t="s">
        <v>760</v>
      </c>
      <c r="D198" s="23" t="s">
        <v>761</v>
      </c>
      <c r="E198" s="23" t="s">
        <v>762</v>
      </c>
      <c r="F198" s="23" t="s">
        <v>61</v>
      </c>
      <c r="G198" s="30"/>
    </row>
    <row r="199" spans="8:8" s="16" ht="16.5" customFormat="1">
      <c r="A199" s="29"/>
      <c r="B199" s="23" t="s">
        <v>763</v>
      </c>
      <c r="C199" s="23" t="s">
        <v>764</v>
      </c>
      <c r="D199" s="23" t="s">
        <v>765</v>
      </c>
      <c r="E199" s="23" t="s">
        <v>766</v>
      </c>
      <c r="F199" s="23" t="s">
        <v>434</v>
      </c>
      <c r="G199" s="30"/>
    </row>
    <row r="200" spans="8:8" s="16" ht="16.5" customFormat="1">
      <c r="A200" s="29"/>
      <c r="B200" s="23" t="s">
        <v>292</v>
      </c>
      <c r="C200" s="23" t="s">
        <v>293</v>
      </c>
      <c r="D200" s="23" t="s">
        <v>767</v>
      </c>
      <c r="E200" s="23" t="s">
        <v>768</v>
      </c>
      <c r="F200" s="23" t="s">
        <v>434</v>
      </c>
      <c r="G200" s="30"/>
    </row>
    <row r="201" spans="8:8" s="16" ht="16.5" customFormat="1">
      <c r="A201" s="29"/>
      <c r="B201" s="23" t="s">
        <v>769</v>
      </c>
      <c r="C201" s="23" t="s">
        <v>770</v>
      </c>
      <c r="D201" s="23" t="s">
        <v>771</v>
      </c>
      <c r="E201" s="23" t="s">
        <v>772</v>
      </c>
      <c r="F201" s="23" t="s">
        <v>19</v>
      </c>
      <c r="G201" s="30"/>
    </row>
    <row r="202" spans="8:8" s="16" ht="16.5" customFormat="1">
      <c r="A202" s="29"/>
      <c r="B202" s="23" t="s">
        <v>773</v>
      </c>
      <c r="C202" s="23" t="s">
        <v>774</v>
      </c>
      <c r="D202" s="23" t="s">
        <v>775</v>
      </c>
      <c r="E202" s="23" t="s">
        <v>776</v>
      </c>
      <c r="F202" s="23" t="s">
        <v>19</v>
      </c>
      <c r="G202" s="30"/>
    </row>
    <row r="203" spans="8:8" s="16" ht="16.5" customFormat="1">
      <c r="A203" s="29"/>
      <c r="B203" s="23" t="s">
        <v>777</v>
      </c>
      <c r="C203" s="23" t="s">
        <v>778</v>
      </c>
      <c r="D203" s="23" t="s">
        <v>779</v>
      </c>
      <c r="E203" s="23" t="s">
        <v>780</v>
      </c>
      <c r="F203" s="23" t="s">
        <v>434</v>
      </c>
      <c r="G203" s="30"/>
    </row>
    <row r="204" spans="8:8" s="16" ht="16.5" customFormat="1">
      <c r="A204" s="29"/>
      <c r="B204" s="23" t="s">
        <v>781</v>
      </c>
      <c r="C204" s="23" t="s">
        <v>770</v>
      </c>
      <c r="D204" s="23" t="s">
        <v>782</v>
      </c>
      <c r="E204" s="23" t="s">
        <v>783</v>
      </c>
      <c r="F204" s="23" t="s">
        <v>19</v>
      </c>
      <c r="G204" s="30"/>
    </row>
    <row r="205" spans="8:8" s="16" ht="16.5" customFormat="1">
      <c r="A205" s="29"/>
      <c r="B205" s="23" t="s">
        <v>784</v>
      </c>
      <c r="C205" s="23" t="s">
        <v>785</v>
      </c>
      <c r="D205" s="23" t="s">
        <v>786</v>
      </c>
      <c r="E205" s="23" t="s">
        <v>787</v>
      </c>
      <c r="F205" s="23" t="s">
        <v>434</v>
      </c>
      <c r="G205" s="30"/>
    </row>
    <row r="206" spans="8:8" s="16" ht="16.5" customFormat="1">
      <c r="A206" s="29"/>
      <c r="B206" s="23" t="s">
        <v>788</v>
      </c>
      <c r="C206" s="23" t="s">
        <v>789</v>
      </c>
      <c r="D206" s="23" t="s">
        <v>790</v>
      </c>
      <c r="E206" s="23" t="s">
        <v>791</v>
      </c>
      <c r="F206" s="23" t="s">
        <v>19</v>
      </c>
      <c r="G206" s="30"/>
    </row>
    <row r="207" spans="8:8" s="16" ht="16.5" customFormat="1">
      <c r="A207" s="29"/>
      <c r="B207" s="23" t="s">
        <v>792</v>
      </c>
      <c r="C207" s="23" t="s">
        <v>793</v>
      </c>
      <c r="D207" s="23" t="s">
        <v>794</v>
      </c>
      <c r="E207" s="23" t="s">
        <v>795</v>
      </c>
      <c r="F207" s="23" t="s">
        <v>796</v>
      </c>
      <c r="G207" s="30"/>
    </row>
    <row r="208" spans="8:8" s="16" ht="33.0" customFormat="1">
      <c r="A208" s="29"/>
      <c r="B208" s="23" t="s">
        <v>34</v>
      </c>
      <c r="C208" s="23" t="s">
        <v>35</v>
      </c>
      <c r="D208" s="23" t="s">
        <v>797</v>
      </c>
      <c r="E208" s="23" t="s">
        <v>798</v>
      </c>
      <c r="F208" s="23" t="s">
        <v>796</v>
      </c>
      <c r="G208" s="30"/>
    </row>
    <row r="209" spans="8:8" s="16" ht="16.5" customFormat="1">
      <c r="A209" s="29"/>
      <c r="B209" s="23" t="s">
        <v>799</v>
      </c>
      <c r="C209" s="23" t="s">
        <v>800</v>
      </c>
      <c r="D209" s="23" t="s">
        <v>801</v>
      </c>
      <c r="E209" s="23" t="s">
        <v>802</v>
      </c>
      <c r="F209" s="23" t="s">
        <v>434</v>
      </c>
      <c r="G209" s="30"/>
    </row>
    <row r="210" spans="8:8" s="16" ht="16.5" customFormat="1">
      <c r="A210" s="29"/>
      <c r="B210" s="23" t="s">
        <v>803</v>
      </c>
      <c r="C210" s="23" t="s">
        <v>804</v>
      </c>
      <c r="D210" s="23" t="s">
        <v>805</v>
      </c>
      <c r="E210" s="23" t="s">
        <v>806</v>
      </c>
      <c r="F210" s="23" t="s">
        <v>61</v>
      </c>
      <c r="G210" s="30"/>
    </row>
    <row r="211" spans="8:8" s="16" ht="16.5" customFormat="1">
      <c r="A211" s="29"/>
      <c r="B211" s="23" t="s">
        <v>807</v>
      </c>
      <c r="C211" s="23" t="s">
        <v>808</v>
      </c>
      <c r="D211" s="23" t="s">
        <v>809</v>
      </c>
      <c r="E211" s="23" t="s">
        <v>810</v>
      </c>
      <c r="F211" s="23" t="s">
        <v>19</v>
      </c>
      <c r="G211" s="30"/>
    </row>
    <row r="212" spans="8:8" s="16" ht="16.5" customFormat="1">
      <c r="A212" s="29"/>
      <c r="B212" s="24"/>
      <c r="C212" s="24"/>
      <c r="D212" s="24"/>
      <c r="E212" s="24"/>
      <c r="F212" s="24"/>
      <c r="G212" s="30"/>
    </row>
    <row r="213" spans="8:8" s="16" ht="16.5" customFormat="1">
      <c r="A213" s="29"/>
      <c r="B213" s="31"/>
      <c r="C213" s="31"/>
      <c r="D213" s="31"/>
      <c r="E213" s="31"/>
      <c r="F213" s="31"/>
      <c r="G213" s="29"/>
      <c r="H213" s="21"/>
      <c r="I213" s="22"/>
    </row>
    <row r="214" spans="8:8" s="9" ht="29.25" customFormat="1">
      <c r="A214" s="32"/>
      <c r="B214" s="33" t="s">
        <v>811</v>
      </c>
      <c r="C214" s="33" t="s">
        <v>812</v>
      </c>
      <c r="D214" s="33" t="s">
        <v>813</v>
      </c>
      <c r="E214" s="33"/>
      <c r="F214" s="33"/>
      <c r="G214" s="32"/>
      <c r="H214" s="14"/>
      <c r="I214" s="15"/>
    </row>
    <row r="215" spans="8:8" s="9" ht="29.25" customFormat="1">
      <c r="A215" s="32"/>
      <c r="B215" s="33" t="s">
        <v>814</v>
      </c>
      <c r="C215" s="33" t="s">
        <v>815</v>
      </c>
      <c r="D215" s="33" t="s">
        <v>816</v>
      </c>
      <c r="E215" s="33" t="s">
        <v>817</v>
      </c>
      <c r="F215" s="33" t="s">
        <v>818</v>
      </c>
      <c r="G215" s="32"/>
      <c r="H215" s="14"/>
      <c r="I215" s="15"/>
    </row>
    <row r="216" spans="8:8" s="16" ht="17.7" customFormat="1">
      <c r="A216" s="34"/>
      <c r="B216" s="35" t="s">
        <v>819</v>
      </c>
      <c r="C216" s="35" t="s">
        <v>820</v>
      </c>
      <c r="D216" s="35" t="s">
        <v>821</v>
      </c>
      <c r="E216" s="35" t="s">
        <v>822</v>
      </c>
      <c r="F216" s="35" t="s">
        <v>819</v>
      </c>
      <c r="G216" s="34"/>
      <c r="H216" s="21"/>
      <c r="I216" s="22"/>
    </row>
    <row r="217" spans="8:8" s="16" ht="17.7" customFormat="1">
      <c r="A217" s="34"/>
      <c r="B217" s="35" t="s">
        <v>823</v>
      </c>
      <c r="C217" s="35" t="s">
        <v>824</v>
      </c>
      <c r="D217" s="35" t="s">
        <v>825</v>
      </c>
      <c r="E217" s="35" t="s">
        <v>826</v>
      </c>
      <c r="F217" s="35" t="s">
        <v>819</v>
      </c>
      <c r="G217" s="34"/>
      <c r="H217" s="21"/>
      <c r="I217" s="22"/>
    </row>
    <row r="218" spans="8:8" s="16" ht="17.7" customFormat="1">
      <c r="A218" s="34"/>
      <c r="B218" s="35" t="s">
        <v>827</v>
      </c>
      <c r="C218" s="35" t="s">
        <v>828</v>
      </c>
      <c r="D218" s="35" t="s">
        <v>829</v>
      </c>
      <c r="E218" s="35" t="s">
        <v>830</v>
      </c>
      <c r="F218" s="35" t="s">
        <v>123</v>
      </c>
      <c r="G218" s="34"/>
      <c r="H218" s="21"/>
      <c r="I218" s="22"/>
    </row>
    <row r="219" spans="8:8" s="16" ht="17.7" customFormat="1">
      <c r="A219" s="34"/>
      <c r="B219" s="35" t="s">
        <v>831</v>
      </c>
      <c r="C219" s="35" t="s">
        <v>832</v>
      </c>
      <c r="D219" s="35" t="s">
        <v>833</v>
      </c>
      <c r="E219" s="35" t="s">
        <v>834</v>
      </c>
      <c r="F219" s="35" t="s">
        <v>819</v>
      </c>
      <c r="G219" s="34"/>
      <c r="H219" s="21"/>
      <c r="I219" s="22"/>
    </row>
    <row r="220" spans="8:8" s="16" ht="17.7" customFormat="1">
      <c r="A220" s="34"/>
      <c r="B220" s="35" t="s">
        <v>835</v>
      </c>
      <c r="C220" s="35" t="s">
        <v>836</v>
      </c>
      <c r="D220" s="35" t="s">
        <v>837</v>
      </c>
      <c r="E220" s="35" t="s">
        <v>838</v>
      </c>
      <c r="F220" s="35" t="s">
        <v>819</v>
      </c>
      <c r="G220" s="34"/>
      <c r="H220" s="21"/>
      <c r="I220" s="22"/>
    </row>
    <row r="221" spans="8:8" s="16" ht="17.7" customFormat="1">
      <c r="A221" s="34"/>
      <c r="B221" s="35" t="s">
        <v>839</v>
      </c>
      <c r="C221" s="35" t="s">
        <v>840</v>
      </c>
      <c r="D221" s="35" t="s">
        <v>841</v>
      </c>
      <c r="E221" s="35" t="s">
        <v>842</v>
      </c>
      <c r="F221" s="35" t="s">
        <v>43</v>
      </c>
      <c r="G221" s="34"/>
      <c r="H221" s="21"/>
      <c r="I221" s="22"/>
    </row>
    <row r="222" spans="8:8" s="16" ht="17.7" customFormat="1">
      <c r="A222" s="34"/>
      <c r="B222" s="35" t="s">
        <v>843</v>
      </c>
      <c r="C222" s="35" t="s">
        <v>844</v>
      </c>
      <c r="D222" s="35" t="s">
        <v>845</v>
      </c>
      <c r="E222" s="35" t="s">
        <v>846</v>
      </c>
      <c r="F222" s="35" t="s">
        <v>43</v>
      </c>
      <c r="G222" s="34"/>
      <c r="H222" s="21"/>
      <c r="I222" s="22"/>
    </row>
    <row r="223" spans="8:8" s="16" ht="23.7" customFormat="1" customHeight="1">
      <c r="A223" s="34"/>
      <c r="B223" s="35" t="s">
        <v>847</v>
      </c>
      <c r="C223" s="35" t="s">
        <v>848</v>
      </c>
      <c r="D223" s="35" t="s">
        <v>849</v>
      </c>
      <c r="E223" s="35" t="s">
        <v>850</v>
      </c>
      <c r="F223" s="35" t="s">
        <v>851</v>
      </c>
      <c r="G223" s="34"/>
      <c r="H223" s="21"/>
      <c r="I223" s="22"/>
    </row>
    <row r="224" spans="8:8" s="16" ht="20.75" customFormat="1" customHeight="1">
      <c r="A224" s="34"/>
      <c r="B224" s="35" t="s">
        <v>852</v>
      </c>
      <c r="C224" s="35" t="s">
        <v>853</v>
      </c>
      <c r="D224" s="35" t="s">
        <v>854</v>
      </c>
      <c r="E224" s="35" t="s">
        <v>855</v>
      </c>
      <c r="F224" s="35" t="s">
        <v>856</v>
      </c>
      <c r="G224" s="34"/>
      <c r="H224" s="21"/>
      <c r="I224" s="22"/>
    </row>
    <row r="225" spans="8:8" s="16" ht="17.7" customFormat="1">
      <c r="A225" s="34"/>
      <c r="B225" s="35" t="s">
        <v>857</v>
      </c>
      <c r="C225" s="35" t="s">
        <v>858</v>
      </c>
      <c r="D225" s="35" t="s">
        <v>859</v>
      </c>
      <c r="E225" s="35" t="s">
        <v>860</v>
      </c>
      <c r="F225" s="35" t="s">
        <v>123</v>
      </c>
      <c r="G225" s="34"/>
      <c r="H225" s="21"/>
      <c r="I225" s="22"/>
    </row>
    <row r="226" spans="8:8" s="16" ht="17.7" customFormat="1">
      <c r="A226" s="34"/>
      <c r="B226" s="35" t="s">
        <v>861</v>
      </c>
      <c r="C226" s="35" t="s">
        <v>862</v>
      </c>
      <c r="D226" s="35" t="s">
        <v>863</v>
      </c>
      <c r="E226" s="35" t="s">
        <v>864</v>
      </c>
      <c r="F226" s="35" t="s">
        <v>123</v>
      </c>
      <c r="G226" s="34"/>
      <c r="H226" s="21"/>
      <c r="I226" s="22"/>
    </row>
    <row r="227" spans="8:8" s="16" ht="17.7" customFormat="1">
      <c r="A227" s="34"/>
      <c r="B227" s="35" t="s">
        <v>865</v>
      </c>
      <c r="C227" s="35" t="s">
        <v>866</v>
      </c>
      <c r="D227" s="35" t="s">
        <v>867</v>
      </c>
      <c r="E227" s="35" t="s">
        <v>868</v>
      </c>
      <c r="F227" s="35" t="s">
        <v>869</v>
      </c>
      <c r="G227" s="34"/>
      <c r="H227" s="21"/>
      <c r="I227" s="22"/>
    </row>
    <row r="228" spans="8:8" s="16" ht="17.7" customFormat="1">
      <c r="A228" s="34"/>
      <c r="B228" s="35" t="s">
        <v>870</v>
      </c>
      <c r="C228" s="35" t="s">
        <v>871</v>
      </c>
      <c r="D228" s="35" t="s">
        <v>872</v>
      </c>
      <c r="E228" s="35" t="s">
        <v>873</v>
      </c>
      <c r="F228" s="35" t="s">
        <v>851</v>
      </c>
      <c r="G228" s="34"/>
      <c r="H228" s="21"/>
      <c r="I228" s="22"/>
    </row>
    <row r="229" spans="8:8" s="16" ht="17.7" customFormat="1">
      <c r="A229" s="34"/>
      <c r="B229" s="35" t="s">
        <v>874</v>
      </c>
      <c r="C229" s="35" t="s">
        <v>875</v>
      </c>
      <c r="D229" s="35" t="s">
        <v>876</v>
      </c>
      <c r="E229" s="35" t="s">
        <v>877</v>
      </c>
      <c r="F229" s="35" t="s">
        <v>851</v>
      </c>
      <c r="G229" s="34"/>
      <c r="H229" s="21"/>
      <c r="I229" s="22"/>
    </row>
    <row r="230" spans="8:8" s="16" ht="17.7" customFormat="1">
      <c r="A230" s="34"/>
      <c r="B230" s="35" t="s">
        <v>878</v>
      </c>
      <c r="C230" s="35" t="s">
        <v>879</v>
      </c>
      <c r="D230" s="35" t="s">
        <v>880</v>
      </c>
      <c r="E230" s="35" t="s">
        <v>881</v>
      </c>
      <c r="F230" s="35" t="s">
        <v>869</v>
      </c>
      <c r="G230" s="34"/>
      <c r="H230" s="21"/>
      <c r="I230" s="22"/>
    </row>
    <row r="231" spans="8:8" s="16" ht="17.7" customFormat="1">
      <c r="A231" s="34"/>
      <c r="B231" s="35" t="s">
        <v>882</v>
      </c>
      <c r="C231" s="35" t="s">
        <v>883</v>
      </c>
      <c r="D231" s="35" t="s">
        <v>884</v>
      </c>
      <c r="E231" s="35" t="s">
        <v>885</v>
      </c>
      <c r="F231" s="35" t="s">
        <v>851</v>
      </c>
      <c r="G231" s="34"/>
      <c r="H231" s="21"/>
      <c r="I231" s="22"/>
    </row>
    <row r="232" spans="8:8" s="16" ht="17.7" customFormat="1">
      <c r="A232" s="34"/>
      <c r="B232" s="35" t="s">
        <v>886</v>
      </c>
      <c r="C232" s="35" t="s">
        <v>887</v>
      </c>
      <c r="D232" s="35" t="s">
        <v>888</v>
      </c>
      <c r="E232" s="35" t="s">
        <v>889</v>
      </c>
      <c r="F232" s="35" t="s">
        <v>819</v>
      </c>
      <c r="G232" s="34"/>
      <c r="H232" s="21"/>
      <c r="I232" s="22"/>
    </row>
    <row r="233" spans="8:8" s="16" ht="17.7" customFormat="1">
      <c r="A233" s="34"/>
      <c r="B233" s="35" t="s">
        <v>890</v>
      </c>
      <c r="C233" s="35" t="s">
        <v>891</v>
      </c>
      <c r="D233" s="35" t="s">
        <v>892</v>
      </c>
      <c r="E233" s="35" t="s">
        <v>893</v>
      </c>
      <c r="F233" s="35" t="s">
        <v>123</v>
      </c>
      <c r="G233" s="34"/>
      <c r="H233" s="21"/>
      <c r="I233" s="22"/>
    </row>
    <row r="234" spans="8:8" s="16" ht="17.7" customFormat="1">
      <c r="A234" s="34"/>
      <c r="B234" s="35" t="s">
        <v>894</v>
      </c>
      <c r="C234" s="35" t="s">
        <v>895</v>
      </c>
      <c r="D234" s="35" t="s">
        <v>896</v>
      </c>
      <c r="E234" s="35" t="s">
        <v>897</v>
      </c>
      <c r="F234" s="35" t="s">
        <v>819</v>
      </c>
      <c r="G234" s="34"/>
      <c r="H234" s="21"/>
      <c r="I234" s="22"/>
    </row>
    <row r="235" spans="8:8" s="16" ht="17.7" customFormat="1">
      <c r="A235" s="34"/>
      <c r="B235" s="35" t="s">
        <v>898</v>
      </c>
      <c r="C235" s="35" t="s">
        <v>899</v>
      </c>
      <c r="D235" s="35" t="s">
        <v>900</v>
      </c>
      <c r="E235" s="35" t="s">
        <v>901</v>
      </c>
      <c r="F235" s="35" t="s">
        <v>123</v>
      </c>
      <c r="G235" s="34"/>
      <c r="H235" s="21"/>
      <c r="I235" s="22"/>
    </row>
    <row r="236" spans="8:8" s="16" ht="17.7" customFormat="1">
      <c r="A236" s="34"/>
      <c r="B236" s="35" t="s">
        <v>902</v>
      </c>
      <c r="C236" s="35" t="s">
        <v>903</v>
      </c>
      <c r="D236" s="35" t="s">
        <v>904</v>
      </c>
      <c r="E236" s="35" t="s">
        <v>905</v>
      </c>
      <c r="F236" s="35" t="s">
        <v>123</v>
      </c>
      <c r="G236" s="34"/>
      <c r="H236" s="21"/>
      <c r="I236" s="22"/>
    </row>
    <row r="237" spans="8:8" s="16" ht="16.5" customFormat="1">
      <c r="A237" s="34"/>
      <c r="B237" s="36" t="s">
        <v>906</v>
      </c>
      <c r="C237" s="36" t="s">
        <v>906</v>
      </c>
      <c r="D237" s="37" t="s">
        <v>907</v>
      </c>
      <c r="E237" s="36" t="s">
        <v>906</v>
      </c>
      <c r="F237" s="36" t="s">
        <v>906</v>
      </c>
      <c r="G237" s="34"/>
      <c r="H237" s="21"/>
      <c r="I237" s="22"/>
    </row>
    <row r="238" spans="8:8" s="16" ht="17.7" customFormat="1">
      <c r="A238" s="34"/>
      <c r="B238" s="35" t="s">
        <v>908</v>
      </c>
      <c r="C238" s="35" t="s">
        <v>909</v>
      </c>
      <c r="D238" s="35" t="s">
        <v>910</v>
      </c>
      <c r="E238" s="35" t="s">
        <v>911</v>
      </c>
      <c r="F238" s="35" t="s">
        <v>819</v>
      </c>
      <c r="G238" s="34"/>
      <c r="H238" s="21"/>
      <c r="I238" s="22"/>
    </row>
    <row r="239" spans="8:8" s="16" ht="17.7" customFormat="1">
      <c r="A239" s="34"/>
      <c r="B239" s="35" t="s">
        <v>912</v>
      </c>
      <c r="C239" s="35" t="s">
        <v>913</v>
      </c>
      <c r="D239" s="35" t="s">
        <v>914</v>
      </c>
      <c r="E239" s="35" t="s">
        <v>915</v>
      </c>
      <c r="F239" s="35" t="s">
        <v>851</v>
      </c>
      <c r="G239" s="34"/>
      <c r="H239" s="21"/>
      <c r="I239" s="22"/>
    </row>
    <row r="240" spans="8:8" s="16" ht="17.7" customFormat="1">
      <c r="A240" s="34"/>
      <c r="B240" s="35" t="s">
        <v>916</v>
      </c>
      <c r="C240" s="35" t="s">
        <v>917</v>
      </c>
      <c r="D240" s="35" t="s">
        <v>918</v>
      </c>
      <c r="E240" s="35" t="s">
        <v>919</v>
      </c>
      <c r="F240" s="35" t="s">
        <v>123</v>
      </c>
      <c r="G240" s="34"/>
      <c r="H240" s="21"/>
      <c r="I240" s="22"/>
    </row>
    <row r="241" spans="8:8" s="16" ht="17.7" customFormat="1">
      <c r="A241" s="34"/>
      <c r="B241" s="35" t="s">
        <v>920</v>
      </c>
      <c r="C241" s="35" t="s">
        <v>913</v>
      </c>
      <c r="D241" s="35" t="s">
        <v>921</v>
      </c>
      <c r="E241" s="35" t="s">
        <v>922</v>
      </c>
      <c r="F241" s="35" t="s">
        <v>851</v>
      </c>
      <c r="G241" s="34"/>
      <c r="H241" s="21"/>
      <c r="I241" s="22"/>
    </row>
    <row r="242" spans="8:8" s="16" ht="17.7" customFormat="1">
      <c r="A242" s="34"/>
      <c r="B242" s="35" t="s">
        <v>923</v>
      </c>
      <c r="C242" s="35" t="s">
        <v>924</v>
      </c>
      <c r="D242" s="35" t="s">
        <v>925</v>
      </c>
      <c r="E242" s="35" t="s">
        <v>926</v>
      </c>
      <c r="F242" s="35" t="s">
        <v>123</v>
      </c>
      <c r="G242" s="34"/>
      <c r="H242" s="21"/>
      <c r="I242" s="22"/>
    </row>
    <row r="243" spans="8:8" s="16" ht="17.7" customFormat="1">
      <c r="A243" s="34"/>
      <c r="B243" s="35" t="s">
        <v>927</v>
      </c>
      <c r="C243" s="35" t="s">
        <v>928</v>
      </c>
      <c r="D243" s="35" t="s">
        <v>929</v>
      </c>
      <c r="E243" s="35" t="s">
        <v>930</v>
      </c>
      <c r="F243" s="35" t="s">
        <v>123</v>
      </c>
      <c r="G243" s="34"/>
      <c r="H243" s="21"/>
      <c r="I243" s="22"/>
    </row>
    <row r="244" spans="8:8" s="16" ht="16.5" customFormat="1">
      <c r="A244" s="34"/>
      <c r="B244" s="36" t="s">
        <v>906</v>
      </c>
      <c r="C244" s="36" t="s">
        <v>906</v>
      </c>
      <c r="D244" s="37" t="s">
        <v>931</v>
      </c>
      <c r="E244" s="36" t="s">
        <v>906</v>
      </c>
      <c r="F244" s="36" t="s">
        <v>906</v>
      </c>
      <c r="G244" s="34"/>
      <c r="H244" s="21"/>
      <c r="I244" s="22"/>
    </row>
    <row r="245" spans="8:8" s="16" ht="21.7" customFormat="1" customHeight="1">
      <c r="A245" s="34"/>
      <c r="B245" s="35" t="s">
        <v>932</v>
      </c>
      <c r="C245" s="35" t="s">
        <v>933</v>
      </c>
      <c r="D245" s="35" t="s">
        <v>934</v>
      </c>
      <c r="E245" s="35" t="s">
        <v>935</v>
      </c>
      <c r="F245" s="35" t="s">
        <v>819</v>
      </c>
      <c r="G245" s="34"/>
      <c r="H245" s="21"/>
      <c r="I245" s="22"/>
    </row>
    <row r="246" spans="8:8" s="16" ht="17.7" customFormat="1">
      <c r="A246" s="34"/>
      <c r="B246" s="35" t="s">
        <v>936</v>
      </c>
      <c r="C246" s="35" t="s">
        <v>937</v>
      </c>
      <c r="D246" s="35" t="s">
        <v>938</v>
      </c>
      <c r="E246" s="35" t="s">
        <v>939</v>
      </c>
      <c r="F246" s="35" t="s">
        <v>851</v>
      </c>
      <c r="G246" s="34"/>
      <c r="H246" s="21"/>
      <c r="I246" s="22"/>
    </row>
    <row r="247" spans="8:8" s="16" ht="17.7" customFormat="1">
      <c r="A247" s="34"/>
      <c r="B247" s="35" t="s">
        <v>940</v>
      </c>
      <c r="C247" s="35" t="s">
        <v>941</v>
      </c>
      <c r="D247" s="35" t="s">
        <v>942</v>
      </c>
      <c r="E247" s="35" t="s">
        <v>943</v>
      </c>
      <c r="F247" s="35" t="s">
        <v>851</v>
      </c>
      <c r="G247" s="34"/>
      <c r="H247" s="21"/>
      <c r="I247" s="22"/>
    </row>
    <row r="248" spans="8:8" s="16" ht="17.7" customFormat="1">
      <c r="A248" s="34"/>
      <c r="B248" s="35" t="s">
        <v>944</v>
      </c>
      <c r="C248" s="35" t="s">
        <v>945</v>
      </c>
      <c r="D248" s="35" t="s">
        <v>946</v>
      </c>
      <c r="E248" s="35" t="s">
        <v>947</v>
      </c>
      <c r="F248" s="35" t="s">
        <v>123</v>
      </c>
      <c r="G248" s="34"/>
      <c r="H248" s="21"/>
      <c r="I248" s="22"/>
    </row>
    <row r="249" spans="8:8" s="16" ht="17.7" customFormat="1">
      <c r="A249" s="34"/>
      <c r="B249" s="35" t="s">
        <v>948</v>
      </c>
      <c r="C249" s="35" t="s">
        <v>949</v>
      </c>
      <c r="D249" s="35" t="s">
        <v>950</v>
      </c>
      <c r="E249" s="35" t="s">
        <v>951</v>
      </c>
      <c r="F249" s="35" t="s">
        <v>123</v>
      </c>
      <c r="G249" s="34"/>
      <c r="H249" s="21"/>
      <c r="I249" s="22"/>
    </row>
    <row r="250" spans="8:8" s="16" ht="16.5" customFormat="1">
      <c r="A250" s="34"/>
      <c r="B250" s="36" t="s">
        <v>906</v>
      </c>
      <c r="C250" s="36" t="s">
        <v>906</v>
      </c>
      <c r="D250" s="37" t="s">
        <v>952</v>
      </c>
      <c r="E250" s="36" t="s">
        <v>906</v>
      </c>
      <c r="F250" s="36" t="s">
        <v>906</v>
      </c>
      <c r="G250" s="34"/>
      <c r="H250" s="21"/>
      <c r="I250" s="22"/>
    </row>
    <row r="251" spans="8:8" s="16" ht="17.7" customFormat="1">
      <c r="A251" s="34"/>
      <c r="B251" s="35" t="s">
        <v>953</v>
      </c>
      <c r="C251" s="35" t="s">
        <v>954</v>
      </c>
      <c r="D251" s="35" t="s">
        <v>955</v>
      </c>
      <c r="E251" s="35" t="s">
        <v>956</v>
      </c>
      <c r="F251" s="35" t="s">
        <v>43</v>
      </c>
      <c r="G251" s="34"/>
      <c r="H251" s="21"/>
      <c r="I251" s="22"/>
    </row>
    <row r="252" spans="8:8" s="16" ht="17.7" customFormat="1">
      <c r="A252" s="34"/>
      <c r="B252" s="35" t="s">
        <v>957</v>
      </c>
      <c r="C252" s="35" t="s">
        <v>958</v>
      </c>
      <c r="D252" s="35" t="s">
        <v>959</v>
      </c>
      <c r="E252" s="35" t="s">
        <v>960</v>
      </c>
      <c r="F252" s="35" t="s">
        <v>43</v>
      </c>
      <c r="G252" s="34"/>
      <c r="H252" s="21"/>
      <c r="I252" s="22"/>
    </row>
    <row r="253" spans="8:8" s="16" ht="17.7" customFormat="1">
      <c r="A253" s="34"/>
      <c r="B253" s="35" t="s">
        <v>961</v>
      </c>
      <c r="C253" s="35" t="s">
        <v>962</v>
      </c>
      <c r="D253" s="35" t="s">
        <v>963</v>
      </c>
      <c r="E253" s="35" t="s">
        <v>964</v>
      </c>
      <c r="F253" s="35" t="s">
        <v>43</v>
      </c>
      <c r="G253" s="34"/>
      <c r="H253" s="21"/>
      <c r="I253" s="22"/>
    </row>
    <row r="254" spans="8:8" s="16" ht="17.7" customFormat="1">
      <c r="A254" s="34"/>
      <c r="B254" s="35" t="s">
        <v>965</v>
      </c>
      <c r="C254" s="35" t="s">
        <v>966</v>
      </c>
      <c r="D254" s="35" t="s">
        <v>967</v>
      </c>
      <c r="E254" s="35" t="s">
        <v>968</v>
      </c>
      <c r="F254" s="35" t="s">
        <v>43</v>
      </c>
      <c r="G254" s="34"/>
      <c r="H254" s="21"/>
      <c r="I254" s="22"/>
    </row>
    <row r="255" spans="8:8" s="16" ht="17.7" customFormat="1">
      <c r="A255" s="34"/>
      <c r="B255" s="35" t="s">
        <v>969</v>
      </c>
      <c r="C255" s="35" t="s">
        <v>970</v>
      </c>
      <c r="D255" s="35" t="s">
        <v>971</v>
      </c>
      <c r="E255" s="35" t="s">
        <v>972</v>
      </c>
      <c r="F255" s="35" t="s">
        <v>123</v>
      </c>
      <c r="G255" s="34"/>
      <c r="H255" s="21"/>
      <c r="I255" s="22"/>
    </row>
    <row r="256" spans="8:8" s="16" ht="17.7" customFormat="1">
      <c r="A256" s="34"/>
      <c r="B256" s="35" t="s">
        <v>973</v>
      </c>
      <c r="C256" s="35" t="s">
        <v>974</v>
      </c>
      <c r="D256" s="35" t="s">
        <v>975</v>
      </c>
      <c r="E256" s="35" t="s">
        <v>976</v>
      </c>
      <c r="F256" s="35" t="s">
        <v>123</v>
      </c>
      <c r="G256" s="34"/>
      <c r="H256" s="21"/>
      <c r="I256" s="22"/>
    </row>
    <row r="257" spans="8:8" s="16" ht="17.7" customFormat="1">
      <c r="A257" s="34"/>
      <c r="B257" s="35" t="s">
        <v>977</v>
      </c>
      <c r="C257" s="35" t="s">
        <v>978</v>
      </c>
      <c r="D257" s="35" t="s">
        <v>979</v>
      </c>
      <c r="E257" s="35" t="s">
        <v>980</v>
      </c>
      <c r="F257" s="35" t="s">
        <v>123</v>
      </c>
      <c r="G257" s="34"/>
      <c r="H257" s="21"/>
      <c r="I257" s="22"/>
    </row>
    <row r="258" spans="8:8" s="16" ht="17.7" customFormat="1">
      <c r="A258" s="34"/>
      <c r="B258" s="35" t="s">
        <v>981</v>
      </c>
      <c r="C258" s="35" t="s">
        <v>982</v>
      </c>
      <c r="D258" s="35" t="s">
        <v>979</v>
      </c>
      <c r="E258" s="35" t="s">
        <v>983</v>
      </c>
      <c r="F258" s="35" t="s">
        <v>123</v>
      </c>
      <c r="G258" s="34"/>
      <c r="H258" s="21"/>
      <c r="I258" s="22"/>
    </row>
    <row r="259" spans="8:8" s="16" ht="17.7" customFormat="1">
      <c r="A259" s="34"/>
      <c r="B259" s="35" t="s">
        <v>984</v>
      </c>
      <c r="C259" s="35" t="s">
        <v>985</v>
      </c>
      <c r="D259" s="35" t="s">
        <v>986</v>
      </c>
      <c r="E259" s="35" t="s">
        <v>987</v>
      </c>
      <c r="F259" s="35" t="s">
        <v>988</v>
      </c>
      <c r="G259" s="34"/>
      <c r="H259" s="21"/>
      <c r="I259" s="22"/>
    </row>
    <row r="260" spans="8:8" s="16" ht="17.7" customFormat="1">
      <c r="A260" s="34"/>
      <c r="B260" s="35" t="s">
        <v>989</v>
      </c>
      <c r="C260" s="35" t="s">
        <v>990</v>
      </c>
      <c r="D260" s="35" t="s">
        <v>991</v>
      </c>
      <c r="E260" s="35" t="s">
        <v>992</v>
      </c>
      <c r="F260" s="35" t="s">
        <v>988</v>
      </c>
      <c r="G260" s="34"/>
      <c r="H260" s="21"/>
      <c r="I260" s="22"/>
    </row>
    <row r="261" spans="8:8" s="16" ht="17.7" customFormat="1">
      <c r="A261" s="34"/>
      <c r="B261" s="35" t="s">
        <v>993</v>
      </c>
      <c r="C261" s="35" t="s">
        <v>994</v>
      </c>
      <c r="D261" s="35" t="s">
        <v>995</v>
      </c>
      <c r="E261" s="35" t="s">
        <v>996</v>
      </c>
      <c r="F261" s="35" t="s">
        <v>851</v>
      </c>
      <c r="G261" s="34"/>
      <c r="H261" s="21"/>
      <c r="I261" s="22"/>
    </row>
    <row r="262" spans="8:8" s="16" ht="17.7" customFormat="1">
      <c r="A262" s="34"/>
      <c r="B262" s="35" t="s">
        <v>997</v>
      </c>
      <c r="C262" s="35" t="s">
        <v>998</v>
      </c>
      <c r="D262" s="35" t="s">
        <v>999</v>
      </c>
      <c r="E262" s="35" t="s">
        <v>1000</v>
      </c>
      <c r="F262" s="35" t="s">
        <v>123</v>
      </c>
      <c r="G262" s="34"/>
      <c r="H262" s="21"/>
      <c r="I262" s="22"/>
    </row>
    <row r="263" spans="8:8" s="16" ht="17.7" customFormat="1">
      <c r="A263" s="34"/>
      <c r="B263" s="35" t="s">
        <v>1001</v>
      </c>
      <c r="C263" s="35" t="s">
        <v>1002</v>
      </c>
      <c r="D263" s="35" t="s">
        <v>1003</v>
      </c>
      <c r="E263" s="35" t="s">
        <v>1004</v>
      </c>
      <c r="F263" s="35" t="s">
        <v>988</v>
      </c>
      <c r="G263" s="34"/>
      <c r="H263" s="21"/>
      <c r="I263" s="22"/>
    </row>
    <row r="264" spans="8:8" s="16" ht="17.7" customFormat="1">
      <c r="A264" s="34"/>
      <c r="B264" s="35" t="s">
        <v>1005</v>
      </c>
      <c r="C264" s="35" t="s">
        <v>1006</v>
      </c>
      <c r="D264" s="35" t="s">
        <v>1007</v>
      </c>
      <c r="E264" s="35" t="s">
        <v>1008</v>
      </c>
      <c r="F264" s="35" t="s">
        <v>988</v>
      </c>
      <c r="G264" s="34"/>
      <c r="H264" s="21"/>
      <c r="I264" s="22"/>
    </row>
    <row r="265" spans="8:8" s="16" ht="17.7" customFormat="1">
      <c r="A265" s="34"/>
      <c r="B265" s="35" t="s">
        <v>1009</v>
      </c>
      <c r="C265" s="35" t="s">
        <v>1010</v>
      </c>
      <c r="D265" s="35" t="s">
        <v>1011</v>
      </c>
      <c r="E265" s="35" t="s">
        <v>1012</v>
      </c>
      <c r="F265" s="35" t="s">
        <v>851</v>
      </c>
      <c r="G265" s="34"/>
      <c r="H265" s="21"/>
      <c r="I265" s="22"/>
    </row>
    <row r="266" spans="8:8" s="16" ht="17.7" customFormat="1">
      <c r="A266" s="34"/>
      <c r="B266" s="35" t="s">
        <v>1013</v>
      </c>
      <c r="C266" s="35" t="s">
        <v>1014</v>
      </c>
      <c r="D266" s="35" t="s">
        <v>1015</v>
      </c>
      <c r="E266" s="35" t="s">
        <v>1016</v>
      </c>
      <c r="F266" s="35" t="s">
        <v>988</v>
      </c>
      <c r="G266" s="34"/>
      <c r="H266" s="21"/>
      <c r="I266" s="22"/>
    </row>
    <row r="267" spans="8:8" s="16" ht="17.7" customFormat="1">
      <c r="A267" s="34"/>
      <c r="B267" s="35" t="s">
        <v>1017</v>
      </c>
      <c r="C267" s="35" t="s">
        <v>1018</v>
      </c>
      <c r="D267" s="35" t="s">
        <v>1019</v>
      </c>
      <c r="E267" s="35" t="s">
        <v>1020</v>
      </c>
      <c r="F267" s="35" t="s">
        <v>988</v>
      </c>
      <c r="G267" s="34"/>
      <c r="H267" s="21"/>
      <c r="I267" s="22"/>
    </row>
    <row r="268" spans="8:8" s="16" ht="17.7" customFormat="1">
      <c r="A268" s="34"/>
      <c r="B268" s="35" t="s">
        <v>1021</v>
      </c>
      <c r="C268" s="35" t="s">
        <v>1022</v>
      </c>
      <c r="D268" s="35" t="s">
        <v>1023</v>
      </c>
      <c r="E268" s="35" t="s">
        <v>1024</v>
      </c>
      <c r="F268" s="35" t="s">
        <v>851</v>
      </c>
      <c r="G268" s="34"/>
      <c r="H268" s="21"/>
      <c r="I268" s="22"/>
    </row>
    <row r="269" spans="8:8" s="16" ht="17.7" customFormat="1">
      <c r="A269" s="34"/>
      <c r="B269" s="35" t="s">
        <v>1025</v>
      </c>
      <c r="C269" s="35" t="s">
        <v>1026</v>
      </c>
      <c r="D269" s="35" t="s">
        <v>1027</v>
      </c>
      <c r="E269" s="35" t="s">
        <v>1028</v>
      </c>
      <c r="F269" s="35" t="s">
        <v>123</v>
      </c>
      <c r="G269" s="34"/>
      <c r="H269" s="21"/>
      <c r="I269" s="22"/>
    </row>
    <row r="270" spans="8:8" s="16" ht="17.7" customFormat="1">
      <c r="A270" s="34"/>
      <c r="B270" s="35" t="s">
        <v>1029</v>
      </c>
      <c r="C270" s="35" t="s">
        <v>1030</v>
      </c>
      <c r="D270" s="35" t="s">
        <v>1031</v>
      </c>
      <c r="E270" s="35" t="s">
        <v>1032</v>
      </c>
      <c r="F270" s="35" t="s">
        <v>123</v>
      </c>
      <c r="G270" s="34"/>
      <c r="H270" s="21"/>
      <c r="I270" s="22"/>
    </row>
    <row r="271" spans="8:8" s="16" ht="17.7" customFormat="1">
      <c r="A271" s="34"/>
      <c r="B271" s="35" t="s">
        <v>1033</v>
      </c>
      <c r="C271" s="35" t="s">
        <v>1034</v>
      </c>
      <c r="D271" s="35" t="s">
        <v>1035</v>
      </c>
      <c r="E271" s="35" t="s">
        <v>1036</v>
      </c>
      <c r="F271" s="35" t="s">
        <v>851</v>
      </c>
      <c r="G271" s="34"/>
      <c r="H271" s="21"/>
      <c r="I271" s="22"/>
    </row>
    <row r="272" spans="8:8" s="16" ht="17.7" customFormat="1">
      <c r="A272" s="34"/>
      <c r="B272" s="35" t="s">
        <v>1037</v>
      </c>
      <c r="C272" s="35" t="s">
        <v>1038</v>
      </c>
      <c r="D272" s="35" t="s">
        <v>1039</v>
      </c>
      <c r="E272" s="35" t="s">
        <v>1040</v>
      </c>
      <c r="F272" s="35" t="s">
        <v>43</v>
      </c>
      <c r="G272" s="34"/>
      <c r="H272" s="21"/>
      <c r="I272" s="22"/>
    </row>
    <row r="273" spans="8:8" s="16" ht="17.7" customFormat="1">
      <c r="A273" s="34"/>
      <c r="B273" s="35" t="s">
        <v>1041</v>
      </c>
      <c r="C273" s="35" t="s">
        <v>1042</v>
      </c>
      <c r="D273" s="35" t="s">
        <v>1043</v>
      </c>
      <c r="E273" s="35" t="s">
        <v>1044</v>
      </c>
      <c r="F273" s="35" t="s">
        <v>43</v>
      </c>
      <c r="G273" s="34"/>
      <c r="H273" s="21"/>
      <c r="I273" s="22"/>
    </row>
    <row r="274" spans="8:8" s="16" ht="17.7" customFormat="1">
      <c r="A274" s="34"/>
      <c r="B274" s="35" t="s">
        <v>1045</v>
      </c>
      <c r="C274" s="35" t="s">
        <v>1046</v>
      </c>
      <c r="D274" s="35" t="s">
        <v>1047</v>
      </c>
      <c r="E274" s="35" t="s">
        <v>1048</v>
      </c>
      <c r="F274" s="35" t="s">
        <v>851</v>
      </c>
      <c r="G274" s="34"/>
      <c r="H274" s="21"/>
      <c r="I274" s="22"/>
    </row>
    <row r="275" spans="8:8" s="16" ht="17.7" customFormat="1">
      <c r="A275" s="34"/>
      <c r="B275" s="35" t="s">
        <v>1049</v>
      </c>
      <c r="C275" s="35" t="s">
        <v>1050</v>
      </c>
      <c r="D275" s="35" t="s">
        <v>1051</v>
      </c>
      <c r="E275" s="35" t="s">
        <v>1052</v>
      </c>
      <c r="F275" s="35" t="s">
        <v>123</v>
      </c>
      <c r="G275" s="34"/>
      <c r="H275" s="21"/>
      <c r="I275" s="22"/>
    </row>
    <row r="276" spans="8:8" s="16" ht="17.7" customFormat="1">
      <c r="A276" s="34"/>
      <c r="B276" s="35" t="s">
        <v>1053</v>
      </c>
      <c r="C276" s="35" t="s">
        <v>1054</v>
      </c>
      <c r="D276" s="35" t="s">
        <v>1055</v>
      </c>
      <c r="E276" s="35" t="s">
        <v>1056</v>
      </c>
      <c r="F276" s="35" t="s">
        <v>123</v>
      </c>
      <c r="G276" s="34"/>
      <c r="H276" s="21"/>
      <c r="I276" s="22"/>
    </row>
    <row r="277" spans="8:8" s="16" ht="17.7" customFormat="1">
      <c r="A277" s="34"/>
      <c r="B277" s="35" t="s">
        <v>1057</v>
      </c>
      <c r="C277" s="35" t="s">
        <v>1058</v>
      </c>
      <c r="D277" s="35" t="s">
        <v>1059</v>
      </c>
      <c r="E277" s="35" t="s">
        <v>1060</v>
      </c>
      <c r="F277" s="35" t="s">
        <v>123</v>
      </c>
      <c r="G277" s="34"/>
      <c r="H277" s="21"/>
      <c r="I277" s="22"/>
    </row>
    <row r="278" spans="8:8" s="16" ht="17.7" customFormat="1">
      <c r="A278" s="34"/>
      <c r="B278" s="35" t="s">
        <v>1061</v>
      </c>
      <c r="C278" s="35" t="s">
        <v>1062</v>
      </c>
      <c r="D278" s="35" t="s">
        <v>1063</v>
      </c>
      <c r="E278" s="35" t="s">
        <v>1064</v>
      </c>
      <c r="F278" s="35" t="s">
        <v>123</v>
      </c>
      <c r="G278" s="34"/>
      <c r="H278" s="21"/>
      <c r="I278" s="22"/>
    </row>
    <row r="279" spans="8:8" s="16" ht="17.7" customFormat="1">
      <c r="A279" s="34"/>
      <c r="B279" s="35" t="s">
        <v>1065</v>
      </c>
      <c r="C279" s="35" t="s">
        <v>1066</v>
      </c>
      <c r="D279" s="35" t="s">
        <v>1067</v>
      </c>
      <c r="E279" s="35" t="s">
        <v>1068</v>
      </c>
      <c r="F279" s="35" t="s">
        <v>123</v>
      </c>
      <c r="G279" s="34"/>
      <c r="H279" s="21"/>
      <c r="I279" s="22"/>
    </row>
    <row r="280" spans="8:8" s="16" ht="17.7" customFormat="1">
      <c r="A280" s="34"/>
      <c r="B280" s="35" t="s">
        <v>1069</v>
      </c>
      <c r="C280" s="35" t="s">
        <v>1070</v>
      </c>
      <c r="D280" s="35" t="s">
        <v>1071</v>
      </c>
      <c r="E280" s="35" t="s">
        <v>1072</v>
      </c>
      <c r="F280" s="35" t="s">
        <v>123</v>
      </c>
      <c r="G280" s="34"/>
      <c r="H280" s="21"/>
      <c r="I280" s="22"/>
    </row>
    <row r="281" spans="8:8" s="16" ht="17.7" customFormat="1">
      <c r="A281" s="34"/>
      <c r="B281" s="35" t="s">
        <v>1073</v>
      </c>
      <c r="C281" s="35" t="s">
        <v>1074</v>
      </c>
      <c r="D281" s="35" t="s">
        <v>1075</v>
      </c>
      <c r="E281" s="35" t="s">
        <v>1076</v>
      </c>
      <c r="F281" s="35" t="s">
        <v>123</v>
      </c>
      <c r="G281" s="34"/>
      <c r="H281" s="21"/>
      <c r="I281" s="22"/>
    </row>
    <row r="282" spans="8:8" s="16" ht="17.7" customFormat="1">
      <c r="A282" s="34"/>
      <c r="B282" s="35" t="s">
        <v>1077</v>
      </c>
      <c r="C282" s="35" t="s">
        <v>1078</v>
      </c>
      <c r="D282" s="35" t="s">
        <v>1079</v>
      </c>
      <c r="E282" s="35" t="s">
        <v>1080</v>
      </c>
      <c r="F282" s="35" t="s">
        <v>123</v>
      </c>
      <c r="G282" s="34"/>
      <c r="H282" s="21"/>
      <c r="I282" s="22"/>
    </row>
    <row r="283" spans="8:8" s="16" ht="17.7" customFormat="1">
      <c r="A283" s="34"/>
      <c r="B283" s="35" t="s">
        <v>1081</v>
      </c>
      <c r="C283" s="35" t="s">
        <v>1082</v>
      </c>
      <c r="D283" s="35" t="s">
        <v>1083</v>
      </c>
      <c r="E283" s="35" t="s">
        <v>1084</v>
      </c>
      <c r="F283" s="35" t="s">
        <v>123</v>
      </c>
      <c r="G283" s="34"/>
      <c r="H283" s="21"/>
      <c r="I283" s="22"/>
    </row>
    <row r="284" spans="8:8" s="16" ht="16.5" customFormat="1">
      <c r="A284" s="34"/>
      <c r="B284" s="36" t="s">
        <v>906</v>
      </c>
      <c r="C284" s="36" t="s">
        <v>906</v>
      </c>
      <c r="D284" s="36" t="s">
        <v>1085</v>
      </c>
      <c r="E284" s="36" t="s">
        <v>906</v>
      </c>
      <c r="F284" s="36" t="s">
        <v>906</v>
      </c>
      <c r="G284" s="34"/>
      <c r="H284" s="21"/>
      <c r="I284" s="22"/>
    </row>
    <row r="285" spans="8:8" s="16" ht="22.65" customFormat="1" customHeight="1">
      <c r="A285" s="34"/>
      <c r="B285" s="35" t="s">
        <v>1086</v>
      </c>
      <c r="C285" s="35" t="s">
        <v>1087</v>
      </c>
      <c r="D285" s="35" t="s">
        <v>1088</v>
      </c>
      <c r="E285" s="35" t="s">
        <v>1089</v>
      </c>
      <c r="F285" s="35" t="s">
        <v>741</v>
      </c>
      <c r="G285" s="34"/>
      <c r="H285" s="21"/>
      <c r="I285" s="22"/>
    </row>
    <row r="286" spans="8:8" s="16" ht="17.7" customFormat="1">
      <c r="A286" s="34"/>
      <c r="B286" s="35"/>
      <c r="C286" s="35"/>
      <c r="D286" s="35" t="s">
        <v>1090</v>
      </c>
      <c r="E286" s="35"/>
      <c r="F286" s="35"/>
      <c r="G286" s="34"/>
      <c r="H286" s="21"/>
      <c r="I286" s="22"/>
    </row>
    <row r="287" spans="8:8" s="9" ht="29.25" customFormat="1">
      <c r="A287" s="38"/>
      <c r="B287" s="39" t="s">
        <v>1091</v>
      </c>
      <c r="C287" s="39" t="s">
        <v>812</v>
      </c>
      <c r="D287" s="39" t="s">
        <v>1092</v>
      </c>
      <c r="E287" s="39"/>
      <c r="F287" s="39"/>
      <c r="G287" s="38"/>
      <c r="H287" s="14"/>
      <c r="I287" s="15"/>
    </row>
    <row r="288" spans="8:8" s="9" ht="29.25" customFormat="1">
      <c r="A288" s="38"/>
      <c r="B288" s="40" t="s">
        <v>814</v>
      </c>
      <c r="C288" s="40" t="s">
        <v>815</v>
      </c>
      <c r="D288" s="40" t="s">
        <v>816</v>
      </c>
      <c r="E288" s="40" t="s">
        <v>817</v>
      </c>
      <c r="F288" s="40" t="s">
        <v>818</v>
      </c>
      <c r="G288" s="38"/>
      <c r="H288" s="14"/>
      <c r="I288" s="15"/>
    </row>
    <row r="289" spans="8:8" s="16" ht="16.5" customFormat="1">
      <c r="A289" s="41"/>
      <c r="B289" s="42" t="s">
        <v>1093</v>
      </c>
      <c r="C289" s="42" t="s">
        <v>1094</v>
      </c>
      <c r="D289" s="42" t="s">
        <v>1095</v>
      </c>
      <c r="E289" s="42" t="s">
        <v>1096</v>
      </c>
      <c r="F289" s="42" t="s">
        <v>851</v>
      </c>
      <c r="G289" s="41"/>
      <c r="H289" s="21"/>
      <c r="I289" s="22"/>
    </row>
    <row r="290" spans="8:8" s="16" ht="16.5" customFormat="1">
      <c r="A290" s="41"/>
      <c r="B290" s="42" t="s">
        <v>1097</v>
      </c>
      <c r="C290" s="42" t="s">
        <v>1098</v>
      </c>
      <c r="D290" s="42" t="s">
        <v>1099</v>
      </c>
      <c r="E290" s="42" t="s">
        <v>1100</v>
      </c>
      <c r="F290" s="42" t="s">
        <v>123</v>
      </c>
      <c r="G290" s="41"/>
      <c r="H290" s="21"/>
      <c r="I290" s="22"/>
    </row>
    <row r="291" spans="8:8" s="16" ht="16.5" customFormat="1">
      <c r="A291" s="41"/>
      <c r="B291" s="42" t="s">
        <v>1101</v>
      </c>
      <c r="C291" s="42" t="s">
        <v>1102</v>
      </c>
      <c r="D291" s="42" t="s">
        <v>1103</v>
      </c>
      <c r="E291" s="42" t="s">
        <v>1104</v>
      </c>
      <c r="F291" s="42" t="s">
        <v>1105</v>
      </c>
      <c r="G291" s="41"/>
      <c r="H291" s="21"/>
      <c r="I291" s="22"/>
    </row>
    <row r="292" spans="8:8" s="16" ht="16.5" customFormat="1">
      <c r="A292" s="41"/>
      <c r="B292" s="42" t="s">
        <v>1106</v>
      </c>
      <c r="C292" s="42" t="s">
        <v>1107</v>
      </c>
      <c r="D292" s="42" t="s">
        <v>1108</v>
      </c>
      <c r="E292" s="42" t="s">
        <v>1109</v>
      </c>
      <c r="F292" s="42" t="s">
        <v>1105</v>
      </c>
      <c r="G292" s="41"/>
      <c r="H292" s="21"/>
      <c r="I292" s="22"/>
    </row>
    <row r="293" spans="8:8" s="16" ht="16.5" customFormat="1">
      <c r="A293" s="41"/>
      <c r="B293" s="42" t="s">
        <v>1110</v>
      </c>
      <c r="C293" s="42" t="s">
        <v>1111</v>
      </c>
      <c r="D293" s="42" t="s">
        <v>1112</v>
      </c>
      <c r="E293" s="42" t="s">
        <v>1113</v>
      </c>
      <c r="F293" s="42" t="s">
        <v>1105</v>
      </c>
      <c r="G293" s="41"/>
      <c r="H293" s="21"/>
      <c r="I293" s="22"/>
    </row>
    <row r="294" spans="8:8" s="16" ht="16.5" customFormat="1">
      <c r="A294" s="41"/>
      <c r="B294" s="42" t="s">
        <v>1114</v>
      </c>
      <c r="C294" s="42" t="s">
        <v>1115</v>
      </c>
      <c r="D294" s="42" t="s">
        <v>1116</v>
      </c>
      <c r="E294" s="42" t="s">
        <v>1117</v>
      </c>
      <c r="F294" s="42" t="s">
        <v>1105</v>
      </c>
      <c r="G294" s="41"/>
      <c r="H294" s="21"/>
      <c r="I294" s="22"/>
    </row>
    <row r="295" spans="8:8" s="16" ht="16.5" customFormat="1">
      <c r="A295" s="41"/>
      <c r="B295" s="42" t="s">
        <v>1118</v>
      </c>
      <c r="C295" s="42" t="s">
        <v>1119</v>
      </c>
      <c r="D295" s="42" t="s">
        <v>1120</v>
      </c>
      <c r="E295" s="42" t="s">
        <v>1121</v>
      </c>
      <c r="F295" s="42" t="s">
        <v>1122</v>
      </c>
      <c r="G295" s="41"/>
      <c r="H295" s="21"/>
      <c r="I295" s="22"/>
    </row>
    <row r="296" spans="8:8" s="16" ht="16.5" customFormat="1">
      <c r="A296" s="41"/>
      <c r="B296" s="42" t="s">
        <v>1123</v>
      </c>
      <c r="C296" s="42" t="s">
        <v>1124</v>
      </c>
      <c r="D296" s="42" t="s">
        <v>1125</v>
      </c>
      <c r="E296" s="42" t="s">
        <v>1126</v>
      </c>
      <c r="F296" s="42" t="s">
        <v>1122</v>
      </c>
      <c r="G296" s="41"/>
      <c r="H296" s="21"/>
      <c r="I296" s="22"/>
    </row>
    <row r="297" spans="8:8" s="16" ht="16.5" customFormat="1">
      <c r="A297" s="41"/>
      <c r="B297" s="42" t="s">
        <v>1127</v>
      </c>
      <c r="C297" s="42" t="s">
        <v>1128</v>
      </c>
      <c r="D297" s="42" t="s">
        <v>1129</v>
      </c>
      <c r="E297" s="42" t="s">
        <v>1130</v>
      </c>
      <c r="F297" s="42" t="s">
        <v>1131</v>
      </c>
      <c r="G297" s="41"/>
      <c r="H297" s="21"/>
      <c r="I297" s="22"/>
    </row>
    <row r="298" spans="8:8" s="16" ht="16.5" customFormat="1">
      <c r="A298" s="41"/>
      <c r="B298" s="42" t="s">
        <v>1132</v>
      </c>
      <c r="C298" s="42" t="s">
        <v>1133</v>
      </c>
      <c r="D298" s="42" t="s">
        <v>1134</v>
      </c>
      <c r="E298" s="42" t="s">
        <v>1135</v>
      </c>
      <c r="F298" s="42" t="s">
        <v>123</v>
      </c>
      <c r="G298" s="41"/>
      <c r="H298" s="21"/>
      <c r="I298" s="22"/>
    </row>
    <row r="299" spans="8:8" s="16" ht="16.5" customFormat="1">
      <c r="A299" s="41"/>
      <c r="B299" s="42" t="s">
        <v>1136</v>
      </c>
      <c r="C299" s="42" t="s">
        <v>1137</v>
      </c>
      <c r="D299" s="42" t="s">
        <v>1138</v>
      </c>
      <c r="E299" s="42" t="s">
        <v>1139</v>
      </c>
      <c r="F299" s="42" t="s">
        <v>123</v>
      </c>
      <c r="G299" s="41"/>
      <c r="H299" s="21"/>
      <c r="I299" s="22"/>
    </row>
    <row r="300" spans="8:8" s="16" ht="18.3" customFormat="1" customHeight="1">
      <c r="A300" s="41"/>
      <c r="B300" s="42" t="s">
        <v>1140</v>
      </c>
      <c r="C300" s="42" t="s">
        <v>1141</v>
      </c>
      <c r="D300" s="42" t="s">
        <v>10126</v>
      </c>
      <c r="E300" s="42" t="s">
        <v>1143</v>
      </c>
      <c r="F300" s="42" t="s">
        <v>43</v>
      </c>
      <c r="G300" s="41"/>
      <c r="H300" s="21"/>
      <c r="I300" s="22"/>
    </row>
    <row r="301" spans="8:8" s="16" ht="16.5" customFormat="1">
      <c r="A301" s="41"/>
      <c r="B301" s="42" t="s">
        <v>1144</v>
      </c>
      <c r="C301" s="42" t="s">
        <v>1145</v>
      </c>
      <c r="D301" s="42" t="s">
        <v>1146</v>
      </c>
      <c r="E301" s="42" t="s">
        <v>1147</v>
      </c>
      <c r="F301" s="42" t="s">
        <v>123</v>
      </c>
      <c r="G301" s="41"/>
      <c r="H301" s="21"/>
      <c r="I301" s="22"/>
    </row>
    <row r="302" spans="8:8" s="16" ht="24.65" customFormat="1">
      <c r="A302" s="41"/>
      <c r="B302" s="42" t="s">
        <v>1148</v>
      </c>
      <c r="C302" s="42" t="s">
        <v>1149</v>
      </c>
      <c r="D302" s="42" t="s">
        <v>10086</v>
      </c>
      <c r="E302" s="42" t="s">
        <v>10087</v>
      </c>
      <c r="F302" s="42" t="s">
        <v>869</v>
      </c>
      <c r="G302" s="41"/>
      <c r="H302" s="21"/>
      <c r="I302" s="22"/>
    </row>
    <row r="303" spans="8:8" s="16" ht="16.5" customFormat="1">
      <c r="A303" s="41"/>
      <c r="B303" s="42" t="s">
        <v>1152</v>
      </c>
      <c r="C303" s="42" t="s">
        <v>1153</v>
      </c>
      <c r="D303" s="42" t="s">
        <v>1154</v>
      </c>
      <c r="E303" s="42" t="s">
        <v>1155</v>
      </c>
      <c r="F303" s="42" t="s">
        <v>123</v>
      </c>
      <c r="G303" s="41"/>
      <c r="H303" s="21"/>
      <c r="I303" s="22"/>
    </row>
    <row r="304" spans="8:8" s="16" ht="16.5" customFormat="1">
      <c r="A304" s="41"/>
      <c r="B304" s="42" t="s">
        <v>1156</v>
      </c>
      <c r="C304" s="42" t="s">
        <v>1157</v>
      </c>
      <c r="D304" s="42" t="s">
        <v>1158</v>
      </c>
      <c r="E304" s="42" t="s">
        <v>1159</v>
      </c>
      <c r="F304" s="42" t="s">
        <v>123</v>
      </c>
      <c r="G304" s="41"/>
      <c r="H304" s="21"/>
      <c r="I304" s="22"/>
    </row>
    <row r="305" spans="8:8" s="16" ht="16.5" customFormat="1">
      <c r="A305" s="41"/>
      <c r="B305" s="42" t="s">
        <v>1160</v>
      </c>
      <c r="C305" s="42" t="s">
        <v>1161</v>
      </c>
      <c r="D305" s="42" t="s">
        <v>1162</v>
      </c>
      <c r="E305" s="42" t="s">
        <v>1163</v>
      </c>
      <c r="F305" s="42" t="s">
        <v>123</v>
      </c>
      <c r="G305" s="41"/>
      <c r="H305" s="21"/>
      <c r="I305" s="22"/>
    </row>
    <row r="306" spans="8:8" s="16" ht="16.5" customFormat="1">
      <c r="A306" s="41"/>
      <c r="B306" s="42" t="s">
        <v>1164</v>
      </c>
      <c r="C306" s="42" t="s">
        <v>1165</v>
      </c>
      <c r="D306" s="42" t="s">
        <v>1166</v>
      </c>
      <c r="E306" s="42" t="s">
        <v>1167</v>
      </c>
      <c r="F306" s="42" t="s">
        <v>851</v>
      </c>
      <c r="G306" s="41"/>
      <c r="H306" s="21"/>
      <c r="I306" s="22"/>
    </row>
    <row r="307" spans="8:8" s="16" ht="16.5" customFormat="1">
      <c r="A307" s="41"/>
      <c r="B307" s="42" t="s">
        <v>1168</v>
      </c>
      <c r="C307" s="42" t="s">
        <v>1169</v>
      </c>
      <c r="D307" s="42" t="s">
        <v>1170</v>
      </c>
      <c r="E307" s="42" t="s">
        <v>1171</v>
      </c>
      <c r="F307" s="42" t="s">
        <v>123</v>
      </c>
      <c r="G307" s="41"/>
      <c r="H307" s="21"/>
      <c r="I307" s="22"/>
    </row>
    <row r="308" spans="8:8" s="16" ht="16.5" customFormat="1">
      <c r="A308" s="41"/>
      <c r="B308" s="42" t="s">
        <v>1172</v>
      </c>
      <c r="C308" s="42" t="s">
        <v>1173</v>
      </c>
      <c r="D308" s="42" t="s">
        <v>1174</v>
      </c>
      <c r="E308" s="42" t="s">
        <v>1175</v>
      </c>
      <c r="F308" s="42" t="s">
        <v>123</v>
      </c>
      <c r="G308" s="41"/>
      <c r="H308" s="21"/>
      <c r="I308" s="22"/>
    </row>
    <row r="309" spans="8:8" s="16" ht="14.4" customFormat="1">
      <c r="A309" s="41"/>
      <c r="B309" s="42" t="s">
        <v>1176</v>
      </c>
      <c r="C309" s="42" t="s">
        <v>1177</v>
      </c>
      <c r="D309" s="42" t="s">
        <v>10129</v>
      </c>
      <c r="E309" s="42" t="s">
        <v>1179</v>
      </c>
      <c r="F309" s="42" t="s">
        <v>123</v>
      </c>
      <c r="G309" s="41"/>
      <c r="H309" s="21"/>
      <c r="I309" s="22"/>
    </row>
    <row r="310" spans="8:8" s="16" ht="16.5" customFormat="1">
      <c r="A310" s="41"/>
      <c r="B310" s="42" t="s">
        <v>1180</v>
      </c>
      <c r="C310" s="42" t="s">
        <v>1181</v>
      </c>
      <c r="D310" s="42" t="s">
        <v>1182</v>
      </c>
      <c r="E310" s="42" t="s">
        <v>1183</v>
      </c>
      <c r="F310" s="42" t="s">
        <v>851</v>
      </c>
      <c r="G310" s="41"/>
      <c r="H310" s="21"/>
      <c r="I310" s="22"/>
    </row>
    <row r="311" spans="8:8" s="16" ht="16.5" customFormat="1">
      <c r="A311" s="41"/>
      <c r="B311" s="42" t="s">
        <v>1184</v>
      </c>
      <c r="C311" s="42" t="s">
        <v>1185</v>
      </c>
      <c r="D311" s="42" t="s">
        <v>1182</v>
      </c>
      <c r="E311" s="42" t="s">
        <v>1186</v>
      </c>
      <c r="F311" s="42" t="s">
        <v>851</v>
      </c>
      <c r="G311" s="41"/>
      <c r="H311" s="21"/>
      <c r="I311" s="22"/>
    </row>
    <row r="312" spans="8:8" s="16" ht="16.5" customFormat="1">
      <c r="A312" s="41"/>
      <c r="B312" s="43" t="s">
        <v>906</v>
      </c>
      <c r="C312" s="43" t="s">
        <v>906</v>
      </c>
      <c r="D312" s="44" t="s">
        <v>1187</v>
      </c>
      <c r="E312" s="43" t="s">
        <v>906</v>
      </c>
      <c r="F312" s="43" t="s">
        <v>906</v>
      </c>
      <c r="G312" s="41"/>
      <c r="H312" s="21"/>
      <c r="I312" s="22"/>
    </row>
    <row r="313" spans="8:8" s="16" ht="16.5" customFormat="1">
      <c r="A313" s="41"/>
      <c r="B313" s="42" t="s">
        <v>1188</v>
      </c>
      <c r="C313" s="42" t="s">
        <v>1189</v>
      </c>
      <c r="D313" s="42" t="s">
        <v>1190</v>
      </c>
      <c r="E313" s="42" t="s">
        <v>1191</v>
      </c>
      <c r="F313" s="42" t="s">
        <v>851</v>
      </c>
      <c r="G313" s="41"/>
      <c r="H313" s="21"/>
      <c r="I313" s="22"/>
    </row>
    <row r="314" spans="8:8" s="16" ht="16.5" customFormat="1">
      <c r="A314" s="41"/>
      <c r="B314" s="42" t="s">
        <v>1192</v>
      </c>
      <c r="C314" s="42" t="s">
        <v>1193</v>
      </c>
      <c r="D314" s="42" t="s">
        <v>1194</v>
      </c>
      <c r="E314" s="42" t="s">
        <v>1195</v>
      </c>
      <c r="F314" s="42" t="s">
        <v>851</v>
      </c>
      <c r="G314" s="41"/>
      <c r="H314" s="21"/>
      <c r="I314" s="22"/>
    </row>
    <row r="315" spans="8:8" s="16" ht="16.5" customFormat="1">
      <c r="A315" s="41"/>
      <c r="B315" s="42" t="s">
        <v>1196</v>
      </c>
      <c r="C315" s="42" t="s">
        <v>1197</v>
      </c>
      <c r="D315" s="42" t="s">
        <v>1198</v>
      </c>
      <c r="E315" s="42" t="s">
        <v>1199</v>
      </c>
      <c r="F315" s="42" t="s">
        <v>851</v>
      </c>
      <c r="G315" s="41"/>
      <c r="H315" s="21"/>
      <c r="I315" s="22"/>
    </row>
    <row r="316" spans="8:8" s="16" ht="16.5" customFormat="1">
      <c r="A316" s="41"/>
      <c r="B316" s="42"/>
      <c r="C316" s="42"/>
      <c r="D316" s="42"/>
      <c r="E316" s="42"/>
      <c r="F316" s="42"/>
      <c r="G316" s="41"/>
      <c r="H316" s="21"/>
      <c r="I316" s="22"/>
    </row>
    <row r="317" spans="8:8" s="9" ht="29.25" customFormat="1">
      <c r="A317" s="45"/>
      <c r="B317" s="46" t="s">
        <v>1200</v>
      </c>
      <c r="C317" s="46" t="s">
        <v>812</v>
      </c>
      <c r="D317" s="46" t="s">
        <v>1201</v>
      </c>
      <c r="E317" s="46" t="s">
        <v>1202</v>
      </c>
      <c r="F317" s="46"/>
      <c r="G317" s="45"/>
      <c r="H317" s="14"/>
      <c r="I317" s="15"/>
    </row>
    <row r="318" spans="8:8" s="9" ht="29.25" customFormat="1">
      <c r="A318" s="45"/>
      <c r="B318" s="46" t="s">
        <v>814</v>
      </c>
      <c r="C318" s="46" t="s">
        <v>815</v>
      </c>
      <c r="D318" s="46" t="s">
        <v>1203</v>
      </c>
      <c r="E318" s="46" t="s">
        <v>817</v>
      </c>
      <c r="F318" s="46" t="s">
        <v>818</v>
      </c>
      <c r="G318" s="45"/>
      <c r="H318" s="14"/>
      <c r="I318" s="15"/>
    </row>
    <row r="319" spans="8:8" s="16" ht="17.65" customFormat="1" customHeight="1">
      <c r="A319" s="47"/>
      <c r="B319" s="42" t="s">
        <v>1204</v>
      </c>
      <c r="C319" s="42" t="s">
        <v>6070</v>
      </c>
      <c r="D319" s="42" t="s">
        <v>1206</v>
      </c>
      <c r="E319" s="42" t="s">
        <v>1207</v>
      </c>
      <c r="F319" s="42" t="s">
        <v>851</v>
      </c>
      <c r="G319" s="47"/>
      <c r="H319" s="21"/>
      <c r="I319" s="22"/>
    </row>
    <row r="320" spans="8:8" s="16" ht="17.35" customFormat="1" customHeight="1">
      <c r="A320" s="47"/>
      <c r="B320" s="42" t="s">
        <v>1208</v>
      </c>
      <c r="C320" s="42" t="s">
        <v>6082</v>
      </c>
      <c r="D320" s="42" t="s">
        <v>1210</v>
      </c>
      <c r="E320" s="42" t="s">
        <v>1211</v>
      </c>
      <c r="F320" s="42" t="s">
        <v>851</v>
      </c>
      <c r="G320" s="47"/>
      <c r="H320" s="21"/>
      <c r="I320" s="22"/>
    </row>
    <row r="321" spans="8:8" s="16" ht="16.5" customFormat="1">
      <c r="A321" s="47"/>
      <c r="B321" s="42" t="s">
        <v>1212</v>
      </c>
      <c r="C321" s="42" t="s">
        <v>1213</v>
      </c>
      <c r="D321" s="42" t="s">
        <v>1214</v>
      </c>
      <c r="E321" s="42" t="s">
        <v>1215</v>
      </c>
      <c r="F321" s="42" t="s">
        <v>851</v>
      </c>
      <c r="G321" s="47"/>
      <c r="H321" s="21"/>
      <c r="I321" s="22"/>
    </row>
    <row r="322" spans="8:8" s="16" ht="16.5" customFormat="1">
      <c r="A322" s="47"/>
      <c r="B322" s="42" t="s">
        <v>1216</v>
      </c>
      <c r="C322" s="42" t="s">
        <v>1217</v>
      </c>
      <c r="D322" s="42" t="s">
        <v>1218</v>
      </c>
      <c r="E322" s="42" t="s">
        <v>1219</v>
      </c>
      <c r="F322" s="42" t="s">
        <v>1131</v>
      </c>
      <c r="G322" s="47"/>
      <c r="H322" s="21"/>
      <c r="I322" s="22"/>
    </row>
    <row r="323" spans="8:8" s="16" ht="16.5" customFormat="1">
      <c r="A323" s="47"/>
      <c r="B323" s="42" t="s">
        <v>1220</v>
      </c>
      <c r="C323" s="42" t="s">
        <v>1221</v>
      </c>
      <c r="D323" s="42" t="s">
        <v>1222</v>
      </c>
      <c r="E323" s="42" t="s">
        <v>1223</v>
      </c>
      <c r="F323" s="42" t="s">
        <v>1224</v>
      </c>
      <c r="G323" s="47"/>
      <c r="H323" s="21"/>
      <c r="I323" s="22"/>
    </row>
    <row r="324" spans="8:8" s="16" ht="16.5" customFormat="1">
      <c r="A324" s="47"/>
      <c r="B324" s="42" t="s">
        <v>1225</v>
      </c>
      <c r="C324" s="42" t="s">
        <v>1226</v>
      </c>
      <c r="D324" s="42" t="s">
        <v>1227</v>
      </c>
      <c r="E324" s="42" t="s">
        <v>1228</v>
      </c>
      <c r="F324" s="42" t="s">
        <v>1224</v>
      </c>
      <c r="G324" s="47"/>
      <c r="H324" s="21"/>
      <c r="I324" s="22"/>
    </row>
    <row r="325" spans="8:8" s="16" ht="16.5" customFormat="1">
      <c r="A325" s="47"/>
      <c r="B325" s="42" t="s">
        <v>1229</v>
      </c>
      <c r="C325" s="42" t="s">
        <v>1230</v>
      </c>
      <c r="D325" s="42" t="s">
        <v>1231</v>
      </c>
      <c r="E325" s="42" t="s">
        <v>1232</v>
      </c>
      <c r="F325" s="42" t="s">
        <v>1105</v>
      </c>
      <c r="G325" s="47"/>
      <c r="H325" s="21"/>
      <c r="I325" s="22"/>
    </row>
    <row r="326" spans="8:8" s="16" ht="16.5" customFormat="1">
      <c r="A326" s="47"/>
      <c r="B326" s="42" t="s">
        <v>1233</v>
      </c>
      <c r="C326" s="42" t="s">
        <v>1234</v>
      </c>
      <c r="D326" s="42" t="s">
        <v>1235</v>
      </c>
      <c r="E326" s="42" t="s">
        <v>1236</v>
      </c>
      <c r="F326" s="42" t="s">
        <v>851</v>
      </c>
      <c r="G326" s="47"/>
      <c r="H326" s="21"/>
      <c r="I326" s="22"/>
    </row>
    <row r="327" spans="8:8" s="16" ht="16.5" customFormat="1">
      <c r="A327" s="47"/>
      <c r="B327" s="42" t="s">
        <v>1237</v>
      </c>
      <c r="C327" s="42" t="s">
        <v>1238</v>
      </c>
      <c r="D327" s="42" t="s">
        <v>1239</v>
      </c>
      <c r="E327" s="42" t="s">
        <v>1240</v>
      </c>
      <c r="F327" s="42" t="s">
        <v>851</v>
      </c>
      <c r="G327" s="47"/>
      <c r="H327" s="21"/>
      <c r="I327" s="22"/>
    </row>
    <row r="328" spans="8:8" s="16" ht="16.5" customFormat="1">
      <c r="A328" s="47"/>
      <c r="B328" s="42" t="s">
        <v>1241</v>
      </c>
      <c r="C328" s="42" t="s">
        <v>1242</v>
      </c>
      <c r="D328" s="42" t="s">
        <v>1243</v>
      </c>
      <c r="E328" s="42" t="s">
        <v>1244</v>
      </c>
      <c r="F328" s="42" t="s">
        <v>851</v>
      </c>
      <c r="G328" s="47"/>
      <c r="H328" s="21"/>
      <c r="I328" s="22"/>
    </row>
    <row r="329" spans="8:8" s="16" ht="16.5" customFormat="1">
      <c r="A329" s="47"/>
      <c r="B329" s="42" t="s">
        <v>1245</v>
      </c>
      <c r="C329" s="42" t="s">
        <v>1189</v>
      </c>
      <c r="D329" s="42" t="s">
        <v>1246</v>
      </c>
      <c r="E329" s="42" t="s">
        <v>1247</v>
      </c>
      <c r="F329" s="42" t="s">
        <v>851</v>
      </c>
      <c r="G329" s="47"/>
      <c r="H329" s="21"/>
      <c r="I329" s="22"/>
    </row>
    <row r="330" spans="8:8" s="16" ht="16.5" customFormat="1">
      <c r="A330" s="47"/>
      <c r="B330" s="42" t="s">
        <v>1248</v>
      </c>
      <c r="C330" s="42" t="s">
        <v>1193</v>
      </c>
      <c r="D330" s="42" t="s">
        <v>1249</v>
      </c>
      <c r="E330" s="42" t="s">
        <v>1250</v>
      </c>
      <c r="F330" s="42" t="s">
        <v>851</v>
      </c>
      <c r="G330" s="47"/>
      <c r="H330" s="21"/>
      <c r="I330" s="22"/>
    </row>
    <row r="331" spans="8:8" s="16" ht="16.5" customFormat="1">
      <c r="A331" s="47"/>
      <c r="B331" s="42" t="s">
        <v>1251</v>
      </c>
      <c r="C331" s="42" t="s">
        <v>1252</v>
      </c>
      <c r="D331" s="42" t="s">
        <v>1253</v>
      </c>
      <c r="E331" s="42" t="s">
        <v>1254</v>
      </c>
      <c r="F331" s="42" t="s">
        <v>851</v>
      </c>
      <c r="G331" s="47"/>
      <c r="H331" s="21"/>
      <c r="I331" s="22"/>
    </row>
    <row r="332" spans="8:8" s="16" ht="16.5" customFormat="1">
      <c r="A332" s="47"/>
      <c r="B332" s="42" t="s">
        <v>1255</v>
      </c>
      <c r="C332" s="42" t="s">
        <v>1256</v>
      </c>
      <c r="D332" s="42" t="s">
        <v>1257</v>
      </c>
      <c r="E332" s="42" t="s">
        <v>1258</v>
      </c>
      <c r="F332" s="42" t="s">
        <v>851</v>
      </c>
      <c r="G332" s="47"/>
      <c r="H332" s="21"/>
      <c r="I332" s="22"/>
    </row>
    <row r="333" spans="8:8" s="16" ht="16.5" customFormat="1">
      <c r="A333" s="47"/>
      <c r="B333" s="42" t="s">
        <v>1259</v>
      </c>
      <c r="C333" s="42" t="s">
        <v>1260</v>
      </c>
      <c r="D333" s="42" t="s">
        <v>1261</v>
      </c>
      <c r="E333" s="42" t="s">
        <v>1262</v>
      </c>
      <c r="F333" s="42" t="s">
        <v>851</v>
      </c>
      <c r="G333" s="47"/>
      <c r="H333" s="21"/>
      <c r="I333" s="22"/>
    </row>
    <row r="334" spans="8:8" s="16" ht="16.5" customFormat="1">
      <c r="A334" s="47"/>
      <c r="B334" s="42" t="s">
        <v>1263</v>
      </c>
      <c r="C334" s="42" t="s">
        <v>1264</v>
      </c>
      <c r="D334" s="42" t="s">
        <v>1265</v>
      </c>
      <c r="E334" s="42" t="s">
        <v>1266</v>
      </c>
      <c r="F334" s="42" t="s">
        <v>851</v>
      </c>
      <c r="G334" s="47"/>
      <c r="H334" s="21"/>
      <c r="I334" s="22"/>
    </row>
    <row r="335" spans="8:8" s="16" ht="16.5" customFormat="1">
      <c r="A335" s="47"/>
      <c r="B335" s="42" t="s">
        <v>1267</v>
      </c>
      <c r="C335" s="42" t="s">
        <v>1268</v>
      </c>
      <c r="D335" s="42" t="s">
        <v>1269</v>
      </c>
      <c r="E335" s="42" t="s">
        <v>1270</v>
      </c>
      <c r="F335" s="42" t="s">
        <v>123</v>
      </c>
      <c r="G335" s="47"/>
      <c r="H335" s="21"/>
      <c r="I335" s="22"/>
    </row>
    <row r="336" spans="8:8" s="16" ht="16.5" customFormat="1">
      <c r="A336" s="47"/>
      <c r="B336" s="42" t="s">
        <v>1271</v>
      </c>
      <c r="C336" s="42" t="s">
        <v>1272</v>
      </c>
      <c r="D336" s="42" t="s">
        <v>1273</v>
      </c>
      <c r="E336" s="42" t="s">
        <v>1274</v>
      </c>
      <c r="F336" s="42" t="s">
        <v>43</v>
      </c>
      <c r="G336" s="47"/>
      <c r="H336" s="21"/>
      <c r="I336" s="22"/>
    </row>
    <row r="337" spans="8:8" s="16" ht="16.5" customFormat="1">
      <c r="A337" s="47"/>
      <c r="B337" s="42" t="s">
        <v>1275</v>
      </c>
      <c r="C337" s="42" t="s">
        <v>1276</v>
      </c>
      <c r="D337" s="42" t="s">
        <v>1277</v>
      </c>
      <c r="E337" s="42" t="s">
        <v>1278</v>
      </c>
      <c r="F337" s="42" t="s">
        <v>851</v>
      </c>
      <c r="G337" s="47"/>
      <c r="H337" s="21"/>
      <c r="I337" s="22"/>
    </row>
    <row r="338" spans="8:8" s="16" ht="16.5" customFormat="1">
      <c r="A338" s="47"/>
      <c r="B338" s="42" t="s">
        <v>1279</v>
      </c>
      <c r="C338" s="42" t="s">
        <v>1280</v>
      </c>
      <c r="D338" s="42" t="s">
        <v>1281</v>
      </c>
      <c r="E338" s="42" t="s">
        <v>1282</v>
      </c>
      <c r="F338" s="42" t="s">
        <v>851</v>
      </c>
      <c r="G338" s="47"/>
      <c r="H338" s="21"/>
      <c r="I338" s="22"/>
    </row>
    <row r="339" spans="8:8" s="16" ht="16.5" customFormat="1">
      <c r="A339" s="47"/>
      <c r="B339" s="42" t="s">
        <v>1283</v>
      </c>
      <c r="C339" s="42" t="s">
        <v>1284</v>
      </c>
      <c r="D339" s="42" t="s">
        <v>1285</v>
      </c>
      <c r="E339" s="42" t="s">
        <v>1286</v>
      </c>
      <c r="F339" s="42" t="s">
        <v>1105</v>
      </c>
      <c r="G339" s="47"/>
      <c r="H339" s="21"/>
      <c r="I339" s="22"/>
    </row>
    <row r="340" spans="8:8" s="16" ht="16.5" customFormat="1">
      <c r="A340" s="47"/>
      <c r="B340" s="42" t="s">
        <v>1287</v>
      </c>
      <c r="C340" s="42" t="s">
        <v>1288</v>
      </c>
      <c r="D340" s="42" t="s">
        <v>1289</v>
      </c>
      <c r="E340" s="42" t="s">
        <v>1290</v>
      </c>
      <c r="F340" s="42" t="s">
        <v>851</v>
      </c>
      <c r="G340" s="47"/>
      <c r="H340" s="21"/>
      <c r="I340" s="22"/>
    </row>
    <row r="341" spans="8:8" s="16" ht="16.5" customFormat="1">
      <c r="A341" s="47"/>
      <c r="B341" s="42" t="s">
        <v>1291</v>
      </c>
      <c r="C341" s="42" t="s">
        <v>1292</v>
      </c>
      <c r="D341" s="42" t="s">
        <v>1293</v>
      </c>
      <c r="E341" s="42" t="s">
        <v>1294</v>
      </c>
      <c r="F341" s="42" t="s">
        <v>43</v>
      </c>
      <c r="G341" s="47"/>
      <c r="H341" s="21"/>
      <c r="I341" s="22"/>
    </row>
    <row r="342" spans="8:8" s="16" ht="16.5" customFormat="1">
      <c r="A342" s="47"/>
      <c r="B342" s="42" t="s">
        <v>1295</v>
      </c>
      <c r="C342" s="42" t="s">
        <v>1296</v>
      </c>
      <c r="D342" s="42" t="s">
        <v>1297</v>
      </c>
      <c r="E342" s="42" t="s">
        <v>1298</v>
      </c>
      <c r="F342" s="42" t="s">
        <v>1131</v>
      </c>
      <c r="G342" s="47"/>
      <c r="H342" s="21"/>
      <c r="I342" s="22"/>
    </row>
    <row r="343" spans="8:8" s="16" ht="16.5" customFormat="1">
      <c r="A343" s="47"/>
      <c r="B343" s="42" t="s">
        <v>1299</v>
      </c>
      <c r="C343" s="42" t="s">
        <v>1300</v>
      </c>
      <c r="D343" s="42" t="s">
        <v>1301</v>
      </c>
      <c r="E343" s="42" t="s">
        <v>1302</v>
      </c>
      <c r="F343" s="42" t="s">
        <v>123</v>
      </c>
      <c r="G343" s="47"/>
      <c r="H343" s="21"/>
      <c r="I343" s="22"/>
    </row>
    <row r="344" spans="8:8" s="16" ht="16.5" customFormat="1">
      <c r="A344" s="47"/>
      <c r="B344" s="42" t="s">
        <v>1303</v>
      </c>
      <c r="C344" s="42" t="s">
        <v>1304</v>
      </c>
      <c r="D344" s="42" t="s">
        <v>1305</v>
      </c>
      <c r="E344" s="42" t="s">
        <v>1306</v>
      </c>
      <c r="F344" s="42" t="s">
        <v>123</v>
      </c>
      <c r="G344" s="47"/>
      <c r="H344" s="21"/>
      <c r="I344" s="22"/>
    </row>
    <row r="345" spans="8:8" s="16" ht="16.5" customFormat="1">
      <c r="A345" s="47"/>
      <c r="B345" s="42" t="s">
        <v>1307</v>
      </c>
      <c r="C345" s="42" t="s">
        <v>1308</v>
      </c>
      <c r="D345" s="42" t="s">
        <v>1309</v>
      </c>
      <c r="E345" s="42" t="s">
        <v>1310</v>
      </c>
      <c r="F345" s="42" t="s">
        <v>851</v>
      </c>
      <c r="G345" s="47"/>
      <c r="H345" s="21"/>
      <c r="I345" s="22"/>
    </row>
    <row r="346" spans="8:8" s="16" ht="16.5" customFormat="1">
      <c r="A346" s="47"/>
      <c r="B346" s="42" t="s">
        <v>1311</v>
      </c>
      <c r="C346" s="42" t="s">
        <v>1312</v>
      </c>
      <c r="D346" s="42" t="s">
        <v>1313</v>
      </c>
      <c r="E346" s="42" t="s">
        <v>1314</v>
      </c>
      <c r="F346" s="42" t="s">
        <v>1315</v>
      </c>
      <c r="G346" s="47"/>
      <c r="H346" s="21"/>
      <c r="I346" s="22"/>
    </row>
    <row r="347" spans="8:8" s="16" ht="16.5" customFormat="1">
      <c r="A347" s="47"/>
      <c r="B347" s="48" t="s">
        <v>906</v>
      </c>
      <c r="C347" s="48" t="s">
        <v>906</v>
      </c>
      <c r="D347" s="49" t="s">
        <v>1316</v>
      </c>
      <c r="E347" s="48" t="s">
        <v>906</v>
      </c>
      <c r="F347" s="48" t="s">
        <v>906</v>
      </c>
      <c r="G347" s="47"/>
      <c r="H347" s="21"/>
      <c r="I347" s="22"/>
    </row>
    <row r="348" spans="8:8" s="16" ht="16.5" customFormat="1">
      <c r="A348" s="47"/>
      <c r="B348" s="42" t="s">
        <v>1317</v>
      </c>
      <c r="C348" s="42" t="s">
        <v>1318</v>
      </c>
      <c r="D348" s="42" t="s">
        <v>1319</v>
      </c>
      <c r="E348" s="42" t="s">
        <v>1320</v>
      </c>
      <c r="F348" s="42" t="s">
        <v>851</v>
      </c>
      <c r="G348" s="47"/>
      <c r="H348" s="21"/>
      <c r="I348" s="22"/>
    </row>
    <row r="349" spans="8:8" s="16" ht="16.5" customFormat="1">
      <c r="A349" s="47"/>
      <c r="B349" s="42" t="s">
        <v>1321</v>
      </c>
      <c r="C349" s="42" t="s">
        <v>1322</v>
      </c>
      <c r="D349" s="42" t="s">
        <v>1323</v>
      </c>
      <c r="E349" s="42" t="s">
        <v>1324</v>
      </c>
      <c r="F349" s="42" t="s">
        <v>1131</v>
      </c>
      <c r="G349" s="47"/>
      <c r="H349" s="21"/>
      <c r="I349" s="22"/>
    </row>
    <row r="350" spans="8:8" s="16" ht="20.85" customFormat="1" customHeight="1">
      <c r="A350" s="47"/>
      <c r="B350" s="42" t="s">
        <v>1325</v>
      </c>
      <c r="C350" s="42" t="s">
        <v>1326</v>
      </c>
      <c r="D350" s="42" t="s">
        <v>1327</v>
      </c>
      <c r="E350" s="42" t="s">
        <v>1328</v>
      </c>
      <c r="F350" s="42" t="s">
        <v>52</v>
      </c>
      <c r="G350" s="47"/>
      <c r="H350" s="21"/>
      <c r="I350" s="22"/>
    </row>
    <row r="351" spans="8:8" s="16" ht="14.4" customFormat="1">
      <c r="A351" s="47"/>
      <c r="B351" s="42" t="s">
        <v>1329</v>
      </c>
      <c r="C351" s="42" t="s">
        <v>1330</v>
      </c>
      <c r="D351" s="42" t="s">
        <v>10130</v>
      </c>
      <c r="E351" s="42" t="s">
        <v>1332</v>
      </c>
      <c r="F351" s="42" t="s">
        <v>851</v>
      </c>
      <c r="G351" s="47"/>
      <c r="H351" s="21"/>
      <c r="I351" s="22"/>
    </row>
    <row r="352" spans="8:8" s="16" ht="16.5" customFormat="1">
      <c r="A352" s="47"/>
      <c r="B352" s="42" t="s">
        <v>1333</v>
      </c>
      <c r="C352" s="42" t="s">
        <v>1334</v>
      </c>
      <c r="D352" s="42" t="s">
        <v>1335</v>
      </c>
      <c r="E352" s="42" t="s">
        <v>1336</v>
      </c>
      <c r="F352" s="42" t="s">
        <v>123</v>
      </c>
      <c r="G352" s="47"/>
      <c r="H352" s="21"/>
      <c r="I352" s="22"/>
    </row>
    <row r="353" spans="8:8" s="16" ht="16.5" customFormat="1">
      <c r="A353" s="47"/>
      <c r="B353" s="42" t="s">
        <v>1337</v>
      </c>
      <c r="C353" s="42" t="s">
        <v>1338</v>
      </c>
      <c r="D353" s="42" t="s">
        <v>1339</v>
      </c>
      <c r="E353" s="42" t="s">
        <v>1340</v>
      </c>
      <c r="F353" s="42" t="s">
        <v>851</v>
      </c>
      <c r="G353" s="47"/>
      <c r="H353" s="21"/>
      <c r="I353" s="22"/>
    </row>
    <row r="354" spans="8:8" s="16" ht="16.5" customFormat="1">
      <c r="A354" s="47"/>
      <c r="B354" s="48" t="s">
        <v>906</v>
      </c>
      <c r="C354" s="48" t="s">
        <v>906</v>
      </c>
      <c r="D354" s="49" t="s">
        <v>1341</v>
      </c>
      <c r="E354" s="48" t="s">
        <v>906</v>
      </c>
      <c r="F354" s="48" t="s">
        <v>906</v>
      </c>
      <c r="G354" s="47"/>
      <c r="H354" s="21"/>
      <c r="I354" s="22"/>
    </row>
    <row r="355" spans="8:8" s="16" ht="16.5" customFormat="1">
      <c r="A355" s="47"/>
      <c r="B355" s="42" t="s">
        <v>1342</v>
      </c>
      <c r="C355" s="42" t="s">
        <v>1343</v>
      </c>
      <c r="D355" s="42" t="s">
        <v>1344</v>
      </c>
      <c r="E355" s="42" t="s">
        <v>1345</v>
      </c>
      <c r="F355" s="42" t="s">
        <v>52</v>
      </c>
      <c r="G355" s="47"/>
      <c r="H355" s="21"/>
      <c r="I355" s="22"/>
    </row>
    <row r="356" spans="8:8" s="16" ht="20.8" customFormat="1" customHeight="1">
      <c r="A356" s="47"/>
      <c r="B356" s="42" t="s">
        <v>1346</v>
      </c>
      <c r="C356" s="42" t="s">
        <v>1347</v>
      </c>
      <c r="D356" s="42" t="s">
        <v>1348</v>
      </c>
      <c r="E356" s="42" t="s">
        <v>1349</v>
      </c>
      <c r="F356" s="42" t="s">
        <v>851</v>
      </c>
      <c r="G356" s="47"/>
      <c r="H356" s="21"/>
      <c r="I356" s="22"/>
    </row>
    <row r="357" spans="8:8" s="16" ht="18.0" customFormat="1" customHeight="1">
      <c r="A357" s="47"/>
      <c r="B357" s="42" t="s">
        <v>1350</v>
      </c>
      <c r="C357" s="42" t="s">
        <v>1351</v>
      </c>
      <c r="D357" s="42" t="s">
        <v>1352</v>
      </c>
      <c r="E357" s="42" t="s">
        <v>1353</v>
      </c>
      <c r="F357" s="42" t="s">
        <v>851</v>
      </c>
      <c r="G357" s="47"/>
      <c r="H357" s="21"/>
      <c r="I357" s="22"/>
    </row>
    <row r="358" spans="8:8" s="16" ht="16.5" customFormat="1">
      <c r="A358" s="47"/>
      <c r="B358" s="48" t="s">
        <v>906</v>
      </c>
      <c r="C358" s="48" t="s">
        <v>906</v>
      </c>
      <c r="D358" s="49" t="s">
        <v>1354</v>
      </c>
      <c r="E358" s="48" t="s">
        <v>906</v>
      </c>
      <c r="F358" s="48" t="s">
        <v>906</v>
      </c>
      <c r="G358" s="47"/>
      <c r="H358" s="21"/>
      <c r="I358" s="22"/>
    </row>
    <row r="359" spans="8:8" s="16" ht="16.5" customFormat="1">
      <c r="A359" s="47"/>
      <c r="B359" s="42" t="s">
        <v>1355</v>
      </c>
      <c r="C359" s="42" t="s">
        <v>1356</v>
      </c>
      <c r="D359" s="42" t="s">
        <v>1357</v>
      </c>
      <c r="E359" s="42" t="s">
        <v>1358</v>
      </c>
      <c r="F359" s="42" t="s">
        <v>123</v>
      </c>
      <c r="G359" s="47"/>
      <c r="H359" s="21"/>
      <c r="I359" s="22"/>
    </row>
    <row r="360" spans="8:8" s="16" ht="16.65" customFormat="1" customHeight="1">
      <c r="A360" s="47"/>
      <c r="B360" s="42" t="s">
        <v>1097</v>
      </c>
      <c r="C360" s="42" t="s">
        <v>1098</v>
      </c>
      <c r="D360" s="42" t="s">
        <v>10169</v>
      </c>
      <c r="E360" s="42" t="s">
        <v>1100</v>
      </c>
      <c r="F360" s="42" t="s">
        <v>123</v>
      </c>
      <c r="G360" s="47"/>
      <c r="H360" s="21"/>
      <c r="I360" s="22"/>
    </row>
    <row r="361" spans="8:8" s="16" ht="16.5" customFormat="1">
      <c r="A361" s="47"/>
      <c r="B361" s="42" t="s">
        <v>1101</v>
      </c>
      <c r="C361" s="42" t="s">
        <v>1102</v>
      </c>
      <c r="D361" s="42" t="s">
        <v>1359</v>
      </c>
      <c r="E361" s="42" t="s">
        <v>1104</v>
      </c>
      <c r="F361" s="42" t="s">
        <v>1105</v>
      </c>
      <c r="G361" s="47"/>
      <c r="H361" s="21"/>
      <c r="I361" s="22"/>
    </row>
    <row r="362" spans="8:8" s="16" ht="16.5" customFormat="1">
      <c r="A362" s="47"/>
      <c r="B362" s="42" t="s">
        <v>1106</v>
      </c>
      <c r="C362" s="42" t="s">
        <v>1107</v>
      </c>
      <c r="D362" s="42" t="s">
        <v>1108</v>
      </c>
      <c r="E362" s="42" t="s">
        <v>1109</v>
      </c>
      <c r="F362" s="42" t="s">
        <v>1105</v>
      </c>
      <c r="G362" s="47"/>
      <c r="H362" s="21"/>
      <c r="I362" s="22"/>
    </row>
    <row r="363" spans="8:8" s="16" ht="16.5" customFormat="1">
      <c r="A363" s="47"/>
      <c r="B363" s="42" t="s">
        <v>1110</v>
      </c>
      <c r="C363" s="42" t="s">
        <v>1111</v>
      </c>
      <c r="D363" s="42" t="s">
        <v>1112</v>
      </c>
      <c r="E363" s="42" t="s">
        <v>1113</v>
      </c>
      <c r="F363" s="42" t="s">
        <v>1105</v>
      </c>
      <c r="G363" s="47"/>
      <c r="H363" s="21"/>
      <c r="I363" s="22"/>
    </row>
    <row r="364" spans="8:8" s="16" ht="16.5" customFormat="1">
      <c r="A364" s="47"/>
      <c r="B364" s="42" t="s">
        <v>1114</v>
      </c>
      <c r="C364" s="42" t="s">
        <v>1115</v>
      </c>
      <c r="D364" s="42" t="s">
        <v>1116</v>
      </c>
      <c r="E364" s="42" t="s">
        <v>1117</v>
      </c>
      <c r="F364" s="42" t="s">
        <v>1105</v>
      </c>
      <c r="G364" s="47"/>
      <c r="H364" s="21"/>
      <c r="I364" s="22"/>
    </row>
    <row r="365" spans="8:8" s="16" ht="16.5" customFormat="1">
      <c r="A365" s="47"/>
      <c r="B365" s="42" t="s">
        <v>1118</v>
      </c>
      <c r="C365" s="42" t="s">
        <v>1119</v>
      </c>
      <c r="D365" s="42" t="s">
        <v>1120</v>
      </c>
      <c r="E365" s="42" t="s">
        <v>1121</v>
      </c>
      <c r="F365" s="42" t="s">
        <v>1122</v>
      </c>
      <c r="G365" s="47"/>
      <c r="H365" s="21"/>
      <c r="I365" s="22"/>
    </row>
    <row r="366" spans="8:8" s="16" ht="16.5" customFormat="1">
      <c r="A366" s="47"/>
      <c r="B366" s="42" t="s">
        <v>1123</v>
      </c>
      <c r="C366" s="42" t="s">
        <v>1124</v>
      </c>
      <c r="D366" s="42" t="s">
        <v>1125</v>
      </c>
      <c r="E366" s="42" t="s">
        <v>1126</v>
      </c>
      <c r="F366" s="42" t="s">
        <v>1122</v>
      </c>
      <c r="G366" s="47"/>
      <c r="H366" s="21"/>
      <c r="I366" s="22"/>
    </row>
    <row r="367" spans="8:8" s="16" ht="16.5" customFormat="1">
      <c r="A367" s="47"/>
      <c r="B367" s="42" t="s">
        <v>1360</v>
      </c>
      <c r="C367" s="42" t="s">
        <v>1361</v>
      </c>
      <c r="D367" s="42" t="s">
        <v>1362</v>
      </c>
      <c r="E367" s="42" t="s">
        <v>1363</v>
      </c>
      <c r="F367" s="42" t="s">
        <v>1105</v>
      </c>
      <c r="G367" s="47"/>
      <c r="H367" s="21"/>
      <c r="I367" s="22"/>
    </row>
    <row r="368" spans="8:8" s="16" ht="16.5" customFormat="1">
      <c r="A368" s="47"/>
      <c r="B368" s="42" t="s">
        <v>1364</v>
      </c>
      <c r="C368" s="42" t="s">
        <v>1365</v>
      </c>
      <c r="D368" s="42" t="s">
        <v>1366</v>
      </c>
      <c r="E368" s="42" t="s">
        <v>1367</v>
      </c>
      <c r="F368" s="42" t="s">
        <v>123</v>
      </c>
      <c r="G368" s="47"/>
      <c r="H368" s="21"/>
      <c r="I368" s="22"/>
    </row>
    <row r="369" spans="8:8" s="16" ht="16.5" customFormat="1">
      <c r="A369" s="47"/>
      <c r="B369" s="42" t="s">
        <v>1368</v>
      </c>
      <c r="C369" s="42" t="s">
        <v>1369</v>
      </c>
      <c r="D369" s="42" t="s">
        <v>1370</v>
      </c>
      <c r="E369" s="42" t="s">
        <v>1371</v>
      </c>
      <c r="F369" s="42" t="s">
        <v>851</v>
      </c>
      <c r="G369" s="47"/>
      <c r="H369" s="21"/>
      <c r="I369" s="22"/>
    </row>
    <row r="370" spans="8:8" s="16" ht="16.5" customFormat="1">
      <c r="A370" s="47"/>
      <c r="B370" s="42" t="s">
        <v>1372</v>
      </c>
      <c r="C370" s="42" t="s">
        <v>1373</v>
      </c>
      <c r="D370" s="42" t="s">
        <v>1374</v>
      </c>
      <c r="E370" s="42" t="s">
        <v>1375</v>
      </c>
      <c r="F370" s="42" t="s">
        <v>851</v>
      </c>
      <c r="G370" s="47"/>
      <c r="H370" s="21"/>
      <c r="I370" s="22"/>
    </row>
    <row r="371" spans="8:8" s="16" ht="16.5" customFormat="1">
      <c r="A371" s="47"/>
      <c r="B371" s="42" t="s">
        <v>1376</v>
      </c>
      <c r="C371" s="42" t="s">
        <v>1377</v>
      </c>
      <c r="D371" s="42" t="s">
        <v>1378</v>
      </c>
      <c r="E371" s="42" t="s">
        <v>1379</v>
      </c>
      <c r="F371" s="42" t="s">
        <v>851</v>
      </c>
      <c r="G371" s="47"/>
      <c r="H371" s="21"/>
      <c r="I371" s="22"/>
    </row>
    <row r="372" spans="8:8" s="16" ht="16.5" customFormat="1">
      <c r="A372" s="47"/>
      <c r="B372" s="42" t="s">
        <v>1380</v>
      </c>
      <c r="C372" s="42" t="s">
        <v>1381</v>
      </c>
      <c r="D372" s="42" t="s">
        <v>1382</v>
      </c>
      <c r="E372" s="42" t="s">
        <v>1383</v>
      </c>
      <c r="F372" s="42" t="s">
        <v>851</v>
      </c>
      <c r="G372" s="47"/>
      <c r="H372" s="21"/>
      <c r="I372" s="22"/>
    </row>
    <row r="373" spans="8:8" s="16" ht="16.5" customFormat="1">
      <c r="A373" s="47"/>
      <c r="B373" s="42" t="s">
        <v>1384</v>
      </c>
      <c r="C373" s="42" t="s">
        <v>1385</v>
      </c>
      <c r="D373" s="42" t="s">
        <v>1386</v>
      </c>
      <c r="E373" s="42" t="s">
        <v>1387</v>
      </c>
      <c r="F373" s="42" t="s">
        <v>869</v>
      </c>
      <c r="G373" s="47"/>
      <c r="H373" s="21"/>
      <c r="I373" s="22"/>
    </row>
    <row r="374" spans="8:8" s="16" ht="18.65" customFormat="1" customHeight="1">
      <c r="A374" s="47"/>
      <c r="B374" s="42" t="s">
        <v>1388</v>
      </c>
      <c r="C374" s="42" t="s">
        <v>1389</v>
      </c>
      <c r="D374" s="42" t="s">
        <v>1390</v>
      </c>
      <c r="E374" s="42" t="s">
        <v>1391</v>
      </c>
      <c r="F374" s="42" t="s">
        <v>43</v>
      </c>
      <c r="G374" s="47"/>
      <c r="H374" s="21"/>
      <c r="I374" s="22"/>
    </row>
    <row r="375" spans="8:8" s="16" ht="16.5" customFormat="1">
      <c r="A375" s="47"/>
      <c r="B375" s="42" t="s">
        <v>1392</v>
      </c>
      <c r="C375" s="42" t="s">
        <v>1393</v>
      </c>
      <c r="D375" s="42" t="s">
        <v>1394</v>
      </c>
      <c r="E375" s="42" t="s">
        <v>1395</v>
      </c>
      <c r="F375" s="42" t="s">
        <v>43</v>
      </c>
      <c r="G375" s="47"/>
      <c r="H375" s="21"/>
      <c r="I375" s="22"/>
    </row>
    <row r="376" spans="8:8" s="16" ht="16.5" customFormat="1">
      <c r="A376" s="47"/>
      <c r="B376" s="42" t="s">
        <v>1396</v>
      </c>
      <c r="C376" s="42" t="s">
        <v>1397</v>
      </c>
      <c r="D376" s="42" t="s">
        <v>1398</v>
      </c>
      <c r="E376" s="42" t="s">
        <v>1399</v>
      </c>
      <c r="F376" s="42" t="s">
        <v>43</v>
      </c>
      <c r="G376" s="47"/>
      <c r="H376" s="21"/>
      <c r="I376" s="22"/>
    </row>
    <row r="377" spans="8:8" s="16" ht="16.5" customFormat="1">
      <c r="A377" s="47"/>
      <c r="B377" s="42" t="s">
        <v>1400</v>
      </c>
      <c r="C377" s="42" t="s">
        <v>1401</v>
      </c>
      <c r="D377" s="42" t="s">
        <v>1402</v>
      </c>
      <c r="E377" s="42" t="s">
        <v>1403</v>
      </c>
      <c r="F377" s="42" t="s">
        <v>851</v>
      </c>
      <c r="G377" s="47"/>
      <c r="H377" s="21"/>
      <c r="I377" s="22"/>
    </row>
    <row r="378" spans="8:8" s="16" ht="16.5" customFormat="1">
      <c r="A378" s="47"/>
      <c r="B378" s="42" t="s">
        <v>1164</v>
      </c>
      <c r="C378" s="42" t="s">
        <v>1165</v>
      </c>
      <c r="D378" s="42" t="s">
        <v>1166</v>
      </c>
      <c r="E378" s="42" t="s">
        <v>1167</v>
      </c>
      <c r="F378" s="42" t="s">
        <v>851</v>
      </c>
      <c r="G378" s="47"/>
      <c r="H378" s="21"/>
      <c r="I378" s="22"/>
    </row>
    <row r="379" spans="8:8" s="16" ht="16.5" customFormat="1">
      <c r="A379" s="47"/>
      <c r="B379" s="48" t="s">
        <v>906</v>
      </c>
      <c r="C379" s="48" t="s">
        <v>906</v>
      </c>
      <c r="D379" s="49" t="s">
        <v>1404</v>
      </c>
      <c r="E379" s="48" t="s">
        <v>906</v>
      </c>
      <c r="F379" s="48" t="s">
        <v>906</v>
      </c>
      <c r="G379" s="47"/>
      <c r="H379" s="21"/>
      <c r="I379" s="22"/>
    </row>
    <row r="380" spans="8:8" s="16" ht="16.5" customFormat="1">
      <c r="A380" s="47"/>
      <c r="B380" s="42" t="s">
        <v>1405</v>
      </c>
      <c r="C380" s="42" t="s">
        <v>1406</v>
      </c>
      <c r="D380" s="42" t="s">
        <v>1407</v>
      </c>
      <c r="E380" s="42" t="s">
        <v>1408</v>
      </c>
      <c r="F380" s="42" t="s">
        <v>1105</v>
      </c>
      <c r="G380" s="47"/>
      <c r="H380" s="21"/>
      <c r="I380" s="22"/>
    </row>
    <row r="381" spans="8:8" s="16" ht="16.5" customFormat="1">
      <c r="A381" s="47"/>
      <c r="B381" s="42" t="s">
        <v>819</v>
      </c>
      <c r="C381" s="42" t="s">
        <v>811</v>
      </c>
      <c r="D381" s="42" t="s">
        <v>1409</v>
      </c>
      <c r="E381" s="42" t="s">
        <v>1410</v>
      </c>
      <c r="F381" s="42" t="s">
        <v>819</v>
      </c>
      <c r="G381" s="47"/>
      <c r="H381" s="21"/>
      <c r="I381" s="22"/>
    </row>
    <row r="382" spans="8:8" s="16" ht="16.5" customFormat="1">
      <c r="A382" s="47"/>
      <c r="B382" s="42" t="s">
        <v>1414</v>
      </c>
      <c r="C382" s="42" t="s">
        <v>1415</v>
      </c>
      <c r="D382" s="42" t="s">
        <v>1416</v>
      </c>
      <c r="E382" s="42" t="s">
        <v>1414</v>
      </c>
      <c r="F382" s="42" t="s">
        <v>851</v>
      </c>
      <c r="G382" s="47"/>
      <c r="H382" s="21"/>
      <c r="I382" s="22"/>
    </row>
    <row r="383" spans="8:8" s="16" ht="16.5" customFormat="1">
      <c r="A383" s="47"/>
      <c r="B383" s="42" t="s">
        <v>1417</v>
      </c>
      <c r="C383" s="42" t="s">
        <v>1418</v>
      </c>
      <c r="D383" s="42" t="s">
        <v>1419</v>
      </c>
      <c r="E383" s="42" t="s">
        <v>1417</v>
      </c>
      <c r="F383" s="42" t="s">
        <v>851</v>
      </c>
      <c r="G383" s="47"/>
      <c r="H383" s="21"/>
      <c r="I383" s="22"/>
    </row>
    <row r="384" spans="8:8" s="16" ht="16.5" customFormat="1">
      <c r="A384" s="47"/>
      <c r="B384" s="42" t="s">
        <v>1420</v>
      </c>
      <c r="C384" s="42" t="s">
        <v>1421</v>
      </c>
      <c r="D384" s="42" t="s">
        <v>1422</v>
      </c>
      <c r="E384" s="42" t="s">
        <v>1423</v>
      </c>
      <c r="F384" s="42" t="s">
        <v>819</v>
      </c>
      <c r="G384" s="47"/>
      <c r="H384" s="21"/>
      <c r="I384" s="22"/>
    </row>
    <row r="385" spans="8:8" s="16" ht="16.5" customFormat="1">
      <c r="A385" s="47"/>
      <c r="B385" s="42" t="s">
        <v>1424</v>
      </c>
      <c r="C385" s="42" t="s">
        <v>1425</v>
      </c>
      <c r="D385" s="42" t="s">
        <v>1426</v>
      </c>
      <c r="E385" s="42" t="s">
        <v>1424</v>
      </c>
      <c r="F385" s="42" t="s">
        <v>1427</v>
      </c>
      <c r="G385" s="47"/>
      <c r="H385" s="21"/>
      <c r="I385" s="22"/>
    </row>
    <row r="386" spans="8:8" s="16" ht="49.5" customFormat="1">
      <c r="A386" s="47"/>
      <c r="B386" s="42" t="s">
        <v>1428</v>
      </c>
      <c r="C386" s="42" t="s">
        <v>1429</v>
      </c>
      <c r="D386" s="42" t="s">
        <v>1430</v>
      </c>
      <c r="E386" s="42" t="s">
        <v>1431</v>
      </c>
      <c r="F386" s="42" t="s">
        <v>869</v>
      </c>
      <c r="G386" s="47"/>
      <c r="H386" s="21"/>
      <c r="I386" s="22"/>
    </row>
    <row r="387" spans="8:8" s="16" ht="16.5" customFormat="1">
      <c r="A387" s="47"/>
      <c r="B387" s="42" t="s">
        <v>1432</v>
      </c>
      <c r="C387" s="42" t="s">
        <v>1433</v>
      </c>
      <c r="D387" s="42" t="s">
        <v>1434</v>
      </c>
      <c r="E387" s="42" t="s">
        <v>1435</v>
      </c>
      <c r="F387" s="42" t="s">
        <v>851</v>
      </c>
      <c r="G387" s="47"/>
      <c r="H387" s="21"/>
      <c r="I387" s="22"/>
    </row>
    <row r="388" spans="8:8" s="16" ht="33.0" customFormat="1">
      <c r="A388" s="47"/>
      <c r="B388" s="42" t="s">
        <v>1436</v>
      </c>
      <c r="C388" s="42" t="s">
        <v>1437</v>
      </c>
      <c r="D388" s="42" t="s">
        <v>1438</v>
      </c>
      <c r="E388" s="42" t="s">
        <v>1439</v>
      </c>
      <c r="F388" s="42" t="s">
        <v>1427</v>
      </c>
      <c r="G388" s="47"/>
      <c r="H388" s="21"/>
      <c r="I388" s="22"/>
    </row>
    <row r="389" spans="8:8" s="16" ht="16.5" customFormat="1">
      <c r="A389" s="47"/>
      <c r="B389" s="42" t="s">
        <v>1440</v>
      </c>
      <c r="C389" s="42" t="s">
        <v>1441</v>
      </c>
      <c r="D389" s="42" t="s">
        <v>1442</v>
      </c>
      <c r="E389" s="42" t="s">
        <v>1443</v>
      </c>
      <c r="F389" s="42" t="s">
        <v>1444</v>
      </c>
      <c r="G389" s="47"/>
      <c r="H389" s="21"/>
      <c r="I389" s="22"/>
    </row>
    <row r="390" spans="8:8" s="16" ht="16.5" customFormat="1">
      <c r="A390" s="47"/>
      <c r="B390" s="42" t="s">
        <v>1445</v>
      </c>
      <c r="C390" s="42" t="s">
        <v>1446</v>
      </c>
      <c r="D390" s="42" t="s">
        <v>1447</v>
      </c>
      <c r="E390" s="42" t="s">
        <v>1448</v>
      </c>
      <c r="F390" s="42" t="s">
        <v>851</v>
      </c>
      <c r="G390" s="47"/>
      <c r="H390" s="21"/>
      <c r="I390" s="22"/>
    </row>
    <row r="391" spans="8:8" s="16" ht="16.5" customFormat="1">
      <c r="A391" s="47"/>
      <c r="B391" s="42" t="s">
        <v>1449</v>
      </c>
      <c r="C391" s="42" t="s">
        <v>1450</v>
      </c>
      <c r="D391" s="42" t="s">
        <v>1451</v>
      </c>
      <c r="E391" s="42" t="s">
        <v>1452</v>
      </c>
      <c r="F391" s="42" t="s">
        <v>1453</v>
      </c>
      <c r="G391" s="47"/>
      <c r="H391" s="21"/>
      <c r="I391" s="22"/>
    </row>
    <row r="392" spans="8:8" s="16" ht="16.5" customFormat="1">
      <c r="A392" s="47"/>
      <c r="B392" s="42" t="s">
        <v>1454</v>
      </c>
      <c r="C392" s="42" t="s">
        <v>1455</v>
      </c>
      <c r="D392" s="42" t="s">
        <v>1456</v>
      </c>
      <c r="E392" s="42" t="s">
        <v>1457</v>
      </c>
      <c r="F392" s="42" t="s">
        <v>1458</v>
      </c>
      <c r="G392" s="47"/>
      <c r="H392" s="21"/>
      <c r="I392" s="22"/>
    </row>
    <row r="393" spans="8:8" s="16" ht="16.5" customFormat="1">
      <c r="A393" s="47"/>
      <c r="B393" s="42" t="s">
        <v>1459</v>
      </c>
      <c r="C393" s="42" t="s">
        <v>1460</v>
      </c>
      <c r="D393" s="42" t="s">
        <v>1461</v>
      </c>
      <c r="E393" s="42" t="s">
        <v>1462</v>
      </c>
      <c r="F393" s="42" t="s">
        <v>43</v>
      </c>
      <c r="G393" s="47"/>
      <c r="H393" s="21"/>
      <c r="I393" s="22"/>
    </row>
    <row r="394" spans="8:8" s="16" ht="16.5" customFormat="1">
      <c r="A394" s="47"/>
      <c r="B394" s="42" t="s">
        <v>1463</v>
      </c>
      <c r="C394" s="42" t="s">
        <v>1464</v>
      </c>
      <c r="D394" s="42" t="s">
        <v>1465</v>
      </c>
      <c r="E394" s="42" t="s">
        <v>1466</v>
      </c>
      <c r="F394" s="42" t="s">
        <v>851</v>
      </c>
      <c r="G394" s="47"/>
      <c r="H394" s="21"/>
      <c r="I394" s="22"/>
    </row>
    <row r="395" spans="8:8" s="16" ht="21.6" customFormat="1" customHeight="1">
      <c r="A395" s="47"/>
      <c r="B395" s="42" t="s">
        <v>1467</v>
      </c>
      <c r="C395" s="42" t="s">
        <v>1468</v>
      </c>
      <c r="D395" s="42" t="s">
        <v>1469</v>
      </c>
      <c r="E395" s="42" t="s">
        <v>1470</v>
      </c>
      <c r="F395" s="42" t="s">
        <v>851</v>
      </c>
      <c r="G395" s="47"/>
      <c r="H395" s="21"/>
      <c r="I395" s="22"/>
    </row>
    <row r="396" spans="8:8" s="16" ht="21.9" customFormat="1" customHeight="1">
      <c r="A396" s="47"/>
      <c r="B396" s="42" t="s">
        <v>1471</v>
      </c>
      <c r="C396" s="42" t="s">
        <v>1472</v>
      </c>
      <c r="D396" s="42" t="s">
        <v>1473</v>
      </c>
      <c r="E396" s="42" t="s">
        <v>1474</v>
      </c>
      <c r="F396" s="42" t="s">
        <v>851</v>
      </c>
      <c r="G396" s="47"/>
      <c r="H396" s="21"/>
      <c r="I396" s="22"/>
    </row>
    <row r="397" spans="8:8" s="16" ht="16.5" customFormat="1">
      <c r="A397" s="47"/>
      <c r="B397" s="42" t="s">
        <v>1176</v>
      </c>
      <c r="C397" s="42" t="s">
        <v>1177</v>
      </c>
      <c r="D397" s="42" t="s">
        <v>1178</v>
      </c>
      <c r="E397" s="42" t="s">
        <v>1179</v>
      </c>
      <c r="F397" s="42" t="s">
        <v>123</v>
      </c>
      <c r="G397" s="47"/>
      <c r="H397" s="21"/>
      <c r="I397" s="22"/>
    </row>
    <row r="398" spans="8:8" s="16" ht="16.5" customFormat="1">
      <c r="A398" s="47"/>
      <c r="B398" s="42"/>
      <c r="C398" s="42"/>
      <c r="D398" s="42"/>
      <c r="E398" s="42"/>
      <c r="F398" s="42"/>
      <c r="G398" s="47"/>
      <c r="H398" s="21"/>
      <c r="I398" s="22"/>
    </row>
    <row r="399" spans="8:8" s="9" ht="29.25" customFormat="1">
      <c r="A399" s="50"/>
      <c r="B399" s="51" t="s">
        <v>1221</v>
      </c>
      <c r="C399" s="51" t="s">
        <v>812</v>
      </c>
      <c r="D399" s="51" t="s">
        <v>1475</v>
      </c>
      <c r="E399" s="51" t="s">
        <v>1476</v>
      </c>
      <c r="F399" s="51"/>
      <c r="G399" s="50"/>
      <c r="H399" s="14"/>
      <c r="I399" s="15"/>
    </row>
    <row r="400" spans="8:8" s="9" ht="29.25" customFormat="1">
      <c r="A400" s="50"/>
      <c r="B400" s="51" t="s">
        <v>814</v>
      </c>
      <c r="C400" s="51" t="s">
        <v>815</v>
      </c>
      <c r="D400" s="51" t="s">
        <v>816</v>
      </c>
      <c r="E400" s="51" t="s">
        <v>817</v>
      </c>
      <c r="F400" s="51" t="s">
        <v>818</v>
      </c>
      <c r="G400" s="50"/>
      <c r="H400" s="14"/>
      <c r="I400" s="15"/>
    </row>
    <row r="401" spans="8:8" s="16" ht="16.5" customFormat="1">
      <c r="A401" s="52"/>
      <c r="B401" s="42" t="s">
        <v>1477</v>
      </c>
      <c r="C401" s="42" t="s">
        <v>1478</v>
      </c>
      <c r="D401" s="42" t="s">
        <v>1479</v>
      </c>
      <c r="E401" s="42" t="s">
        <v>1480</v>
      </c>
      <c r="F401" s="42" t="s">
        <v>43</v>
      </c>
      <c r="G401" s="52"/>
      <c r="H401" s="21"/>
      <c r="I401" s="22"/>
    </row>
    <row r="402" spans="8:8" s="16" ht="16.5" customFormat="1">
      <c r="A402" s="52"/>
      <c r="B402" s="42" t="s">
        <v>1481</v>
      </c>
      <c r="C402" s="42" t="s">
        <v>1482</v>
      </c>
      <c r="D402" s="42" t="s">
        <v>1483</v>
      </c>
      <c r="E402" s="42" t="s">
        <v>1484</v>
      </c>
      <c r="F402" s="42" t="s">
        <v>52</v>
      </c>
      <c r="G402" s="52"/>
      <c r="H402" s="21"/>
      <c r="I402" s="22"/>
    </row>
    <row r="403" spans="8:8" s="16" ht="16.5" customFormat="1">
      <c r="A403" s="52"/>
      <c r="B403" s="42" t="s">
        <v>1485</v>
      </c>
      <c r="C403" s="42" t="s">
        <v>1486</v>
      </c>
      <c r="D403" s="42" t="s">
        <v>1487</v>
      </c>
      <c r="E403" s="42" t="s">
        <v>1488</v>
      </c>
      <c r="F403" s="42" t="s">
        <v>123</v>
      </c>
      <c r="G403" s="52"/>
      <c r="H403" s="21"/>
      <c r="I403" s="22"/>
    </row>
    <row r="404" spans="8:8" s="16" ht="16.5" customFormat="1">
      <c r="A404" s="52"/>
      <c r="B404" s="42" t="s">
        <v>1489</v>
      </c>
      <c r="C404" s="42" t="s">
        <v>1490</v>
      </c>
      <c r="D404" s="42" t="s">
        <v>1491</v>
      </c>
      <c r="E404" s="42" t="s">
        <v>1492</v>
      </c>
      <c r="F404" s="42" t="s">
        <v>851</v>
      </c>
      <c r="G404" s="52"/>
      <c r="H404" s="21"/>
      <c r="I404" s="22"/>
    </row>
    <row r="405" spans="8:8" s="16" ht="16.5" customFormat="1">
      <c r="A405" s="52"/>
      <c r="B405" s="42" t="s">
        <v>1493</v>
      </c>
      <c r="C405" s="42" t="s">
        <v>1494</v>
      </c>
      <c r="D405" s="42" t="s">
        <v>1495</v>
      </c>
      <c r="E405" s="42" t="s">
        <v>1496</v>
      </c>
      <c r="F405" s="42" t="s">
        <v>123</v>
      </c>
      <c r="G405" s="52"/>
      <c r="H405" s="21"/>
      <c r="I405" s="22"/>
    </row>
    <row r="406" spans="8:8" s="16" ht="16.5" customFormat="1">
      <c r="A406" s="52"/>
      <c r="B406" s="42" t="s">
        <v>1497</v>
      </c>
      <c r="C406" s="42" t="s">
        <v>1498</v>
      </c>
      <c r="D406" s="42" t="s">
        <v>1499</v>
      </c>
      <c r="E406" s="42" t="s">
        <v>1500</v>
      </c>
      <c r="F406" s="42" t="s">
        <v>123</v>
      </c>
      <c r="G406" s="52"/>
      <c r="H406" s="21"/>
      <c r="I406" s="22"/>
    </row>
    <row r="407" spans="8:8" s="16" ht="16.15" customFormat="1">
      <c r="A407" s="52"/>
      <c r="B407" s="42" t="s">
        <v>1501</v>
      </c>
      <c r="C407" s="42" t="s">
        <v>1502</v>
      </c>
      <c r="D407" s="42" t="s">
        <v>1503</v>
      </c>
      <c r="E407" s="42" t="s">
        <v>1504</v>
      </c>
      <c r="F407" s="42" t="s">
        <v>851</v>
      </c>
      <c r="G407" s="52"/>
      <c r="H407" s="21"/>
      <c r="I407" s="22"/>
    </row>
    <row r="408" spans="8:8" s="16" ht="16.5" customFormat="1">
      <c r="A408" s="52"/>
      <c r="B408" s="42" t="s">
        <v>1505</v>
      </c>
      <c r="C408" s="42" t="s">
        <v>1506</v>
      </c>
      <c r="D408" s="42" t="s">
        <v>1507</v>
      </c>
      <c r="E408" s="42" t="s">
        <v>1508</v>
      </c>
      <c r="F408" s="42" t="s">
        <v>851</v>
      </c>
      <c r="G408" s="52"/>
      <c r="H408" s="21"/>
      <c r="I408" s="22"/>
    </row>
    <row r="409" spans="8:8" s="16" ht="16.5" customFormat="1">
      <c r="A409" s="52"/>
      <c r="B409" s="42" t="s">
        <v>1509</v>
      </c>
      <c r="C409" s="42" t="s">
        <v>1510</v>
      </c>
      <c r="D409" s="42" t="s">
        <v>1511</v>
      </c>
      <c r="E409" s="42" t="s">
        <v>1512</v>
      </c>
      <c r="F409" s="42" t="s">
        <v>43</v>
      </c>
      <c r="G409" s="52"/>
      <c r="H409" s="21"/>
      <c r="I409" s="22"/>
    </row>
    <row r="410" spans="8:8" s="16" ht="16.5" customFormat="1">
      <c r="A410" s="52"/>
      <c r="B410" s="42" t="s">
        <v>1513</v>
      </c>
      <c r="C410" s="42" t="s">
        <v>1514</v>
      </c>
      <c r="D410" s="42" t="s">
        <v>1515</v>
      </c>
      <c r="E410" s="42" t="s">
        <v>1516</v>
      </c>
      <c r="F410" s="42" t="s">
        <v>123</v>
      </c>
      <c r="G410" s="52"/>
      <c r="H410" s="21"/>
      <c r="I410" s="22"/>
    </row>
    <row r="411" spans="8:8" s="16" ht="16.5" customFormat="1">
      <c r="A411" s="52"/>
      <c r="B411" s="42" t="s">
        <v>1517</v>
      </c>
      <c r="C411" s="42" t="s">
        <v>1518</v>
      </c>
      <c r="D411" s="42" t="s">
        <v>1519</v>
      </c>
      <c r="E411" s="42" t="s">
        <v>1520</v>
      </c>
      <c r="F411" s="42" t="s">
        <v>1521</v>
      </c>
      <c r="G411" s="52"/>
      <c r="H411" s="21"/>
      <c r="I411" s="22"/>
    </row>
    <row r="412" spans="8:8" s="16" ht="16.5" customFormat="1">
      <c r="A412" s="52"/>
      <c r="B412" s="42" t="s">
        <v>1522</v>
      </c>
      <c r="C412" s="42" t="s">
        <v>1523</v>
      </c>
      <c r="D412" s="42" t="s">
        <v>1524</v>
      </c>
      <c r="E412" s="42" t="s">
        <v>1525</v>
      </c>
      <c r="F412" s="42" t="s">
        <v>123</v>
      </c>
      <c r="G412" s="52"/>
      <c r="H412" s="21"/>
      <c r="I412" s="22"/>
    </row>
    <row r="413" spans="8:8" s="16" ht="16.5" customFormat="1">
      <c r="A413" s="52"/>
      <c r="B413" s="42" t="s">
        <v>1122</v>
      </c>
      <c r="C413" s="42" t="s">
        <v>1526</v>
      </c>
      <c r="D413" s="42" t="s">
        <v>1527</v>
      </c>
      <c r="E413" s="42" t="s">
        <v>1528</v>
      </c>
      <c r="F413" s="42" t="s">
        <v>1122</v>
      </c>
      <c r="G413" s="52"/>
      <c r="H413" s="21"/>
      <c r="I413" s="22"/>
    </row>
    <row r="414" spans="8:8" s="16" ht="16.5" customFormat="1">
      <c r="A414" s="52"/>
      <c r="B414" s="42" t="s">
        <v>1529</v>
      </c>
      <c r="C414" s="42" t="s">
        <v>1530</v>
      </c>
      <c r="D414" s="42" t="s">
        <v>1531</v>
      </c>
      <c r="E414" s="42" t="s">
        <v>1532</v>
      </c>
      <c r="F414" s="42" t="s">
        <v>123</v>
      </c>
      <c r="G414" s="52"/>
      <c r="H414" s="21"/>
      <c r="I414" s="22"/>
    </row>
    <row r="415" spans="8:8" s="16" ht="33.0" customFormat="1">
      <c r="A415" s="52"/>
      <c r="B415" s="42" t="s">
        <v>1533</v>
      </c>
      <c r="C415" s="42" t="s">
        <v>1534</v>
      </c>
      <c r="D415" s="42" t="s">
        <v>1535</v>
      </c>
      <c r="E415" s="42" t="s">
        <v>1536</v>
      </c>
      <c r="F415" s="42" t="s">
        <v>1224</v>
      </c>
      <c r="G415" s="52"/>
      <c r="H415" s="21"/>
      <c r="I415" s="22"/>
    </row>
    <row r="416" spans="8:8" s="16" ht="16.5" customFormat="1">
      <c r="A416" s="52"/>
      <c r="B416" s="42" t="s">
        <v>1537</v>
      </c>
      <c r="C416" s="42" t="s">
        <v>1538</v>
      </c>
      <c r="D416" s="42" t="s">
        <v>1539</v>
      </c>
      <c r="E416" s="42" t="s">
        <v>1540</v>
      </c>
      <c r="F416" s="42" t="s">
        <v>1224</v>
      </c>
      <c r="G416" s="52"/>
      <c r="H416" s="21"/>
      <c r="I416" s="22"/>
    </row>
    <row r="417" spans="8:8" s="16" ht="16.5" customFormat="1">
      <c r="A417" s="52"/>
      <c r="B417" s="42" t="s">
        <v>1541</v>
      </c>
      <c r="C417" s="42" t="s">
        <v>1542</v>
      </c>
      <c r="D417" s="42" t="s">
        <v>1543</v>
      </c>
      <c r="E417" s="42" t="s">
        <v>1544</v>
      </c>
      <c r="F417" s="42" t="s">
        <v>1224</v>
      </c>
      <c r="G417" s="52"/>
      <c r="H417" s="21"/>
      <c r="I417" s="22"/>
    </row>
    <row r="418" spans="8:8" s="16" ht="16.5" customFormat="1">
      <c r="A418" s="52"/>
      <c r="B418" s="53" t="s">
        <v>906</v>
      </c>
      <c r="C418" s="53" t="s">
        <v>906</v>
      </c>
      <c r="D418" s="54" t="s">
        <v>1545</v>
      </c>
      <c r="E418" s="53" t="s">
        <v>906</v>
      </c>
      <c r="F418" s="53" t="s">
        <v>906</v>
      </c>
      <c r="G418" s="52"/>
      <c r="H418" s="21"/>
      <c r="I418" s="22"/>
    </row>
    <row r="419" spans="8:8" s="16" ht="16.5" customFormat="1">
      <c r="A419" s="52"/>
      <c r="B419" s="42" t="s">
        <v>1546</v>
      </c>
      <c r="C419" s="42" t="s">
        <v>1547</v>
      </c>
      <c r="D419" s="42" t="s">
        <v>1548</v>
      </c>
      <c r="E419" s="42" t="s">
        <v>1549</v>
      </c>
      <c r="F419" s="42" t="s">
        <v>43</v>
      </c>
      <c r="G419" s="52"/>
      <c r="H419" s="21"/>
      <c r="I419" s="22"/>
    </row>
    <row r="420" spans="8:8" s="16" ht="16.5" customFormat="1">
      <c r="A420" s="52"/>
      <c r="B420" s="42" t="s">
        <v>1550</v>
      </c>
      <c r="C420" s="42" t="s">
        <v>1551</v>
      </c>
      <c r="D420" s="42" t="s">
        <v>1552</v>
      </c>
      <c r="E420" s="42" t="s">
        <v>1553</v>
      </c>
      <c r="F420" s="42" t="s">
        <v>43</v>
      </c>
      <c r="G420" s="52"/>
      <c r="H420" s="21"/>
      <c r="I420" s="22"/>
    </row>
    <row r="421" spans="8:8" s="16" ht="16.5" customFormat="1">
      <c r="A421" s="52"/>
      <c r="B421" s="42" t="s">
        <v>1554</v>
      </c>
      <c r="C421" s="42" t="s">
        <v>1555</v>
      </c>
      <c r="D421" s="42" t="s">
        <v>1556</v>
      </c>
      <c r="E421" s="42" t="s">
        <v>1557</v>
      </c>
      <c r="F421" s="42" t="s">
        <v>851</v>
      </c>
      <c r="G421" s="52"/>
      <c r="H421" s="21"/>
      <c r="I421" s="22"/>
    </row>
    <row r="422" spans="8:8" s="16" ht="16.5" customFormat="1">
      <c r="A422" s="52"/>
      <c r="B422" s="42" t="s">
        <v>1558</v>
      </c>
      <c r="C422" s="42" t="s">
        <v>1559</v>
      </c>
      <c r="D422" s="42" t="s">
        <v>1560</v>
      </c>
      <c r="E422" s="42" t="s">
        <v>1561</v>
      </c>
      <c r="F422" s="42" t="s">
        <v>123</v>
      </c>
      <c r="G422" s="52"/>
      <c r="H422" s="21"/>
      <c r="I422" s="22"/>
    </row>
    <row r="423" spans="8:8" s="16" ht="16.5" customFormat="1">
      <c r="A423" s="52"/>
      <c r="B423" s="42" t="s">
        <v>1562</v>
      </c>
      <c r="C423" s="42" t="s">
        <v>1563</v>
      </c>
      <c r="D423" s="42" t="s">
        <v>1564</v>
      </c>
      <c r="E423" s="42" t="s">
        <v>1565</v>
      </c>
      <c r="F423" s="42" t="s">
        <v>123</v>
      </c>
      <c r="G423" s="52"/>
      <c r="H423" s="21"/>
      <c r="I423" s="22"/>
    </row>
    <row r="424" spans="8:8" s="16" ht="16.5" customFormat="1">
      <c r="A424" s="52"/>
      <c r="B424" s="42" t="s">
        <v>1566</v>
      </c>
      <c r="C424" s="42" t="s">
        <v>1567</v>
      </c>
      <c r="D424" s="42" t="s">
        <v>1568</v>
      </c>
      <c r="E424" s="42" t="s">
        <v>1569</v>
      </c>
      <c r="F424" s="42" t="s">
        <v>851</v>
      </c>
      <c r="G424" s="52"/>
      <c r="H424" s="21"/>
      <c r="I424" s="22"/>
    </row>
    <row r="425" spans="8:8" s="16" ht="16.5" customFormat="1">
      <c r="A425" s="52"/>
      <c r="B425" s="42" t="s">
        <v>1570</v>
      </c>
      <c r="C425" s="42" t="s">
        <v>1571</v>
      </c>
      <c r="D425" s="42" t="s">
        <v>1572</v>
      </c>
      <c r="E425" s="42" t="s">
        <v>1573</v>
      </c>
      <c r="F425" s="42" t="s">
        <v>123</v>
      </c>
      <c r="G425" s="52"/>
      <c r="H425" s="21"/>
      <c r="I425" s="22"/>
    </row>
    <row r="426" spans="8:8" s="16" ht="16.5" customFormat="1">
      <c r="A426" s="52"/>
      <c r="B426" s="42" t="s">
        <v>1574</v>
      </c>
      <c r="C426" s="42" t="s">
        <v>1575</v>
      </c>
      <c r="D426" s="42" t="s">
        <v>1576</v>
      </c>
      <c r="E426" s="42" t="s">
        <v>1577</v>
      </c>
      <c r="F426" s="42" t="s">
        <v>123</v>
      </c>
      <c r="G426" s="52"/>
      <c r="H426" s="21"/>
      <c r="I426" s="22"/>
    </row>
    <row r="427" spans="8:8" s="16" ht="16.5" customFormat="1">
      <c r="A427" s="52"/>
      <c r="B427" s="42" t="s">
        <v>1578</v>
      </c>
      <c r="C427" s="42" t="s">
        <v>1579</v>
      </c>
      <c r="D427" s="42" t="s">
        <v>1580</v>
      </c>
      <c r="E427" s="42" t="s">
        <v>1581</v>
      </c>
      <c r="F427" s="42" t="s">
        <v>43</v>
      </c>
      <c r="G427" s="52"/>
      <c r="H427" s="21"/>
      <c r="I427" s="22"/>
    </row>
    <row r="428" spans="8:8" s="16" ht="16.5" customFormat="1">
      <c r="A428" s="52"/>
      <c r="B428" s="42" t="s">
        <v>1582</v>
      </c>
      <c r="C428" s="42" t="s">
        <v>1583</v>
      </c>
      <c r="D428" s="42" t="s">
        <v>1584</v>
      </c>
      <c r="E428" s="42" t="s">
        <v>1585</v>
      </c>
      <c r="F428" s="42" t="s">
        <v>851</v>
      </c>
      <c r="G428" s="52"/>
      <c r="H428" s="21"/>
      <c r="I428" s="22"/>
    </row>
    <row r="429" spans="8:8" s="16" ht="16.5" customFormat="1">
      <c r="A429" s="52"/>
      <c r="B429" s="42" t="s">
        <v>1586</v>
      </c>
      <c r="C429" s="42" t="s">
        <v>1587</v>
      </c>
      <c r="D429" s="42" t="s">
        <v>1588</v>
      </c>
      <c r="E429" s="42" t="s">
        <v>1589</v>
      </c>
      <c r="F429" s="42" t="s">
        <v>851</v>
      </c>
      <c r="G429" s="52"/>
      <c r="H429" s="21"/>
      <c r="I429" s="22"/>
    </row>
    <row r="430" spans="8:8" s="16" ht="34.9" customFormat="1" customHeight="1">
      <c r="A430" s="52"/>
      <c r="B430" s="42" t="s">
        <v>1590</v>
      </c>
      <c r="C430" s="42" t="s">
        <v>1591</v>
      </c>
      <c r="D430" s="42" t="s">
        <v>1592</v>
      </c>
      <c r="E430" s="42" t="s">
        <v>1593</v>
      </c>
      <c r="F430" s="42" t="s">
        <v>851</v>
      </c>
      <c r="G430" s="52"/>
      <c r="H430" s="21"/>
      <c r="I430" s="22"/>
    </row>
    <row r="431" spans="8:8" s="16" ht="16.5" customFormat="1">
      <c r="A431" s="52"/>
      <c r="B431" s="42" t="s">
        <v>1594</v>
      </c>
      <c r="C431" s="42" t="s">
        <v>1595</v>
      </c>
      <c r="D431" s="42" t="s">
        <v>1596</v>
      </c>
      <c r="E431" s="42" t="s">
        <v>1597</v>
      </c>
      <c r="F431" s="42" t="s">
        <v>851</v>
      </c>
      <c r="G431" s="52"/>
      <c r="H431" s="21"/>
      <c r="I431" s="22"/>
    </row>
    <row r="432" spans="8:8" s="16" ht="16.5" customFormat="1">
      <c r="A432" s="52"/>
      <c r="B432" s="42" t="s">
        <v>1598</v>
      </c>
      <c r="C432" s="42" t="s">
        <v>1599</v>
      </c>
      <c r="D432" s="42" t="s">
        <v>1599</v>
      </c>
      <c r="E432" s="42" t="s">
        <v>1600</v>
      </c>
      <c r="F432" s="42" t="s">
        <v>123</v>
      </c>
      <c r="G432" s="52"/>
      <c r="H432" s="21"/>
      <c r="I432" s="22"/>
    </row>
    <row r="433" spans="8:8" s="16" ht="16.5" customFormat="1">
      <c r="A433" s="52"/>
      <c r="B433" s="42" t="s">
        <v>1601</v>
      </c>
      <c r="C433" s="42" t="s">
        <v>1602</v>
      </c>
      <c r="D433" s="42" t="s">
        <v>1603</v>
      </c>
      <c r="E433" s="42" t="s">
        <v>1604</v>
      </c>
      <c r="F433" s="42" t="s">
        <v>43</v>
      </c>
      <c r="G433" s="52"/>
      <c r="H433" s="21"/>
      <c r="I433" s="22"/>
    </row>
    <row r="434" spans="8:8" s="16" ht="16.5" customFormat="1">
      <c r="A434" s="52"/>
      <c r="B434" s="42" t="s">
        <v>1605</v>
      </c>
      <c r="C434" s="42" t="s">
        <v>1606</v>
      </c>
      <c r="D434" s="42" t="s">
        <v>1607</v>
      </c>
      <c r="E434" s="42" t="s">
        <v>1608</v>
      </c>
      <c r="F434" s="42" t="s">
        <v>1609</v>
      </c>
      <c r="G434" s="52"/>
      <c r="H434" s="21"/>
      <c r="I434" s="22"/>
    </row>
    <row r="435" spans="8:8" s="16" ht="16.5" customFormat="1">
      <c r="A435" s="52"/>
      <c r="B435" s="42" t="s">
        <v>1610</v>
      </c>
      <c r="C435" s="42" t="s">
        <v>1611</v>
      </c>
      <c r="D435" s="42" t="s">
        <v>1612</v>
      </c>
      <c r="E435" s="42" t="s">
        <v>1613</v>
      </c>
      <c r="F435" s="42" t="s">
        <v>851</v>
      </c>
      <c r="G435" s="52"/>
      <c r="H435" s="21"/>
      <c r="I435" s="22"/>
    </row>
    <row r="436" spans="8:8" s="16" ht="16.5" customFormat="1">
      <c r="A436" s="52"/>
      <c r="B436" s="42" t="s">
        <v>1614</v>
      </c>
      <c r="C436" s="42" t="s">
        <v>1615</v>
      </c>
      <c r="D436" s="42" t="s">
        <v>1616</v>
      </c>
      <c r="E436" s="42" t="s">
        <v>1617</v>
      </c>
      <c r="F436" s="42" t="s">
        <v>851</v>
      </c>
      <c r="G436" s="52"/>
      <c r="H436" s="21"/>
      <c r="I436" s="22"/>
    </row>
    <row r="437" spans="8:8" s="16" ht="16.5" customFormat="1">
      <c r="A437" s="52"/>
      <c r="B437" s="42" t="s">
        <v>1618</v>
      </c>
      <c r="C437" s="42" t="s">
        <v>1619</v>
      </c>
      <c r="D437" s="42" t="s">
        <v>1620</v>
      </c>
      <c r="E437" s="42" t="s">
        <v>1621</v>
      </c>
      <c r="F437" s="42" t="s">
        <v>851</v>
      </c>
      <c r="G437" s="52"/>
      <c r="H437" s="21"/>
      <c r="I437" s="22"/>
    </row>
    <row r="438" spans="8:8" s="16" ht="16.5" customFormat="1">
      <c r="A438" s="52"/>
      <c r="B438" s="42" t="s">
        <v>1622</v>
      </c>
      <c r="C438" s="42" t="s">
        <v>1623</v>
      </c>
      <c r="D438" s="42" t="s">
        <v>1624</v>
      </c>
      <c r="E438" s="42" t="s">
        <v>1625</v>
      </c>
      <c r="F438" s="42" t="s">
        <v>851</v>
      </c>
      <c r="G438" s="52"/>
      <c r="H438" s="21"/>
      <c r="I438" s="22"/>
    </row>
    <row r="439" spans="8:8" s="16" ht="16.5" customFormat="1">
      <c r="A439" s="52"/>
      <c r="B439" s="42" t="s">
        <v>1626</v>
      </c>
      <c r="C439" s="42" t="s">
        <v>1627</v>
      </c>
      <c r="D439" s="42" t="s">
        <v>1628</v>
      </c>
      <c r="E439" s="42" t="s">
        <v>1629</v>
      </c>
      <c r="F439" s="42" t="s">
        <v>988</v>
      </c>
      <c r="G439" s="52"/>
      <c r="H439" s="21"/>
      <c r="I439" s="22"/>
    </row>
    <row r="440" spans="8:8" s="16" ht="16.5" customFormat="1">
      <c r="A440" s="52"/>
      <c r="B440" s="42" t="s">
        <v>1630</v>
      </c>
      <c r="C440" s="42" t="s">
        <v>1631</v>
      </c>
      <c r="D440" s="42" t="s">
        <v>1632</v>
      </c>
      <c r="E440" s="42" t="s">
        <v>1633</v>
      </c>
      <c r="F440" s="42" t="s">
        <v>1634</v>
      </c>
      <c r="G440" s="52"/>
      <c r="H440" s="21"/>
      <c r="I440" s="22"/>
    </row>
    <row r="441" spans="8:8" s="16" ht="16.5" customFormat="1">
      <c r="A441" s="52"/>
      <c r="B441" s="42" t="s">
        <v>1635</v>
      </c>
      <c r="C441" s="42" t="s">
        <v>1636</v>
      </c>
      <c r="D441" s="42" t="s">
        <v>1637</v>
      </c>
      <c r="E441" s="42" t="s">
        <v>1638</v>
      </c>
      <c r="F441" s="42" t="s">
        <v>1634</v>
      </c>
      <c r="G441" s="52"/>
      <c r="H441" s="21"/>
      <c r="I441" s="22"/>
    </row>
    <row r="442" spans="8:8" s="16" ht="16.5" customFormat="1">
      <c r="A442" s="52"/>
      <c r="B442" s="53" t="s">
        <v>906</v>
      </c>
      <c r="C442" s="53" t="s">
        <v>906</v>
      </c>
      <c r="D442" s="54" t="s">
        <v>1639</v>
      </c>
      <c r="E442" s="53" t="s">
        <v>906</v>
      </c>
      <c r="F442" s="53" t="s">
        <v>906</v>
      </c>
      <c r="G442" s="52"/>
      <c r="H442" s="21"/>
      <c r="I442" s="22"/>
    </row>
    <row r="443" spans="8:8" s="16" ht="16.5" customFormat="1">
      <c r="A443" s="52"/>
      <c r="B443" s="42" t="s">
        <v>1640</v>
      </c>
      <c r="C443" s="42" t="s">
        <v>1641</v>
      </c>
      <c r="D443" s="42" t="s">
        <v>1642</v>
      </c>
      <c r="E443" s="42" t="s">
        <v>1643</v>
      </c>
      <c r="F443" s="42" t="s">
        <v>123</v>
      </c>
      <c r="G443" s="52"/>
      <c r="H443" s="21"/>
      <c r="I443" s="22"/>
    </row>
    <row r="444" spans="8:8" s="16" ht="16.5" customFormat="1">
      <c r="A444" s="52"/>
      <c r="B444" s="42" t="s">
        <v>1644</v>
      </c>
      <c r="C444" s="42" t="s">
        <v>1645</v>
      </c>
      <c r="D444" s="42" t="s">
        <v>1646</v>
      </c>
      <c r="E444" s="42" t="s">
        <v>1647</v>
      </c>
      <c r="F444" s="42" t="s">
        <v>851</v>
      </c>
      <c r="G444" s="52"/>
      <c r="H444" s="21"/>
      <c r="I444" s="22"/>
    </row>
    <row r="445" spans="8:8" s="16" ht="17.9" customFormat="1" customHeight="1">
      <c r="A445" s="52"/>
      <c r="B445" s="42" t="s">
        <v>1648</v>
      </c>
      <c r="C445" s="42" t="s">
        <v>10124</v>
      </c>
      <c r="D445" s="42" t="s">
        <v>10125</v>
      </c>
      <c r="E445" s="42" t="s">
        <v>1651</v>
      </c>
      <c r="F445" s="42" t="s">
        <v>123</v>
      </c>
      <c r="G445" s="52"/>
      <c r="H445" s="21"/>
      <c r="I445" s="22"/>
    </row>
    <row r="446" spans="8:8" s="16" ht="16.5" customFormat="1">
      <c r="A446" s="52"/>
      <c r="B446" s="42" t="s">
        <v>1652</v>
      </c>
      <c r="C446" s="42" t="s">
        <v>1653</v>
      </c>
      <c r="D446" s="42" t="s">
        <v>1654</v>
      </c>
      <c r="E446" s="42" t="s">
        <v>1655</v>
      </c>
      <c r="F446" s="42" t="s">
        <v>851</v>
      </c>
      <c r="G446" s="52"/>
      <c r="H446" s="21"/>
      <c r="I446" s="22"/>
    </row>
    <row r="447" spans="8:8" s="16" ht="16.5" customFormat="1">
      <c r="A447" s="52"/>
      <c r="B447" s="42" t="s">
        <v>1656</v>
      </c>
      <c r="C447" s="42" t="s">
        <v>1657</v>
      </c>
      <c r="D447" s="42" t="s">
        <v>1658</v>
      </c>
      <c r="E447" s="42" t="s">
        <v>1659</v>
      </c>
      <c r="F447" s="42" t="s">
        <v>851</v>
      </c>
      <c r="G447" s="52"/>
      <c r="H447" s="21"/>
      <c r="I447" s="22"/>
    </row>
    <row r="448" spans="8:8" s="16" ht="16.5" customFormat="1">
      <c r="A448" s="52"/>
      <c r="B448" s="42" t="s">
        <v>1660</v>
      </c>
      <c r="C448" s="42" t="s">
        <v>1661</v>
      </c>
      <c r="D448" s="42" t="s">
        <v>1662</v>
      </c>
      <c r="E448" s="42" t="s">
        <v>1663</v>
      </c>
      <c r="F448" s="42" t="s">
        <v>851</v>
      </c>
      <c r="G448" s="52"/>
      <c r="H448" s="21"/>
      <c r="I448" s="22"/>
    </row>
    <row r="449" spans="8:8" s="16" ht="16.5" customFormat="1">
      <c r="A449" s="52"/>
      <c r="B449" s="42" t="s">
        <v>1664</v>
      </c>
      <c r="C449" s="42" t="s">
        <v>1665</v>
      </c>
      <c r="D449" s="42" t="s">
        <v>1666</v>
      </c>
      <c r="E449" s="42" t="s">
        <v>1667</v>
      </c>
      <c r="F449" s="42" t="s">
        <v>851</v>
      </c>
      <c r="G449" s="52"/>
      <c r="H449" s="21"/>
      <c r="I449" s="22"/>
    </row>
    <row r="450" spans="8:8" s="16" ht="16.5" customFormat="1">
      <c r="A450" s="52"/>
      <c r="B450" s="42" t="s">
        <v>1668</v>
      </c>
      <c r="C450" s="42" t="s">
        <v>1669</v>
      </c>
      <c r="D450" s="42" t="s">
        <v>1670</v>
      </c>
      <c r="E450" s="42" t="s">
        <v>1671</v>
      </c>
      <c r="F450" s="42" t="s">
        <v>123</v>
      </c>
      <c r="G450" s="52"/>
      <c r="H450" s="21"/>
      <c r="I450" s="22"/>
    </row>
    <row r="451" spans="8:8" s="16" ht="16.5" customFormat="1">
      <c r="A451" s="52"/>
      <c r="B451" s="42" t="s">
        <v>1672</v>
      </c>
      <c r="C451" s="42" t="s">
        <v>1673</v>
      </c>
      <c r="D451" s="42" t="s">
        <v>1674</v>
      </c>
      <c r="E451" s="42" t="s">
        <v>1675</v>
      </c>
      <c r="F451" s="42" t="s">
        <v>851</v>
      </c>
      <c r="G451" s="52"/>
      <c r="H451" s="21"/>
      <c r="I451" s="22"/>
    </row>
    <row r="452" spans="8:8" s="16" ht="16.5" customFormat="1">
      <c r="A452" s="52"/>
      <c r="B452" s="42" t="s">
        <v>1676</v>
      </c>
      <c r="C452" s="42" t="s">
        <v>1677</v>
      </c>
      <c r="D452" s="42" t="s">
        <v>1678</v>
      </c>
      <c r="E452" s="42" t="s">
        <v>1679</v>
      </c>
      <c r="F452" s="42" t="s">
        <v>851</v>
      </c>
      <c r="G452" s="52"/>
      <c r="H452" s="21"/>
      <c r="I452" s="22"/>
    </row>
    <row r="453" spans="8:8" s="16" ht="16.5" customFormat="1">
      <c r="A453" s="52"/>
      <c r="B453" s="42" t="s">
        <v>1680</v>
      </c>
      <c r="C453" s="42" t="s">
        <v>1681</v>
      </c>
      <c r="D453" s="42" t="s">
        <v>1682</v>
      </c>
      <c r="E453" s="42" t="s">
        <v>1683</v>
      </c>
      <c r="F453" s="42" t="s">
        <v>851</v>
      </c>
      <c r="G453" s="52"/>
      <c r="H453" s="21"/>
      <c r="I453" s="22"/>
    </row>
    <row r="454" spans="8:8" s="16" ht="16.5" customFormat="1">
      <c r="A454" s="52"/>
      <c r="B454" s="42" t="s">
        <v>1684</v>
      </c>
      <c r="C454" s="42" t="s">
        <v>1685</v>
      </c>
      <c r="D454" s="42" t="s">
        <v>1686</v>
      </c>
      <c r="E454" s="42" t="s">
        <v>1687</v>
      </c>
      <c r="F454" s="42" t="s">
        <v>123</v>
      </c>
      <c r="G454" s="52"/>
      <c r="H454" s="21"/>
      <c r="I454" s="22"/>
    </row>
    <row r="455" spans="8:8" s="16" ht="16.5" customFormat="1">
      <c r="A455" s="52"/>
      <c r="B455" s="42" t="s">
        <v>1688</v>
      </c>
      <c r="C455" s="42" t="s">
        <v>1689</v>
      </c>
      <c r="D455" s="42" t="s">
        <v>1690</v>
      </c>
      <c r="E455" s="42" t="s">
        <v>1691</v>
      </c>
      <c r="F455" s="42" t="s">
        <v>123</v>
      </c>
      <c r="G455" s="52"/>
      <c r="H455" s="21"/>
      <c r="I455" s="22"/>
    </row>
    <row r="456" spans="8:8" s="16" ht="16.5" customFormat="1">
      <c r="A456" s="52"/>
      <c r="B456" s="42" t="s">
        <v>1692</v>
      </c>
      <c r="C456" s="42" t="s">
        <v>1693</v>
      </c>
      <c r="D456" s="42" t="s">
        <v>1694</v>
      </c>
      <c r="E456" s="42" t="s">
        <v>1695</v>
      </c>
      <c r="F456" s="42" t="s">
        <v>123</v>
      </c>
      <c r="G456" s="52"/>
      <c r="H456" s="21"/>
      <c r="I456" s="22"/>
    </row>
    <row r="457" spans="8:8" s="16" ht="16.5" customFormat="1">
      <c r="A457" s="52"/>
      <c r="B457" s="42" t="s">
        <v>1696</v>
      </c>
      <c r="C457" s="42" t="s">
        <v>1697</v>
      </c>
      <c r="D457" s="42" t="s">
        <v>1698</v>
      </c>
      <c r="E457" s="42" t="s">
        <v>1699</v>
      </c>
      <c r="F457" s="42" t="s">
        <v>123</v>
      </c>
      <c r="G457" s="52"/>
      <c r="H457" s="21"/>
      <c r="I457" s="22"/>
    </row>
    <row r="458" spans="8:8" s="16" ht="16.5" customFormat="1">
      <c r="A458" s="52"/>
      <c r="B458" s="42" t="s">
        <v>1700</v>
      </c>
      <c r="C458" s="42" t="s">
        <v>1701</v>
      </c>
      <c r="D458" s="42" t="s">
        <v>1702</v>
      </c>
      <c r="E458" s="42" t="s">
        <v>1703</v>
      </c>
      <c r="F458" s="42" t="s">
        <v>123</v>
      </c>
      <c r="G458" s="52"/>
      <c r="H458" s="21"/>
      <c r="I458" s="22"/>
    </row>
    <row r="459" spans="8:8" s="16" ht="16.5" customFormat="1">
      <c r="A459" s="52"/>
      <c r="B459" s="42" t="s">
        <v>1704</v>
      </c>
      <c r="C459" s="42" t="s">
        <v>1705</v>
      </c>
      <c r="D459" s="42" t="s">
        <v>1706</v>
      </c>
      <c r="E459" s="42" t="s">
        <v>1707</v>
      </c>
      <c r="F459" s="42" t="s">
        <v>851</v>
      </c>
      <c r="G459" s="52"/>
      <c r="H459" s="21"/>
      <c r="I459" s="22"/>
    </row>
    <row r="460" spans="8:8" s="16" ht="16.5" customFormat="1">
      <c r="A460" s="52"/>
      <c r="B460" s="42" t="s">
        <v>1708</v>
      </c>
      <c r="C460" s="42" t="s">
        <v>1709</v>
      </c>
      <c r="D460" s="42" t="s">
        <v>1710</v>
      </c>
      <c r="E460" s="42" t="s">
        <v>1711</v>
      </c>
      <c r="F460" s="42" t="s">
        <v>851</v>
      </c>
      <c r="G460" s="52"/>
      <c r="H460" s="21"/>
      <c r="I460" s="22"/>
    </row>
    <row r="461" spans="8:8" s="16" ht="16.5" customFormat="1">
      <c r="A461" s="52"/>
      <c r="B461" s="42" t="s">
        <v>1712</v>
      </c>
      <c r="C461" s="42" t="s">
        <v>1713</v>
      </c>
      <c r="D461" s="42" t="s">
        <v>1714</v>
      </c>
      <c r="E461" s="42" t="s">
        <v>1715</v>
      </c>
      <c r="F461" s="42" t="s">
        <v>851</v>
      </c>
      <c r="G461" s="52"/>
      <c r="H461" s="21"/>
      <c r="I461" s="22"/>
    </row>
    <row r="462" spans="8:8" s="16" ht="16.5" customFormat="1">
      <c r="A462" s="52"/>
      <c r="B462" s="42" t="s">
        <v>1716</v>
      </c>
      <c r="C462" s="42" t="s">
        <v>1717</v>
      </c>
      <c r="D462" s="42" t="s">
        <v>1718</v>
      </c>
      <c r="E462" s="42" t="s">
        <v>1719</v>
      </c>
      <c r="F462" s="42" t="s">
        <v>851</v>
      </c>
      <c r="G462" s="52"/>
      <c r="H462" s="21"/>
      <c r="I462" s="22"/>
    </row>
    <row r="463" spans="8:8" s="16" ht="16.5" customFormat="1">
      <c r="A463" s="52"/>
      <c r="B463" s="42" t="s">
        <v>1720</v>
      </c>
      <c r="C463" s="42" t="s">
        <v>1721</v>
      </c>
      <c r="D463" s="42" t="s">
        <v>1722</v>
      </c>
      <c r="E463" s="42" t="s">
        <v>1723</v>
      </c>
      <c r="F463" s="42" t="s">
        <v>851</v>
      </c>
      <c r="G463" s="52"/>
      <c r="H463" s="21"/>
      <c r="I463" s="22"/>
    </row>
    <row r="464" spans="8:8" s="16" ht="16.5" customFormat="1">
      <c r="A464" s="52"/>
      <c r="B464" s="42" t="s">
        <v>1724</v>
      </c>
      <c r="C464" s="42" t="s">
        <v>1725</v>
      </c>
      <c r="D464" s="42" t="s">
        <v>1726</v>
      </c>
      <c r="E464" s="42" t="s">
        <v>1727</v>
      </c>
      <c r="F464" s="42" t="s">
        <v>851</v>
      </c>
      <c r="G464" s="52"/>
      <c r="H464" s="21"/>
      <c r="I464" s="22"/>
    </row>
    <row r="465" spans="8:8" s="16" ht="16.5" customFormat="1">
      <c r="A465" s="52"/>
      <c r="B465" s="42" t="s">
        <v>1248</v>
      </c>
      <c r="C465" s="42" t="s">
        <v>1728</v>
      </c>
      <c r="D465" s="42" t="s">
        <v>1729</v>
      </c>
      <c r="E465" s="42" t="s">
        <v>1730</v>
      </c>
      <c r="F465" s="42" t="s">
        <v>851</v>
      </c>
      <c r="G465" s="52"/>
      <c r="H465" s="21"/>
      <c r="I465" s="22"/>
    </row>
    <row r="466" spans="8:8" s="16" ht="22.85" customFormat="1" customHeight="1">
      <c r="A466" s="52"/>
      <c r="B466" s="42" t="s">
        <v>1731</v>
      </c>
      <c r="C466" s="42" t="s">
        <v>1732</v>
      </c>
      <c r="D466" s="42" t="s">
        <v>1733</v>
      </c>
      <c r="E466" s="42" t="s">
        <v>1734</v>
      </c>
      <c r="F466" s="42" t="s">
        <v>851</v>
      </c>
      <c r="G466" s="52"/>
      <c r="H466" s="21"/>
      <c r="I466" s="22"/>
    </row>
    <row r="467" spans="8:8" s="16" ht="16.5" customFormat="1">
      <c r="A467" s="52"/>
      <c r="B467" s="42" t="s">
        <v>1735</v>
      </c>
      <c r="C467" s="42" t="s">
        <v>1736</v>
      </c>
      <c r="D467" s="42" t="s">
        <v>1737</v>
      </c>
      <c r="E467" s="42" t="s">
        <v>1738</v>
      </c>
      <c r="F467" s="42" t="s">
        <v>851</v>
      </c>
      <c r="G467" s="52"/>
      <c r="H467" s="21"/>
      <c r="I467" s="22"/>
    </row>
    <row r="468" spans="8:8" s="16" ht="16.5" customFormat="1">
      <c r="A468" s="52"/>
      <c r="B468" s="42" t="s">
        <v>1739</v>
      </c>
      <c r="C468" s="42" t="s">
        <v>1740</v>
      </c>
      <c r="D468" s="42" t="s">
        <v>1741</v>
      </c>
      <c r="E468" s="42" t="s">
        <v>1742</v>
      </c>
      <c r="F468" s="42" t="s">
        <v>851</v>
      </c>
      <c r="G468" s="52"/>
      <c r="H468" s="21"/>
      <c r="I468" s="22"/>
    </row>
    <row r="469" spans="8:8" s="16" ht="16.5" customFormat="1">
      <c r="A469" s="52"/>
      <c r="B469" s="42" t="s">
        <v>1743</v>
      </c>
      <c r="C469" s="42" t="s">
        <v>1744</v>
      </c>
      <c r="D469" s="42" t="s">
        <v>1745</v>
      </c>
      <c r="E469" s="42" t="s">
        <v>1746</v>
      </c>
      <c r="F469" s="42" t="s">
        <v>851</v>
      </c>
      <c r="G469" s="52"/>
      <c r="H469" s="21"/>
      <c r="I469" s="22"/>
    </row>
    <row r="470" spans="8:8" s="16" ht="16.5" customFormat="1">
      <c r="A470" s="52"/>
      <c r="B470" s="42" t="s">
        <v>1747</v>
      </c>
      <c r="C470" s="42" t="s">
        <v>1748</v>
      </c>
      <c r="D470" s="42" t="s">
        <v>1749</v>
      </c>
      <c r="E470" s="42" t="s">
        <v>1750</v>
      </c>
      <c r="F470" s="42" t="s">
        <v>851</v>
      </c>
      <c r="G470" s="52"/>
      <c r="H470" s="21"/>
      <c r="I470" s="22"/>
    </row>
    <row r="471" spans="8:8" s="16" ht="16.5" customFormat="1">
      <c r="A471" s="52"/>
      <c r="B471" s="42" t="s">
        <v>1751</v>
      </c>
      <c r="C471" s="42" t="s">
        <v>1752</v>
      </c>
      <c r="D471" s="42" t="s">
        <v>1753</v>
      </c>
      <c r="E471" s="42" t="s">
        <v>1754</v>
      </c>
      <c r="F471" s="42" t="s">
        <v>123</v>
      </c>
      <c r="G471" s="52"/>
      <c r="H471" s="21"/>
      <c r="I471" s="22"/>
    </row>
    <row r="472" spans="8:8" s="16" ht="16.5" customFormat="1">
      <c r="A472" s="52"/>
      <c r="B472" s="42" t="s">
        <v>1755</v>
      </c>
      <c r="C472" s="42" t="s">
        <v>1756</v>
      </c>
      <c r="D472" s="42" t="s">
        <v>1757</v>
      </c>
      <c r="E472" s="42" t="s">
        <v>1758</v>
      </c>
      <c r="F472" s="42" t="s">
        <v>851</v>
      </c>
      <c r="G472" s="52"/>
      <c r="H472" s="21"/>
      <c r="I472" s="22"/>
    </row>
    <row r="473" spans="8:8" s="16" ht="16.5" customFormat="1">
      <c r="A473" s="52"/>
      <c r="B473" s="42" t="s">
        <v>1759</v>
      </c>
      <c r="C473" s="42" t="s">
        <v>1760</v>
      </c>
      <c r="D473" s="42" t="s">
        <v>1761</v>
      </c>
      <c r="E473" s="42" t="s">
        <v>1762</v>
      </c>
      <c r="F473" s="42" t="s">
        <v>851</v>
      </c>
      <c r="G473" s="52"/>
      <c r="H473" s="21"/>
      <c r="I473" s="22"/>
    </row>
    <row r="474" spans="8:8" s="16" ht="16.5" customFormat="1">
      <c r="A474" s="52"/>
      <c r="B474" s="42" t="s">
        <v>1763</v>
      </c>
      <c r="C474" s="42" t="s">
        <v>1764</v>
      </c>
      <c r="D474" s="42" t="s">
        <v>1765</v>
      </c>
      <c r="E474" s="42" t="s">
        <v>1766</v>
      </c>
      <c r="F474" s="42" t="s">
        <v>851</v>
      </c>
      <c r="G474" s="52"/>
      <c r="H474" s="21"/>
      <c r="I474" s="22"/>
    </row>
    <row r="475" spans="8:8" s="16" ht="16.5" customFormat="1">
      <c r="A475" s="52"/>
      <c r="B475" s="42" t="s">
        <v>1767</v>
      </c>
      <c r="C475" s="42" t="s">
        <v>1768</v>
      </c>
      <c r="D475" s="42" t="s">
        <v>1769</v>
      </c>
      <c r="E475" s="42" t="s">
        <v>1770</v>
      </c>
      <c r="F475" s="42" t="s">
        <v>123</v>
      </c>
      <c r="G475" s="52"/>
      <c r="H475" s="21"/>
      <c r="I475" s="22"/>
    </row>
    <row r="476" spans="8:8" s="16" ht="17.15" customFormat="1" customHeight="1">
      <c r="A476" s="52"/>
      <c r="B476" s="42" t="s">
        <v>1771</v>
      </c>
      <c r="C476" s="42" t="s">
        <v>1772</v>
      </c>
      <c r="D476" s="42" t="s">
        <v>1773</v>
      </c>
      <c r="E476" s="42" t="s">
        <v>1774</v>
      </c>
      <c r="F476" s="42" t="s">
        <v>851</v>
      </c>
      <c r="G476" s="52"/>
      <c r="H476" s="21"/>
      <c r="I476" s="22"/>
    </row>
    <row r="477" spans="8:8" s="16" ht="16.15" customFormat="1">
      <c r="A477" s="52"/>
      <c r="B477" s="42" t="s">
        <v>1776</v>
      </c>
      <c r="C477" s="42" t="s">
        <v>1777</v>
      </c>
      <c r="D477" s="42" t="s">
        <v>1778</v>
      </c>
      <c r="E477" s="42" t="s">
        <v>1779</v>
      </c>
      <c r="F477" s="42" t="s">
        <v>851</v>
      </c>
      <c r="G477" s="52"/>
      <c r="H477" s="21"/>
      <c r="I477" s="22"/>
    </row>
    <row r="478" spans="8:8" s="16" ht="16.5" customFormat="1">
      <c r="A478" s="52"/>
      <c r="B478" s="42" t="s">
        <v>1780</v>
      </c>
      <c r="C478" s="42" t="s">
        <v>1781</v>
      </c>
      <c r="D478" s="42" t="s">
        <v>1782</v>
      </c>
      <c r="E478" s="42" t="s">
        <v>1783</v>
      </c>
      <c r="F478" s="42" t="s">
        <v>851</v>
      </c>
      <c r="G478" s="52"/>
      <c r="H478" s="21"/>
      <c r="I478" s="22"/>
    </row>
    <row r="479" spans="8:8" s="16" ht="16.5" customFormat="1">
      <c r="A479" s="52"/>
      <c r="B479" s="42" t="s">
        <v>1784</v>
      </c>
      <c r="C479" s="42" t="s">
        <v>1785</v>
      </c>
      <c r="D479" s="42" t="s">
        <v>1786</v>
      </c>
      <c r="E479" s="42" t="s">
        <v>1787</v>
      </c>
      <c r="F479" s="42" t="s">
        <v>1788</v>
      </c>
      <c r="G479" s="52"/>
      <c r="H479" s="21"/>
      <c r="I479" s="22"/>
    </row>
    <row r="480" spans="8:8" s="16" ht="16.5" customFormat="1">
      <c r="A480" s="52"/>
      <c r="B480" s="53" t="s">
        <v>906</v>
      </c>
      <c r="C480" s="53" t="s">
        <v>906</v>
      </c>
      <c r="D480" s="54" t="s">
        <v>1404</v>
      </c>
      <c r="E480" s="53" t="s">
        <v>906</v>
      </c>
      <c r="F480" s="53" t="s">
        <v>906</v>
      </c>
      <c r="G480" s="52"/>
      <c r="H480" s="21"/>
      <c r="I480" s="22"/>
    </row>
    <row r="481" spans="8:8" s="16" ht="16.5" customFormat="1">
      <c r="A481" s="52"/>
      <c r="B481" s="42" t="s">
        <v>1444</v>
      </c>
      <c r="C481" s="42" t="s">
        <v>1789</v>
      </c>
      <c r="D481" s="42" t="s">
        <v>1790</v>
      </c>
      <c r="E481" s="42" t="s">
        <v>1791</v>
      </c>
      <c r="F481" s="42" t="s">
        <v>1444</v>
      </c>
      <c r="G481" s="52"/>
      <c r="H481" s="21"/>
      <c r="I481" s="22"/>
    </row>
    <row r="482" spans="8:8" s="16" ht="16.5" customFormat="1">
      <c r="A482" s="52"/>
      <c r="B482" s="42" t="s">
        <v>1792</v>
      </c>
      <c r="C482" s="42" t="s">
        <v>862</v>
      </c>
      <c r="D482" s="42" t="s">
        <v>1793</v>
      </c>
      <c r="E482" s="42" t="s">
        <v>1794</v>
      </c>
      <c r="F482" s="42" t="s">
        <v>851</v>
      </c>
      <c r="G482" s="52"/>
      <c r="H482" s="21"/>
      <c r="I482" s="22"/>
    </row>
    <row r="483" spans="8:8" s="16" ht="16.5" customFormat="1">
      <c r="A483" s="52"/>
      <c r="B483" s="42" t="s">
        <v>1795</v>
      </c>
      <c r="C483" s="42" t="s">
        <v>1796</v>
      </c>
      <c r="D483" s="42" t="s">
        <v>1797</v>
      </c>
      <c r="E483" s="42" t="s">
        <v>1798</v>
      </c>
      <c r="F483" s="42" t="s">
        <v>851</v>
      </c>
      <c r="G483" s="52"/>
      <c r="H483" s="21"/>
      <c r="I483" s="22"/>
    </row>
    <row r="484" spans="8:8" s="16" ht="16.5" customFormat="1">
      <c r="A484" s="52"/>
      <c r="B484" s="42" t="s">
        <v>1405</v>
      </c>
      <c r="C484" s="42" t="s">
        <v>1799</v>
      </c>
      <c r="D484" s="42" t="s">
        <v>1800</v>
      </c>
      <c r="E484" s="42" t="s">
        <v>1408</v>
      </c>
      <c r="F484" s="42" t="s">
        <v>123</v>
      </c>
      <c r="G484" s="52"/>
      <c r="H484" s="21"/>
      <c r="I484" s="22"/>
    </row>
    <row r="485" spans="8:8" s="16" ht="16.5" customFormat="1">
      <c r="A485" s="52"/>
      <c r="B485" s="42" t="s">
        <v>819</v>
      </c>
      <c r="C485" s="42" t="s">
        <v>811</v>
      </c>
      <c r="D485" s="42" t="s">
        <v>1801</v>
      </c>
      <c r="E485" s="42" t="s">
        <v>1802</v>
      </c>
      <c r="F485" s="42" t="s">
        <v>819</v>
      </c>
      <c r="G485" s="52"/>
      <c r="H485" s="21"/>
      <c r="I485" s="22"/>
    </row>
    <row r="486" spans="8:8" s="16" ht="16.5" customFormat="1">
      <c r="A486" s="52"/>
      <c r="B486" s="42" t="s">
        <v>1803</v>
      </c>
      <c r="C486" s="42" t="s">
        <v>1804</v>
      </c>
      <c r="D486" s="42" t="s">
        <v>1805</v>
      </c>
      <c r="E486" s="42" t="s">
        <v>1806</v>
      </c>
      <c r="F486" s="42" t="s">
        <v>43</v>
      </c>
      <c r="G486" s="52"/>
      <c r="H486" s="21"/>
      <c r="I486" s="22"/>
    </row>
    <row r="487" spans="8:8" s="16" ht="16.5" customFormat="1">
      <c r="A487" s="52"/>
      <c r="B487" s="42" t="s">
        <v>1807</v>
      </c>
      <c r="C487" s="42" t="s">
        <v>933</v>
      </c>
      <c r="D487" s="42" t="s">
        <v>1808</v>
      </c>
      <c r="E487" s="42" t="s">
        <v>1809</v>
      </c>
      <c r="F487" s="42" t="s">
        <v>819</v>
      </c>
      <c r="G487" s="52"/>
      <c r="H487" s="21"/>
      <c r="I487" s="22"/>
    </row>
    <row r="488" spans="8:8" s="16" ht="16.5" customFormat="1">
      <c r="A488" s="52"/>
      <c r="B488" s="42" t="s">
        <v>1810</v>
      </c>
      <c r="C488" s="42" t="s">
        <v>1811</v>
      </c>
      <c r="D488" s="42" t="s">
        <v>1812</v>
      </c>
      <c r="E488" s="42" t="s">
        <v>1813</v>
      </c>
      <c r="F488" s="42" t="s">
        <v>43</v>
      </c>
      <c r="G488" s="52"/>
      <c r="H488" s="21"/>
      <c r="I488" s="22"/>
    </row>
    <row r="489" spans="8:8" s="16" ht="16.5" customFormat="1">
      <c r="A489" s="52"/>
      <c r="B489" s="42" t="s">
        <v>1814</v>
      </c>
      <c r="C489" s="42" t="s">
        <v>1815</v>
      </c>
      <c r="D489" s="42" t="s">
        <v>1816</v>
      </c>
      <c r="E489" s="42" t="s">
        <v>1817</v>
      </c>
      <c r="F489" s="42" t="s">
        <v>851</v>
      </c>
      <c r="G489" s="52"/>
      <c r="H489" s="21"/>
      <c r="I489" s="22"/>
    </row>
    <row r="490" spans="8:8" s="16" ht="16.5" customFormat="1">
      <c r="A490" s="52"/>
      <c r="B490" s="42" t="s">
        <v>1818</v>
      </c>
      <c r="C490" s="42" t="s">
        <v>1819</v>
      </c>
      <c r="D490" s="42" t="s">
        <v>1820</v>
      </c>
      <c r="E490" s="42" t="s">
        <v>1821</v>
      </c>
      <c r="F490" s="42" t="s">
        <v>43</v>
      </c>
      <c r="G490" s="52"/>
      <c r="H490" s="21"/>
      <c r="I490" s="22"/>
    </row>
    <row r="491" spans="8:8" s="16" ht="16.5" customFormat="1">
      <c r="A491" s="52"/>
      <c r="B491" s="42" t="s">
        <v>1822</v>
      </c>
      <c r="C491" s="42" t="s">
        <v>1823</v>
      </c>
      <c r="D491" s="42" t="s">
        <v>1824</v>
      </c>
      <c r="E491" s="42" t="s">
        <v>1825</v>
      </c>
      <c r="F491" s="42" t="s">
        <v>123</v>
      </c>
      <c r="G491" s="52"/>
      <c r="H491" s="21"/>
      <c r="I491" s="22"/>
    </row>
    <row r="492" spans="8:8" s="16" ht="16.5" customFormat="1">
      <c r="A492" s="52"/>
      <c r="B492" s="42" t="s">
        <v>1826</v>
      </c>
      <c r="C492" s="42" t="s">
        <v>1827</v>
      </c>
      <c r="D492" s="42" t="s">
        <v>1828</v>
      </c>
      <c r="E492" s="42" t="s">
        <v>1829</v>
      </c>
      <c r="F492" s="42" t="s">
        <v>1830</v>
      </c>
      <c r="G492" s="52"/>
      <c r="H492" s="21"/>
      <c r="I492" s="22"/>
    </row>
    <row r="493" spans="8:8" s="16" ht="16.5" customFormat="1">
      <c r="A493" s="52"/>
      <c r="B493" s="42" t="s">
        <v>1831</v>
      </c>
      <c r="C493" s="42" t="s">
        <v>1832</v>
      </c>
      <c r="D493" s="42" t="s">
        <v>1833</v>
      </c>
      <c r="E493" s="42" t="s">
        <v>1834</v>
      </c>
      <c r="F493" s="42" t="s">
        <v>1830</v>
      </c>
      <c r="G493" s="52"/>
      <c r="H493" s="21"/>
      <c r="I493" s="22"/>
    </row>
    <row r="494" spans="8:8" s="16" ht="16.5" customFormat="1">
      <c r="A494" s="52"/>
      <c r="B494" s="42" t="s">
        <v>1835</v>
      </c>
      <c r="C494" s="42" t="s">
        <v>1836</v>
      </c>
      <c r="D494" s="42" t="s">
        <v>1837</v>
      </c>
      <c r="E494" s="42" t="s">
        <v>1838</v>
      </c>
      <c r="F494" s="42" t="s">
        <v>123</v>
      </c>
      <c r="G494" s="52"/>
      <c r="H494" s="21"/>
      <c r="I494" s="22"/>
    </row>
    <row r="495" spans="8:8" s="16" ht="16.5" customFormat="1">
      <c r="A495" s="52"/>
      <c r="B495" s="42" t="s">
        <v>1839</v>
      </c>
      <c r="C495" s="42" t="s">
        <v>1840</v>
      </c>
      <c r="D495" s="42" t="s">
        <v>1841</v>
      </c>
      <c r="E495" s="42" t="s">
        <v>1842</v>
      </c>
      <c r="F495" s="42" t="s">
        <v>1830</v>
      </c>
      <c r="G495" s="52"/>
      <c r="H495" s="21"/>
      <c r="I495" s="22"/>
    </row>
    <row r="496" spans="8:8" s="16" ht="16.5" customFormat="1">
      <c r="A496" s="52"/>
      <c r="B496" s="42" t="s">
        <v>1843</v>
      </c>
      <c r="C496" s="42" t="s">
        <v>1844</v>
      </c>
      <c r="D496" s="42" t="s">
        <v>1845</v>
      </c>
      <c r="E496" s="42" t="s">
        <v>1846</v>
      </c>
      <c r="F496" s="42" t="s">
        <v>123</v>
      </c>
      <c r="G496" s="52"/>
      <c r="H496" s="21"/>
      <c r="I496" s="22"/>
    </row>
    <row r="497" spans="8:8" s="16" ht="16.5" customFormat="1">
      <c r="A497" s="52"/>
      <c r="B497" s="42" t="s">
        <v>1847</v>
      </c>
      <c r="C497" s="42" t="s">
        <v>1848</v>
      </c>
      <c r="D497" s="42" t="s">
        <v>1849</v>
      </c>
      <c r="E497" s="42" t="s">
        <v>1850</v>
      </c>
      <c r="F497" s="42" t="s">
        <v>123</v>
      </c>
      <c r="G497" s="52"/>
      <c r="H497" s="21"/>
      <c r="I497" s="22"/>
    </row>
    <row r="498" spans="8:8" s="16" ht="16.5" customFormat="1">
      <c r="A498" s="52"/>
      <c r="B498" s="42" t="s">
        <v>1851</v>
      </c>
      <c r="C498" s="42" t="s">
        <v>1852</v>
      </c>
      <c r="D498" s="42" t="s">
        <v>1853</v>
      </c>
      <c r="E498" s="42" t="s">
        <v>1854</v>
      </c>
      <c r="F498" s="42" t="s">
        <v>123</v>
      </c>
      <c r="G498" s="52"/>
      <c r="H498" s="21"/>
      <c r="I498" s="22"/>
    </row>
    <row r="499" spans="8:8" s="16" ht="16.5" customFormat="1">
      <c r="A499" s="52"/>
      <c r="B499" s="42" t="s">
        <v>1855</v>
      </c>
      <c r="C499" s="42" t="s">
        <v>1856</v>
      </c>
      <c r="D499" s="42" t="s">
        <v>1857</v>
      </c>
      <c r="E499" s="42" t="s">
        <v>1858</v>
      </c>
      <c r="F499" s="42" t="s">
        <v>1859</v>
      </c>
      <c r="G499" s="52"/>
      <c r="H499" s="21"/>
      <c r="I499" s="22"/>
    </row>
    <row r="500" spans="8:8" s="16" ht="16.5" customFormat="1">
      <c r="A500" s="52"/>
      <c r="B500" s="42" t="s">
        <v>1860</v>
      </c>
      <c r="C500" s="42" t="s">
        <v>1861</v>
      </c>
      <c r="D500" s="42" t="s">
        <v>1862</v>
      </c>
      <c r="E500" s="42" t="s">
        <v>1863</v>
      </c>
      <c r="F500" s="42" t="s">
        <v>851</v>
      </c>
      <c r="G500" s="52"/>
      <c r="H500" s="21"/>
      <c r="I500" s="22"/>
    </row>
    <row r="501" spans="8:8" s="16" ht="16.5" customFormat="1">
      <c r="A501" s="52"/>
      <c r="B501" s="42" t="s">
        <v>1864</v>
      </c>
      <c r="C501" s="42" t="s">
        <v>1865</v>
      </c>
      <c r="D501" s="42" t="s">
        <v>1866</v>
      </c>
      <c r="E501" s="42" t="s">
        <v>1867</v>
      </c>
      <c r="F501" s="42" t="s">
        <v>851</v>
      </c>
      <c r="G501" s="52"/>
      <c r="H501" s="21"/>
      <c r="I501" s="22"/>
    </row>
    <row r="502" spans="8:8" s="16" ht="16.5" customFormat="1">
      <c r="A502" s="52"/>
      <c r="B502" s="42" t="s">
        <v>1868</v>
      </c>
      <c r="C502" s="42" t="s">
        <v>1869</v>
      </c>
      <c r="D502" s="42" t="s">
        <v>1870</v>
      </c>
      <c r="E502" s="42" t="s">
        <v>1871</v>
      </c>
      <c r="F502" s="42" t="s">
        <v>1444</v>
      </c>
      <c r="G502" s="52"/>
      <c r="H502" s="21"/>
      <c r="I502" s="22"/>
    </row>
    <row r="503" spans="8:8" s="16" ht="16.5" customFormat="1">
      <c r="A503" s="52"/>
      <c r="B503" s="42" t="s">
        <v>1872</v>
      </c>
      <c r="C503" s="42" t="s">
        <v>1873</v>
      </c>
      <c r="D503" s="42" t="s">
        <v>1874</v>
      </c>
      <c r="E503" s="42" t="s">
        <v>1875</v>
      </c>
      <c r="F503" s="42" t="s">
        <v>123</v>
      </c>
      <c r="G503" s="52"/>
      <c r="H503" s="21"/>
      <c r="I503" s="22"/>
    </row>
    <row r="504" spans="8:8" s="16" ht="16.5" customFormat="1">
      <c r="A504" s="52"/>
      <c r="B504" s="42" t="s">
        <v>1876</v>
      </c>
      <c r="C504" s="42" t="s">
        <v>1877</v>
      </c>
      <c r="D504" s="42" t="s">
        <v>1878</v>
      </c>
      <c r="E504" s="42" t="s">
        <v>1879</v>
      </c>
      <c r="F504" s="42" t="s">
        <v>123</v>
      </c>
      <c r="G504" s="52"/>
      <c r="H504" s="21"/>
      <c r="I504" s="22"/>
    </row>
    <row r="505" spans="8:8" s="16" ht="16.5" customFormat="1">
      <c r="A505" s="52"/>
      <c r="B505" s="42" t="s">
        <v>1880</v>
      </c>
      <c r="C505" s="42" t="s">
        <v>1881</v>
      </c>
      <c r="D505" s="42" t="s">
        <v>1882</v>
      </c>
      <c r="E505" s="42" t="s">
        <v>1883</v>
      </c>
      <c r="F505" s="42" t="s">
        <v>123</v>
      </c>
      <c r="G505" s="52"/>
      <c r="H505" s="21"/>
      <c r="I505" s="22"/>
    </row>
    <row r="506" spans="8:8" s="16" ht="16.5" customFormat="1">
      <c r="A506" s="52"/>
      <c r="B506" s="42" t="s">
        <v>1884</v>
      </c>
      <c r="C506" s="42" t="s">
        <v>1885</v>
      </c>
      <c r="D506" s="42" t="s">
        <v>1886</v>
      </c>
      <c r="E506" s="42" t="s">
        <v>1887</v>
      </c>
      <c r="F506" s="42" t="s">
        <v>123</v>
      </c>
      <c r="G506" s="52"/>
      <c r="H506" s="21"/>
      <c r="I506" s="22"/>
    </row>
    <row r="507" spans="8:8" s="16" ht="16.5" customFormat="1">
      <c r="A507" s="52"/>
      <c r="B507" s="42" t="s">
        <v>1888</v>
      </c>
      <c r="C507" s="42" t="s">
        <v>1889</v>
      </c>
      <c r="D507" s="42" t="s">
        <v>1890</v>
      </c>
      <c r="E507" s="42" t="s">
        <v>1891</v>
      </c>
      <c r="F507" s="42" t="s">
        <v>819</v>
      </c>
      <c r="G507" s="52"/>
      <c r="H507" s="21"/>
      <c r="I507" s="22"/>
    </row>
    <row r="508" spans="8:8" s="16" ht="16.5" customFormat="1">
      <c r="A508" s="52"/>
      <c r="B508" s="42" t="s">
        <v>1892</v>
      </c>
      <c r="C508" s="42" t="s">
        <v>1893</v>
      </c>
      <c r="D508" s="42" t="s">
        <v>1894</v>
      </c>
      <c r="E508" s="42" t="s">
        <v>1895</v>
      </c>
      <c r="F508" s="42" t="s">
        <v>851</v>
      </c>
      <c r="G508" s="52"/>
      <c r="H508" s="21"/>
      <c r="I508" s="22"/>
    </row>
    <row r="509" spans="8:8" s="16" ht="16.5" customFormat="1">
      <c r="A509" s="52"/>
      <c r="B509" s="42" t="s">
        <v>1896</v>
      </c>
      <c r="C509" s="42" t="s">
        <v>1897</v>
      </c>
      <c r="D509" s="42" t="s">
        <v>1898</v>
      </c>
      <c r="E509" s="42" t="s">
        <v>1899</v>
      </c>
      <c r="F509" s="42" t="s">
        <v>819</v>
      </c>
      <c r="G509" s="52"/>
      <c r="H509" s="21"/>
      <c r="I509" s="22"/>
    </row>
    <row r="510" spans="8:8" s="16" ht="16.5" customFormat="1">
      <c r="A510" s="52"/>
      <c r="B510" s="42" t="s">
        <v>1900</v>
      </c>
      <c r="C510" s="42" t="s">
        <v>1901</v>
      </c>
      <c r="D510" s="42" t="s">
        <v>1902</v>
      </c>
      <c r="E510" s="42" t="s">
        <v>1903</v>
      </c>
      <c r="F510" s="42" t="s">
        <v>819</v>
      </c>
      <c r="G510" s="52"/>
      <c r="H510" s="21"/>
      <c r="I510" s="22"/>
    </row>
    <row r="511" spans="8:8" s="16" ht="16.5" customFormat="1">
      <c r="A511" s="52"/>
      <c r="B511" s="42" t="s">
        <v>1904</v>
      </c>
      <c r="C511" s="42" t="s">
        <v>1905</v>
      </c>
      <c r="D511" s="42" t="s">
        <v>1906</v>
      </c>
      <c r="E511" s="42" t="s">
        <v>1907</v>
      </c>
      <c r="F511" s="42" t="s">
        <v>123</v>
      </c>
      <c r="G511" s="52"/>
      <c r="H511" s="21"/>
      <c r="I511" s="22"/>
    </row>
    <row r="512" spans="8:8" s="16" ht="16.5" customFormat="1">
      <c r="A512" s="52"/>
      <c r="B512" s="42" t="s">
        <v>1908</v>
      </c>
      <c r="C512" s="42" t="s">
        <v>1909</v>
      </c>
      <c r="D512" s="42" t="s">
        <v>1910</v>
      </c>
      <c r="E512" s="42" t="s">
        <v>1911</v>
      </c>
      <c r="F512" s="42" t="s">
        <v>123</v>
      </c>
      <c r="G512" s="52"/>
      <c r="H512" s="21"/>
      <c r="I512" s="22"/>
    </row>
    <row r="513" spans="8:8" s="16" ht="16.5" customFormat="1">
      <c r="A513" s="52"/>
      <c r="B513" s="42"/>
      <c r="C513" s="42"/>
      <c r="D513" s="42"/>
      <c r="E513" s="42"/>
      <c r="F513" s="42"/>
      <c r="G513" s="52"/>
      <c r="H513" s="21"/>
      <c r="I513" s="22"/>
    </row>
    <row r="514" spans="8:8" s="9" ht="29.25" customFormat="1">
      <c r="A514" s="55"/>
      <c r="B514" s="56" t="s">
        <v>1639</v>
      </c>
      <c r="C514" s="56" t="s">
        <v>812</v>
      </c>
      <c r="D514" s="56" t="s">
        <v>1912</v>
      </c>
      <c r="E514" s="56"/>
      <c r="F514" s="56"/>
      <c r="G514" s="55"/>
      <c r="H514" s="14"/>
      <c r="I514" s="15"/>
    </row>
    <row r="515" spans="8:8" s="9" ht="29.25" customFormat="1">
      <c r="A515" s="55"/>
      <c r="B515" s="56" t="s">
        <v>814</v>
      </c>
      <c r="C515" s="56" t="s">
        <v>815</v>
      </c>
      <c r="D515" s="56" t="s">
        <v>816</v>
      </c>
      <c r="E515" s="56" t="s">
        <v>817</v>
      </c>
      <c r="F515" s="56" t="s">
        <v>818</v>
      </c>
      <c r="G515" s="55"/>
      <c r="H515" s="14"/>
      <c r="I515" s="15"/>
    </row>
    <row r="516" spans="8:8" s="16" ht="31.9" customFormat="1" customHeight="1">
      <c r="A516" s="57"/>
      <c r="B516" s="42" t="s">
        <v>1913</v>
      </c>
      <c r="C516" s="42" t="s">
        <v>1914</v>
      </c>
      <c r="D516" s="42" t="s">
        <v>1915</v>
      </c>
      <c r="E516" s="42" t="s">
        <v>1916</v>
      </c>
      <c r="F516" s="42" t="s">
        <v>869</v>
      </c>
      <c r="G516" s="57"/>
      <c r="H516" s="21"/>
      <c r="I516" s="22"/>
    </row>
    <row r="517" spans="8:8" s="16" ht="16.5" customFormat="1">
      <c r="A517" s="57"/>
      <c r="B517" s="42" t="s">
        <v>1917</v>
      </c>
      <c r="C517" s="42" t="s">
        <v>1918</v>
      </c>
      <c r="D517" s="42" t="s">
        <v>1919</v>
      </c>
      <c r="E517" s="42" t="s">
        <v>1920</v>
      </c>
      <c r="F517" s="42" t="s">
        <v>851</v>
      </c>
      <c r="G517" s="57"/>
      <c r="H517" s="21"/>
      <c r="I517" s="22"/>
    </row>
    <row r="518" spans="8:8" s="16" ht="16.5" customFormat="1">
      <c r="A518" s="57"/>
      <c r="B518" s="42" t="s">
        <v>1921</v>
      </c>
      <c r="C518" s="42" t="s">
        <v>1665</v>
      </c>
      <c r="D518" s="42" t="s">
        <v>1922</v>
      </c>
      <c r="E518" s="42" t="s">
        <v>1923</v>
      </c>
      <c r="F518" s="42" t="s">
        <v>851</v>
      </c>
      <c r="G518" s="57"/>
      <c r="H518" s="21"/>
      <c r="I518" s="22"/>
    </row>
    <row r="519" spans="8:8" s="16" ht="16.5" customFormat="1">
      <c r="A519" s="57"/>
      <c r="B519" s="42" t="s">
        <v>1924</v>
      </c>
      <c r="C519" s="42" t="s">
        <v>1925</v>
      </c>
      <c r="D519" s="42" t="s">
        <v>1926</v>
      </c>
      <c r="E519" s="42" t="s">
        <v>1927</v>
      </c>
      <c r="F519" s="42" t="s">
        <v>851</v>
      </c>
      <c r="G519" s="57"/>
      <c r="H519" s="21"/>
      <c r="I519" s="22"/>
    </row>
    <row r="520" spans="8:8" s="16" ht="16.5" customFormat="1">
      <c r="A520" s="57"/>
      <c r="B520" s="42" t="s">
        <v>1928</v>
      </c>
      <c r="C520" s="42" t="s">
        <v>1929</v>
      </c>
      <c r="D520" s="42" t="s">
        <v>1930</v>
      </c>
      <c r="E520" s="42" t="s">
        <v>1931</v>
      </c>
      <c r="F520" s="42" t="s">
        <v>851</v>
      </c>
      <c r="G520" s="57"/>
      <c r="H520" s="21"/>
      <c r="I520" s="22"/>
    </row>
    <row r="521" spans="8:8" s="16" ht="16.5" customFormat="1">
      <c r="A521" s="57"/>
      <c r="B521" s="42" t="s">
        <v>1932</v>
      </c>
      <c r="C521" s="42" t="s">
        <v>1933</v>
      </c>
      <c r="D521" s="42" t="s">
        <v>1934</v>
      </c>
      <c r="E521" s="42" t="s">
        <v>1935</v>
      </c>
      <c r="F521" s="42" t="s">
        <v>1936</v>
      </c>
      <c r="G521" s="57"/>
      <c r="H521" s="21"/>
      <c r="I521" s="22"/>
    </row>
    <row r="522" spans="8:8" s="16" ht="16.5" customFormat="1">
      <c r="A522" s="57"/>
      <c r="B522" s="42" t="s">
        <v>1937</v>
      </c>
      <c r="C522" s="42" t="s">
        <v>1938</v>
      </c>
      <c r="D522" s="42" t="s">
        <v>1939</v>
      </c>
      <c r="E522" s="42" t="s">
        <v>1940</v>
      </c>
      <c r="F522" s="42" t="s">
        <v>851</v>
      </c>
      <c r="G522" s="57"/>
      <c r="H522" s="21"/>
      <c r="I522" s="22"/>
    </row>
    <row r="523" spans="8:8" s="16" ht="16.5" customFormat="1">
      <c r="A523" s="57"/>
      <c r="B523" s="42" t="s">
        <v>1941</v>
      </c>
      <c r="C523" s="42" t="s">
        <v>1942</v>
      </c>
      <c r="D523" s="42" t="s">
        <v>1943</v>
      </c>
      <c r="E523" s="42" t="s">
        <v>1944</v>
      </c>
      <c r="F523" s="42" t="s">
        <v>851</v>
      </c>
      <c r="G523" s="57"/>
      <c r="H523" s="21"/>
      <c r="I523" s="22"/>
    </row>
    <row r="524" spans="8:8" s="16" ht="16.5" customFormat="1">
      <c r="A524" s="57"/>
      <c r="B524" s="42" t="s">
        <v>1945</v>
      </c>
      <c r="C524" s="42" t="s">
        <v>1946</v>
      </c>
      <c r="D524" s="42" t="s">
        <v>1947</v>
      </c>
      <c r="E524" s="42" t="s">
        <v>1948</v>
      </c>
      <c r="F524" s="42" t="s">
        <v>851</v>
      </c>
      <c r="G524" s="57"/>
      <c r="H524" s="21"/>
      <c r="I524" s="22"/>
    </row>
    <row r="525" spans="8:8" s="16" ht="16.5" customFormat="1">
      <c r="A525" s="57"/>
      <c r="B525" s="42" t="s">
        <v>1949</v>
      </c>
      <c r="C525" s="42" t="s">
        <v>1728</v>
      </c>
      <c r="D525" s="42" t="s">
        <v>1950</v>
      </c>
      <c r="E525" s="42" t="s">
        <v>1951</v>
      </c>
      <c r="F525" s="42" t="s">
        <v>851</v>
      </c>
      <c r="G525" s="57"/>
      <c r="H525" s="21"/>
      <c r="I525" s="22"/>
    </row>
    <row r="526" spans="8:8" s="16" ht="16.5" customFormat="1">
      <c r="A526" s="57"/>
      <c r="B526" s="42" t="s">
        <v>1952</v>
      </c>
      <c r="C526" s="42" t="s">
        <v>1953</v>
      </c>
      <c r="D526" s="42" t="s">
        <v>1954</v>
      </c>
      <c r="E526" s="42" t="s">
        <v>1955</v>
      </c>
      <c r="F526" s="42" t="s">
        <v>851</v>
      </c>
      <c r="G526" s="57"/>
      <c r="H526" s="21"/>
      <c r="I526" s="22"/>
    </row>
    <row r="527" spans="8:8" s="16" ht="16.5" customFormat="1">
      <c r="A527" s="57"/>
      <c r="B527" s="42" t="s">
        <v>1956</v>
      </c>
      <c r="C527" s="42" t="s">
        <v>1957</v>
      </c>
      <c r="D527" s="42" t="s">
        <v>1958</v>
      </c>
      <c r="E527" s="42" t="s">
        <v>1959</v>
      </c>
      <c r="F527" s="42" t="s">
        <v>123</v>
      </c>
      <c r="G527" s="57"/>
      <c r="H527" s="21"/>
      <c r="I527" s="22"/>
    </row>
    <row r="528" spans="8:8" s="16" ht="16.5" customFormat="1">
      <c r="A528" s="57"/>
      <c r="B528" s="42" t="s">
        <v>1960</v>
      </c>
      <c r="C528" s="42" t="s">
        <v>1961</v>
      </c>
      <c r="D528" s="42" t="s">
        <v>1962</v>
      </c>
      <c r="E528" s="42" t="s">
        <v>1963</v>
      </c>
      <c r="F528" s="42" t="s">
        <v>123</v>
      </c>
      <c r="G528" s="57"/>
      <c r="H528" s="21"/>
      <c r="I528" s="22"/>
    </row>
    <row r="529" spans="8:8" s="16" ht="16.5" customFormat="1">
      <c r="A529" s="57"/>
      <c r="B529" s="42" t="s">
        <v>1964</v>
      </c>
      <c r="C529" s="42" t="s">
        <v>1965</v>
      </c>
      <c r="D529" s="42" t="s">
        <v>1966</v>
      </c>
      <c r="E529" s="42" t="s">
        <v>1967</v>
      </c>
      <c r="F529" s="42" t="s">
        <v>43</v>
      </c>
      <c r="G529" s="57"/>
      <c r="H529" s="21"/>
      <c r="I529" s="22"/>
    </row>
    <row r="530" spans="8:8" s="16" ht="16.5" customFormat="1">
      <c r="A530" s="57"/>
      <c r="B530" s="42" t="s">
        <v>1968</v>
      </c>
      <c r="C530" s="42" t="s">
        <v>1969</v>
      </c>
      <c r="D530" s="42" t="s">
        <v>1970</v>
      </c>
      <c r="E530" s="42" t="s">
        <v>1971</v>
      </c>
      <c r="F530" s="42" t="s">
        <v>123</v>
      </c>
      <c r="G530" s="57"/>
      <c r="H530" s="21"/>
      <c r="I530" s="22"/>
    </row>
    <row r="531" spans="8:8" s="16" ht="16.5" customFormat="1">
      <c r="A531" s="57"/>
      <c r="B531" s="42" t="s">
        <v>1972</v>
      </c>
      <c r="C531" s="42" t="s">
        <v>1973</v>
      </c>
      <c r="D531" s="42" t="s">
        <v>1974</v>
      </c>
      <c r="E531" s="42" t="s">
        <v>1975</v>
      </c>
      <c r="F531" s="42" t="s">
        <v>123</v>
      </c>
      <c r="G531" s="57"/>
      <c r="H531" s="21"/>
      <c r="I531" s="22"/>
    </row>
    <row r="532" spans="8:8" s="16" ht="16.5" customFormat="1">
      <c r="A532" s="57"/>
      <c r="B532" s="42" t="s">
        <v>1976</v>
      </c>
      <c r="C532" s="42" t="s">
        <v>1977</v>
      </c>
      <c r="D532" s="42" t="s">
        <v>1978</v>
      </c>
      <c r="E532" s="42" t="s">
        <v>1979</v>
      </c>
      <c r="F532" s="42" t="s">
        <v>851</v>
      </c>
      <c r="G532" s="57"/>
      <c r="H532" s="21"/>
      <c r="I532" s="22"/>
    </row>
    <row r="533" spans="8:8" s="16" ht="16.5" customFormat="1">
      <c r="A533" s="57"/>
      <c r="B533" s="42" t="s">
        <v>1980</v>
      </c>
      <c r="C533" s="42" t="s">
        <v>1981</v>
      </c>
      <c r="D533" s="42" t="s">
        <v>1982</v>
      </c>
      <c r="E533" s="42" t="s">
        <v>1983</v>
      </c>
      <c r="F533" s="42" t="s">
        <v>123</v>
      </c>
      <c r="G533" s="57"/>
      <c r="H533" s="21"/>
      <c r="I533" s="22"/>
    </row>
    <row r="534" spans="8:8" s="16" ht="18.6" customFormat="1" customHeight="1">
      <c r="A534" s="57"/>
      <c r="B534" s="42" t="s">
        <v>1984</v>
      </c>
      <c r="C534" s="42" t="s">
        <v>1985</v>
      </c>
      <c r="D534" s="42" t="s">
        <v>1986</v>
      </c>
      <c r="E534" s="42" t="s">
        <v>1987</v>
      </c>
      <c r="F534" s="42" t="s">
        <v>123</v>
      </c>
      <c r="G534" s="57"/>
      <c r="H534" s="21"/>
      <c r="I534" s="22"/>
    </row>
    <row r="535" spans="8:8" s="16" ht="16.5" customFormat="1">
      <c r="A535" s="57"/>
      <c r="B535" s="42" t="s">
        <v>1988</v>
      </c>
      <c r="C535" s="42" t="s">
        <v>1989</v>
      </c>
      <c r="D535" s="42" t="s">
        <v>1990</v>
      </c>
      <c r="E535" s="42" t="s">
        <v>1991</v>
      </c>
      <c r="F535" s="42" t="s">
        <v>851</v>
      </c>
      <c r="G535" s="57"/>
      <c r="H535" s="21"/>
      <c r="I535" s="22"/>
    </row>
    <row r="536" spans="8:8" s="16" ht="16.5" customFormat="1">
      <c r="A536" s="57"/>
      <c r="B536" s="42" t="s">
        <v>1992</v>
      </c>
      <c r="C536" s="42" t="s">
        <v>1993</v>
      </c>
      <c r="D536" s="42" t="s">
        <v>1994</v>
      </c>
      <c r="E536" s="42" t="s">
        <v>1995</v>
      </c>
      <c r="F536" s="42" t="s">
        <v>851</v>
      </c>
      <c r="G536" s="57"/>
      <c r="H536" s="21"/>
      <c r="I536" s="22"/>
    </row>
    <row r="537" spans="8:8" s="16" ht="16.5" customFormat="1">
      <c r="A537" s="57"/>
      <c r="B537" s="42" t="s">
        <v>1996</v>
      </c>
      <c r="C537" s="42" t="s">
        <v>1997</v>
      </c>
      <c r="D537" s="42" t="s">
        <v>1998</v>
      </c>
      <c r="E537" s="42" t="s">
        <v>1999</v>
      </c>
      <c r="F537" s="42" t="s">
        <v>851</v>
      </c>
      <c r="G537" s="57"/>
      <c r="H537" s="21"/>
      <c r="I537" s="22"/>
    </row>
    <row r="538" spans="8:8" s="16" ht="16.5" customFormat="1">
      <c r="A538" s="57"/>
      <c r="B538" s="42"/>
      <c r="C538" s="42"/>
      <c r="D538" s="42"/>
      <c r="E538" s="42"/>
      <c r="F538" s="42"/>
      <c r="G538" s="57"/>
      <c r="H538" s="21"/>
      <c r="I538" s="22"/>
    </row>
    <row r="539" spans="8:8" s="9" ht="29.25" customFormat="1">
      <c r="A539" s="58"/>
      <c r="B539" s="59" t="s">
        <v>2000</v>
      </c>
      <c r="C539" s="59" t="s">
        <v>812</v>
      </c>
      <c r="D539" s="59" t="s">
        <v>2001</v>
      </c>
      <c r="E539" s="59"/>
      <c r="F539" s="59"/>
      <c r="G539" s="58"/>
      <c r="H539" s="14"/>
      <c r="I539" s="15"/>
    </row>
    <row r="540" spans="8:8" s="9" ht="29.25" customFormat="1">
      <c r="A540" s="58"/>
      <c r="B540" s="59" t="s">
        <v>814</v>
      </c>
      <c r="C540" s="59" t="s">
        <v>815</v>
      </c>
      <c r="D540" s="59" t="s">
        <v>2002</v>
      </c>
      <c r="E540" s="59" t="s">
        <v>817</v>
      </c>
      <c r="F540" s="59" t="s">
        <v>818</v>
      </c>
      <c r="G540" s="58"/>
      <c r="H540" s="14"/>
      <c r="I540" s="15"/>
    </row>
    <row r="541" spans="8:8" s="16" ht="16.5" customFormat="1">
      <c r="A541" s="60"/>
      <c r="B541" s="42" t="s">
        <v>2003</v>
      </c>
      <c r="C541" s="42" t="s">
        <v>2004</v>
      </c>
      <c r="D541" s="42" t="s">
        <v>2005</v>
      </c>
      <c r="E541" s="42" t="s">
        <v>2006</v>
      </c>
      <c r="F541" s="42" t="s">
        <v>123</v>
      </c>
      <c r="G541" s="60"/>
      <c r="H541" s="21"/>
      <c r="I541" s="22"/>
    </row>
    <row r="542" spans="8:8" s="16" ht="16.5" customFormat="1">
      <c r="A542" s="60"/>
      <c r="B542" s="42" t="s">
        <v>2007</v>
      </c>
      <c r="C542" s="42" t="s">
        <v>2008</v>
      </c>
      <c r="D542" s="42" t="s">
        <v>2009</v>
      </c>
      <c r="E542" s="42" t="s">
        <v>2010</v>
      </c>
      <c r="F542" s="42" t="s">
        <v>123</v>
      </c>
      <c r="G542" s="60"/>
      <c r="H542" s="21"/>
      <c r="I542" s="22"/>
    </row>
    <row r="543" spans="8:8" s="16" ht="16.5" customFormat="1">
      <c r="A543" s="60"/>
      <c r="B543" s="42" t="s">
        <v>2011</v>
      </c>
      <c r="C543" s="42" t="s">
        <v>2012</v>
      </c>
      <c r="D543" s="42" t="s">
        <v>2013</v>
      </c>
      <c r="E543" s="42" t="s">
        <v>2014</v>
      </c>
      <c r="F543" s="42" t="s">
        <v>123</v>
      </c>
      <c r="G543" s="60"/>
      <c r="H543" s="21"/>
      <c r="I543" s="22"/>
    </row>
    <row r="544" spans="8:8" s="16" ht="16.5" customFormat="1">
      <c r="A544" s="60"/>
      <c r="B544" s="42" t="s">
        <v>2015</v>
      </c>
      <c r="C544" s="42" t="s">
        <v>2016</v>
      </c>
      <c r="D544" s="42" t="s">
        <v>2017</v>
      </c>
      <c r="E544" s="42" t="s">
        <v>2018</v>
      </c>
      <c r="F544" s="42" t="s">
        <v>123</v>
      </c>
      <c r="G544" s="60"/>
      <c r="H544" s="21"/>
      <c r="I544" s="22"/>
    </row>
    <row r="545" spans="8:8" s="16" ht="16.5" customFormat="1">
      <c r="A545" s="60"/>
      <c r="B545" s="42" t="s">
        <v>2019</v>
      </c>
      <c r="C545" s="42" t="s">
        <v>2020</v>
      </c>
      <c r="D545" s="42" t="s">
        <v>2021</v>
      </c>
      <c r="E545" s="42" t="s">
        <v>2022</v>
      </c>
      <c r="F545" s="42" t="s">
        <v>123</v>
      </c>
      <c r="G545" s="60"/>
      <c r="H545" s="21"/>
      <c r="I545" s="22"/>
    </row>
    <row r="546" spans="8:8" s="16" ht="16.5" customFormat="1">
      <c r="A546" s="60"/>
      <c r="B546" s="42" t="s">
        <v>2023</v>
      </c>
      <c r="C546" s="42" t="s">
        <v>2024</v>
      </c>
      <c r="D546" s="42" t="s">
        <v>2025</v>
      </c>
      <c r="E546" s="42" t="s">
        <v>2026</v>
      </c>
      <c r="F546" s="42" t="s">
        <v>851</v>
      </c>
      <c r="G546" s="60"/>
      <c r="H546" s="21"/>
      <c r="I546" s="22"/>
    </row>
    <row r="547" spans="8:8" s="16" ht="16.5" customFormat="1">
      <c r="A547" s="60"/>
      <c r="B547" s="61" t="s">
        <v>906</v>
      </c>
      <c r="C547" s="61" t="s">
        <v>906</v>
      </c>
      <c r="D547" s="61" t="s">
        <v>906</v>
      </c>
      <c r="E547" s="61" t="s">
        <v>906</v>
      </c>
      <c r="F547" s="61" t="s">
        <v>906</v>
      </c>
      <c r="G547" s="60"/>
      <c r="H547" s="21"/>
      <c r="I547" s="22"/>
    </row>
    <row r="548" spans="8:8" s="16" ht="16.5" customFormat="1">
      <c r="A548" s="60"/>
      <c r="B548" s="42" t="s">
        <v>2027</v>
      </c>
      <c r="C548" s="42" t="s">
        <v>2028</v>
      </c>
      <c r="D548" s="42" t="s">
        <v>2029</v>
      </c>
      <c r="E548" s="42" t="s">
        <v>2030</v>
      </c>
      <c r="F548" s="42" t="s">
        <v>851</v>
      </c>
      <c r="G548" s="60"/>
      <c r="H548" s="21"/>
      <c r="I548" s="22"/>
    </row>
    <row r="549" spans="8:8" s="16" ht="16.5" customFormat="1">
      <c r="A549" s="60"/>
      <c r="B549" s="42" t="s">
        <v>2031</v>
      </c>
      <c r="C549" s="42" t="s">
        <v>2032</v>
      </c>
      <c r="D549" s="42" t="s">
        <v>2033</v>
      </c>
      <c r="E549" s="42" t="s">
        <v>2034</v>
      </c>
      <c r="F549" s="42" t="s">
        <v>851</v>
      </c>
      <c r="G549" s="60"/>
      <c r="H549" s="21"/>
      <c r="I549" s="22"/>
    </row>
    <row r="550" spans="8:8" s="16" ht="16.5" customFormat="1">
      <c r="A550" s="60"/>
      <c r="B550" s="42" t="s">
        <v>2035</v>
      </c>
      <c r="C550" s="42" t="s">
        <v>2036</v>
      </c>
      <c r="D550" s="42" t="s">
        <v>2037</v>
      </c>
      <c r="E550" s="42" t="s">
        <v>2038</v>
      </c>
      <c r="F550" s="42" t="s">
        <v>851</v>
      </c>
      <c r="G550" s="60"/>
      <c r="H550" s="21"/>
      <c r="I550" s="22"/>
    </row>
    <row r="551" spans="8:8" s="16" ht="16.5" customFormat="1">
      <c r="A551" s="60"/>
      <c r="B551" s="42" t="s">
        <v>2039</v>
      </c>
      <c r="C551" s="42" t="s">
        <v>2040</v>
      </c>
      <c r="D551" s="42" t="s">
        <v>2040</v>
      </c>
      <c r="E551" s="42" t="s">
        <v>2034</v>
      </c>
      <c r="F551" s="42" t="s">
        <v>851</v>
      </c>
      <c r="G551" s="60"/>
      <c r="H551" s="21"/>
      <c r="I551" s="22"/>
    </row>
    <row r="552" spans="8:8" s="16" ht="16.5" customFormat="1">
      <c r="A552" s="60"/>
      <c r="B552" s="42" t="s">
        <v>2041</v>
      </c>
      <c r="C552" s="42" t="s">
        <v>2042</v>
      </c>
      <c r="D552" s="42" t="s">
        <v>2037</v>
      </c>
      <c r="E552" s="42" t="s">
        <v>2038</v>
      </c>
      <c r="F552" s="42" t="s">
        <v>851</v>
      </c>
      <c r="G552" s="60"/>
      <c r="H552" s="21"/>
      <c r="I552" s="22"/>
    </row>
    <row r="553" spans="8:8" s="16" ht="16.5" customFormat="1">
      <c r="A553" s="60"/>
      <c r="B553" s="42" t="s">
        <v>2043</v>
      </c>
      <c r="C553" s="42" t="s">
        <v>2044</v>
      </c>
      <c r="D553" s="42" t="s">
        <v>2045</v>
      </c>
      <c r="E553" s="42" t="s">
        <v>2046</v>
      </c>
      <c r="F553" s="42" t="s">
        <v>43</v>
      </c>
      <c r="G553" s="60"/>
      <c r="H553" s="21"/>
      <c r="I553" s="22"/>
    </row>
    <row r="554" spans="8:8" s="16" ht="16.5" customFormat="1">
      <c r="A554" s="60"/>
      <c r="B554" s="42" t="s">
        <v>2047</v>
      </c>
      <c r="C554" s="42" t="s">
        <v>2048</v>
      </c>
      <c r="D554" s="42" t="s">
        <v>2049</v>
      </c>
      <c r="E554" s="42" t="s">
        <v>2050</v>
      </c>
      <c r="F554" s="42" t="s">
        <v>851</v>
      </c>
      <c r="G554" s="60"/>
      <c r="H554" s="21"/>
      <c r="I554" s="22"/>
    </row>
    <row r="555" spans="8:8" s="16" ht="16.5" customFormat="1">
      <c r="A555" s="60"/>
      <c r="B555" s="42" t="s">
        <v>2051</v>
      </c>
      <c r="C555" s="42" t="s">
        <v>2052</v>
      </c>
      <c r="D555" s="42" t="s">
        <v>2053</v>
      </c>
      <c r="E555" s="42" t="s">
        <v>2054</v>
      </c>
      <c r="F555" s="42" t="s">
        <v>869</v>
      </c>
      <c r="G555" s="60"/>
      <c r="H555" s="21"/>
      <c r="I555" s="22"/>
    </row>
    <row r="556" spans="8:8" s="16" ht="16.5" customFormat="1">
      <c r="A556" s="60"/>
      <c r="B556" s="42" t="s">
        <v>2055</v>
      </c>
      <c r="C556" s="42" t="s">
        <v>2056</v>
      </c>
      <c r="D556" s="42" t="s">
        <v>2057</v>
      </c>
      <c r="E556" s="42" t="s">
        <v>2058</v>
      </c>
      <c r="F556" s="42" t="s">
        <v>43</v>
      </c>
      <c r="G556" s="60"/>
      <c r="H556" s="21"/>
      <c r="I556" s="22"/>
    </row>
    <row r="557" spans="8:8" s="16" ht="16.5" customFormat="1">
      <c r="A557" s="60"/>
      <c r="B557" s="42" t="s">
        <v>2059</v>
      </c>
      <c r="C557" s="42" t="s">
        <v>2060</v>
      </c>
      <c r="D557" s="42" t="s">
        <v>2061</v>
      </c>
      <c r="E557" s="42" t="s">
        <v>2062</v>
      </c>
      <c r="F557" s="42" t="s">
        <v>43</v>
      </c>
      <c r="G557" s="60"/>
      <c r="H557" s="21"/>
      <c r="I557" s="22"/>
    </row>
    <row r="558" spans="8:8" s="16" ht="16.5" customFormat="1">
      <c r="A558" s="60"/>
      <c r="B558" s="42" t="s">
        <v>2063</v>
      </c>
      <c r="C558" s="42" t="s">
        <v>2064</v>
      </c>
      <c r="D558" s="42" t="s">
        <v>2065</v>
      </c>
      <c r="E558" s="42" t="s">
        <v>2066</v>
      </c>
      <c r="F558" s="42" t="s">
        <v>123</v>
      </c>
      <c r="G558" s="60"/>
      <c r="H558" s="21"/>
      <c r="I558" s="22"/>
    </row>
    <row r="559" spans="8:8" s="16" ht="16.5" customFormat="1">
      <c r="A559" s="60"/>
      <c r="B559" s="42" t="s">
        <v>2067</v>
      </c>
      <c r="C559" s="42" t="s">
        <v>2068</v>
      </c>
      <c r="D559" s="42" t="s">
        <v>2069</v>
      </c>
      <c r="E559" s="42" t="s">
        <v>2070</v>
      </c>
      <c r="F559" s="42" t="s">
        <v>123</v>
      </c>
      <c r="G559" s="60"/>
      <c r="H559" s="21"/>
      <c r="I559" s="22"/>
    </row>
    <row r="560" spans="8:8" s="16" ht="16.5" customFormat="1">
      <c r="A560" s="60"/>
      <c r="B560" s="42" t="s">
        <v>2071</v>
      </c>
      <c r="C560" s="42" t="s">
        <v>2072</v>
      </c>
      <c r="D560" s="42" t="s">
        <v>2073</v>
      </c>
      <c r="E560" s="42"/>
      <c r="F560" s="42"/>
      <c r="G560" s="60"/>
      <c r="H560" s="21"/>
      <c r="I560" s="22"/>
    </row>
    <row r="561" spans="8:8" s="16" ht="16.5" customFormat="1">
      <c r="A561" s="60"/>
      <c r="B561" s="42" t="s">
        <v>2074</v>
      </c>
      <c r="C561" s="42" t="s">
        <v>2075</v>
      </c>
      <c r="D561" s="42" t="s">
        <v>2076</v>
      </c>
      <c r="E561" s="42" t="s">
        <v>2077</v>
      </c>
      <c r="F561" s="42" t="s">
        <v>43</v>
      </c>
      <c r="G561" s="60"/>
      <c r="H561" s="21"/>
      <c r="I561" s="22"/>
    </row>
    <row r="562" spans="8:8" s="16" ht="16.5" customFormat="1">
      <c r="A562" s="60"/>
      <c r="B562" s="42" t="s">
        <v>2078</v>
      </c>
      <c r="C562" s="42" t="s">
        <v>2079</v>
      </c>
      <c r="D562" s="42" t="s">
        <v>2080</v>
      </c>
      <c r="E562" s="42" t="s">
        <v>2081</v>
      </c>
      <c r="F562" s="42" t="s">
        <v>43</v>
      </c>
      <c r="G562" s="60"/>
      <c r="H562" s="21"/>
      <c r="I562" s="22"/>
    </row>
    <row r="563" spans="8:8" s="16" ht="33.0" customFormat="1">
      <c r="A563" s="60"/>
      <c r="B563" s="42" t="s">
        <v>2082</v>
      </c>
      <c r="C563" s="42" t="s">
        <v>2083</v>
      </c>
      <c r="D563" s="42" t="s">
        <v>2084</v>
      </c>
      <c r="E563" s="42" t="s">
        <v>2085</v>
      </c>
      <c r="F563" s="42" t="s">
        <v>123</v>
      </c>
      <c r="G563" s="60"/>
      <c r="H563" s="21"/>
      <c r="I563" s="22"/>
    </row>
    <row r="564" spans="8:8" s="16" ht="16.5" customFormat="1">
      <c r="A564" s="60"/>
      <c r="B564" s="42" t="s">
        <v>2086</v>
      </c>
      <c r="C564" s="42" t="s">
        <v>2087</v>
      </c>
      <c r="D564" s="42" t="s">
        <v>2088</v>
      </c>
      <c r="E564" s="42" t="s">
        <v>2089</v>
      </c>
      <c r="F564" s="42" t="s">
        <v>869</v>
      </c>
      <c r="G564" s="60"/>
      <c r="H564" s="21"/>
      <c r="I564" s="22"/>
    </row>
    <row r="565" spans="8:8" s="16" ht="16.5" customFormat="1">
      <c r="A565" s="60"/>
      <c r="B565" s="42"/>
      <c r="C565" s="42"/>
      <c r="D565" s="42"/>
      <c r="E565" s="42"/>
      <c r="F565" s="42"/>
      <c r="G565" s="60"/>
      <c r="H565" s="21"/>
      <c r="I565" s="22"/>
    </row>
    <row r="566" spans="8:8" s="9" ht="29.25" customFormat="1">
      <c r="A566" s="62"/>
      <c r="B566" s="63" t="s">
        <v>2090</v>
      </c>
      <c r="C566" s="63" t="s">
        <v>2091</v>
      </c>
      <c r="D566" s="63" t="s">
        <v>2092</v>
      </c>
      <c r="E566" s="63" t="s">
        <v>2093</v>
      </c>
      <c r="F566" s="63"/>
      <c r="G566" s="62"/>
      <c r="H566" s="14"/>
      <c r="I566" s="15"/>
    </row>
    <row r="567" spans="8:8" s="9" ht="29.25" customFormat="1">
      <c r="A567" s="62"/>
      <c r="B567" s="63" t="s">
        <v>814</v>
      </c>
      <c r="C567" s="63" t="s">
        <v>815</v>
      </c>
      <c r="D567" s="63" t="s">
        <v>816</v>
      </c>
      <c r="E567" s="63" t="s">
        <v>817</v>
      </c>
      <c r="F567" s="63" t="s">
        <v>818</v>
      </c>
      <c r="G567" s="62"/>
      <c r="H567" s="14"/>
      <c r="I567" s="15"/>
    </row>
    <row r="568" spans="8:8" s="16" ht="16.5" customFormat="1">
      <c r="A568" s="64"/>
      <c r="B568" s="65"/>
      <c r="C568" s="65"/>
      <c r="D568" s="66" t="s">
        <v>2094</v>
      </c>
      <c r="E568" s="65"/>
      <c r="F568" s="65"/>
      <c r="G568" s="64"/>
      <c r="H568" s="21"/>
      <c r="I568" s="22"/>
    </row>
    <row r="569" spans="8:8" s="16" ht="17.1" customFormat="1" customHeight="1">
      <c r="A569" s="64"/>
      <c r="B569" s="42" t="s">
        <v>1204</v>
      </c>
      <c r="C569" s="42" t="s">
        <v>6070</v>
      </c>
      <c r="D569" s="42" t="s">
        <v>2095</v>
      </c>
      <c r="E569" s="42" t="s">
        <v>2096</v>
      </c>
      <c r="F569" s="42" t="s">
        <v>851</v>
      </c>
      <c r="G569" s="64"/>
      <c r="H569" s="21"/>
      <c r="I569" s="22"/>
    </row>
    <row r="570" spans="8:8" s="16" ht="18.8" customFormat="1" customHeight="1">
      <c r="A570" s="64"/>
      <c r="B570" s="42" t="s">
        <v>1208</v>
      </c>
      <c r="C570" s="42" t="s">
        <v>6082</v>
      </c>
      <c r="D570" s="42" t="s">
        <v>2097</v>
      </c>
      <c r="E570" s="42" t="s">
        <v>2098</v>
      </c>
      <c r="F570" s="42" t="s">
        <v>851</v>
      </c>
      <c r="G570" s="64"/>
      <c r="H570" s="21"/>
      <c r="I570" s="22"/>
    </row>
    <row r="571" spans="8:8" s="16" ht="16.5" customFormat="1">
      <c r="A571" s="64"/>
      <c r="B571" s="42" t="s">
        <v>2099</v>
      </c>
      <c r="C571" s="42" t="s">
        <v>2100</v>
      </c>
      <c r="D571" s="42" t="s">
        <v>2101</v>
      </c>
      <c r="E571" s="42" t="s">
        <v>2102</v>
      </c>
      <c r="F571" s="42" t="s">
        <v>851</v>
      </c>
      <c r="G571" s="64"/>
      <c r="H571" s="21"/>
      <c r="I571" s="22"/>
    </row>
    <row r="572" spans="8:8" s="16" ht="16.5" customFormat="1">
      <c r="A572" s="64"/>
      <c r="B572" s="42" t="s">
        <v>1216</v>
      </c>
      <c r="C572" s="42" t="s">
        <v>2103</v>
      </c>
      <c r="D572" s="42" t="s">
        <v>2104</v>
      </c>
      <c r="E572" s="42" t="s">
        <v>2105</v>
      </c>
      <c r="F572" s="42" t="s">
        <v>43</v>
      </c>
      <c r="G572" s="64"/>
      <c r="H572" s="21"/>
      <c r="I572" s="22"/>
    </row>
    <row r="573" spans="8:8" s="16" ht="16.5" customFormat="1">
      <c r="A573" s="64"/>
      <c r="B573" s="42" t="s">
        <v>2106</v>
      </c>
      <c r="C573" s="42" t="s">
        <v>2107</v>
      </c>
      <c r="D573" s="42" t="s">
        <v>2108</v>
      </c>
      <c r="E573" s="42" t="s">
        <v>2109</v>
      </c>
      <c r="F573" s="42" t="s">
        <v>851</v>
      </c>
      <c r="G573" s="64"/>
      <c r="H573" s="21"/>
      <c r="I573" s="22"/>
    </row>
    <row r="574" spans="8:8" s="16" ht="16.5" customFormat="1">
      <c r="A574" s="64"/>
      <c r="B574" s="42" t="s">
        <v>2110</v>
      </c>
      <c r="C574" s="42" t="s">
        <v>2111</v>
      </c>
      <c r="D574" s="42" t="s">
        <v>2112</v>
      </c>
      <c r="E574" s="42" t="s">
        <v>2113</v>
      </c>
      <c r="F574" s="42" t="s">
        <v>851</v>
      </c>
      <c r="G574" s="64"/>
      <c r="H574" s="21"/>
      <c r="I574" s="22"/>
    </row>
    <row r="575" spans="8:8" s="16" ht="16.5" customFormat="1">
      <c r="A575" s="64"/>
      <c r="B575" s="42" t="s">
        <v>2114</v>
      </c>
      <c r="C575" s="42" t="s">
        <v>2115</v>
      </c>
      <c r="D575" s="42" t="s">
        <v>2116</v>
      </c>
      <c r="E575" s="42" t="s">
        <v>2117</v>
      </c>
      <c r="F575" s="42" t="s">
        <v>851</v>
      </c>
      <c r="G575" s="64"/>
      <c r="H575" s="21"/>
      <c r="I575" s="22"/>
    </row>
    <row r="576" spans="8:8" s="16" ht="16.5" customFormat="1">
      <c r="A576" s="64"/>
      <c r="B576" s="42" t="s">
        <v>2118</v>
      </c>
      <c r="C576" s="42" t="s">
        <v>2119</v>
      </c>
      <c r="D576" s="42" t="s">
        <v>2120</v>
      </c>
      <c r="E576" s="42" t="s">
        <v>2121</v>
      </c>
      <c r="F576" s="42" t="s">
        <v>43</v>
      </c>
      <c r="G576" s="64"/>
      <c r="H576" s="21"/>
      <c r="I576" s="22"/>
    </row>
    <row r="577" spans="8:8" s="16" ht="16.5" customFormat="1">
      <c r="A577" s="64"/>
      <c r="B577" s="42" t="s">
        <v>2122</v>
      </c>
      <c r="C577" s="42" t="s">
        <v>2123</v>
      </c>
      <c r="D577" s="42" t="s">
        <v>2124</v>
      </c>
      <c r="E577" s="42" t="s">
        <v>2125</v>
      </c>
      <c r="F577" s="42" t="s">
        <v>123</v>
      </c>
      <c r="G577" s="64"/>
      <c r="H577" s="21"/>
      <c r="I577" s="22"/>
    </row>
    <row r="578" spans="8:8" s="16" ht="16.5" customFormat="1">
      <c r="A578" s="64"/>
      <c r="B578" s="42" t="s">
        <v>2126</v>
      </c>
      <c r="C578" s="42" t="s">
        <v>2127</v>
      </c>
      <c r="D578" s="42" t="s">
        <v>2128</v>
      </c>
      <c r="E578" s="42" t="s">
        <v>2129</v>
      </c>
      <c r="F578" s="42" t="s">
        <v>851</v>
      </c>
      <c r="G578" s="64"/>
      <c r="H578" s="21"/>
      <c r="I578" s="22"/>
    </row>
    <row r="579" spans="8:8" s="16" ht="16.5" customFormat="1">
      <c r="A579" s="64"/>
      <c r="B579" s="42" t="s">
        <v>1917</v>
      </c>
      <c r="C579" s="42" t="s">
        <v>1918</v>
      </c>
      <c r="D579" s="42" t="s">
        <v>2130</v>
      </c>
      <c r="E579" s="42" t="s">
        <v>2131</v>
      </c>
      <c r="F579" s="42" t="s">
        <v>851</v>
      </c>
      <c r="G579" s="64"/>
      <c r="H579" s="21"/>
      <c r="I579" s="22"/>
    </row>
    <row r="580" spans="8:8" s="16" ht="16.5" customFormat="1">
      <c r="A580" s="64"/>
      <c r="B580" s="42" t="s">
        <v>2132</v>
      </c>
      <c r="C580" s="42" t="s">
        <v>2133</v>
      </c>
      <c r="D580" s="42" t="s">
        <v>2134</v>
      </c>
      <c r="E580" s="42" t="s">
        <v>2135</v>
      </c>
      <c r="F580" s="42" t="s">
        <v>851</v>
      </c>
      <c r="G580" s="64"/>
      <c r="H580" s="21"/>
      <c r="I580" s="22"/>
    </row>
    <row r="581" spans="8:8" s="16" ht="16.5" customFormat="1">
      <c r="A581" s="64"/>
      <c r="B581" s="42" t="s">
        <v>2136</v>
      </c>
      <c r="C581" s="42" t="s">
        <v>2137</v>
      </c>
      <c r="D581" s="42" t="s">
        <v>2138</v>
      </c>
      <c r="E581" s="42" t="s">
        <v>2139</v>
      </c>
      <c r="F581" s="42" t="s">
        <v>851</v>
      </c>
      <c r="G581" s="64"/>
      <c r="H581" s="21"/>
      <c r="I581" s="22"/>
    </row>
    <row r="582" spans="8:8" s="16" ht="16.5" customFormat="1">
      <c r="A582" s="64"/>
      <c r="B582" s="42" t="s">
        <v>2140</v>
      </c>
      <c r="C582" s="42" t="s">
        <v>2141</v>
      </c>
      <c r="D582" s="42" t="s">
        <v>2142</v>
      </c>
      <c r="E582" s="42" t="s">
        <v>2143</v>
      </c>
      <c r="F582" s="42" t="s">
        <v>851</v>
      </c>
      <c r="G582" s="64"/>
      <c r="H582" s="21"/>
      <c r="I582" s="22"/>
    </row>
    <row r="583" spans="8:8" s="16" ht="16.5" customFormat="1">
      <c r="A583" s="64"/>
      <c r="B583" s="42" t="s">
        <v>2144</v>
      </c>
      <c r="C583" s="42" t="s">
        <v>2145</v>
      </c>
      <c r="D583" s="42" t="s">
        <v>2146</v>
      </c>
      <c r="E583" s="42" t="s">
        <v>2147</v>
      </c>
      <c r="F583" s="42" t="s">
        <v>43</v>
      </c>
      <c r="G583" s="64"/>
      <c r="H583" s="21"/>
      <c r="I583" s="22"/>
    </row>
    <row r="584" spans="8:8" s="16" ht="16.5" customFormat="1">
      <c r="A584" s="64"/>
      <c r="B584" s="42" t="s">
        <v>2148</v>
      </c>
      <c r="C584" s="42" t="s">
        <v>2149</v>
      </c>
      <c r="D584" s="42" t="s">
        <v>2150</v>
      </c>
      <c r="E584" s="42" t="s">
        <v>2151</v>
      </c>
      <c r="F584" s="42" t="s">
        <v>123</v>
      </c>
      <c r="G584" s="64"/>
      <c r="H584" s="21"/>
      <c r="I584" s="22"/>
    </row>
    <row r="585" spans="8:8" s="16" ht="16.5" customFormat="1">
      <c r="A585" s="64"/>
      <c r="B585" s="42" t="s">
        <v>2152</v>
      </c>
      <c r="C585" s="42" t="s">
        <v>2153</v>
      </c>
      <c r="D585" s="42" t="s">
        <v>2154</v>
      </c>
      <c r="E585" s="42" t="s">
        <v>2155</v>
      </c>
      <c r="F585" s="42" t="s">
        <v>123</v>
      </c>
      <c r="G585" s="64"/>
      <c r="H585" s="21"/>
      <c r="I585" s="22"/>
    </row>
    <row r="586" spans="8:8" s="16" ht="16.5" customFormat="1">
      <c r="A586" s="64"/>
      <c r="B586" s="42" t="s">
        <v>2156</v>
      </c>
      <c r="C586" s="42" t="s">
        <v>2157</v>
      </c>
      <c r="D586" s="42" t="s">
        <v>2158</v>
      </c>
      <c r="E586" s="42" t="s">
        <v>2159</v>
      </c>
      <c r="F586" s="42" t="s">
        <v>851</v>
      </c>
      <c r="G586" s="64"/>
      <c r="H586" s="21"/>
      <c r="I586" s="22"/>
    </row>
    <row r="587" spans="8:8" s="16" ht="16.5" customFormat="1">
      <c r="A587" s="64"/>
      <c r="B587" s="42" t="s">
        <v>2160</v>
      </c>
      <c r="C587" s="42" t="s">
        <v>2161</v>
      </c>
      <c r="D587" s="42" t="s">
        <v>2162</v>
      </c>
      <c r="E587" s="42" t="s">
        <v>2163</v>
      </c>
      <c r="F587" s="42" t="s">
        <v>851</v>
      </c>
      <c r="G587" s="64"/>
      <c r="H587" s="21"/>
      <c r="I587" s="22"/>
    </row>
    <row r="588" spans="8:8" s="16" ht="16.5" customFormat="1">
      <c r="A588" s="64"/>
      <c r="B588" s="66" t="s">
        <v>906</v>
      </c>
      <c r="C588" s="66" t="s">
        <v>906</v>
      </c>
      <c r="D588" s="67" t="s">
        <v>1404</v>
      </c>
      <c r="E588" s="66" t="s">
        <v>906</v>
      </c>
      <c r="F588" s="66" t="s">
        <v>906</v>
      </c>
      <c r="G588" s="64"/>
      <c r="H588" s="21"/>
      <c r="I588" s="22"/>
    </row>
    <row r="589" spans="8:8" s="16" ht="16.5" customFormat="1">
      <c r="A589" s="64"/>
      <c r="B589" s="42" t="s">
        <v>2164</v>
      </c>
      <c r="C589" s="42" t="s">
        <v>1799</v>
      </c>
      <c r="D589" s="42" t="s">
        <v>1799</v>
      </c>
      <c r="E589" s="42" t="s">
        <v>2165</v>
      </c>
      <c r="F589" s="42" t="s">
        <v>1105</v>
      </c>
      <c r="G589" s="64"/>
      <c r="H589" s="21"/>
      <c r="I589" s="22"/>
    </row>
    <row r="590" spans="8:8" s="16" ht="16.5" customFormat="1">
      <c r="A590" s="64"/>
      <c r="B590" s="42" t="s">
        <v>2166</v>
      </c>
      <c r="C590" s="42" t="s">
        <v>2167</v>
      </c>
      <c r="D590" s="42" t="s">
        <v>2168</v>
      </c>
      <c r="E590" s="42" t="s">
        <v>2169</v>
      </c>
      <c r="F590" s="42" t="s">
        <v>819</v>
      </c>
      <c r="G590" s="64"/>
      <c r="H590" s="21"/>
      <c r="I590" s="22"/>
    </row>
    <row r="591" spans="8:8" s="16" ht="16.5" customFormat="1">
      <c r="A591" s="64"/>
      <c r="B591" s="42" t="s">
        <v>2170</v>
      </c>
      <c r="C591" s="42" t="s">
        <v>2171</v>
      </c>
      <c r="D591" s="42" t="s">
        <v>2172</v>
      </c>
      <c r="E591" s="42" t="s">
        <v>2173</v>
      </c>
      <c r="F591" s="42" t="s">
        <v>819</v>
      </c>
      <c r="G591" s="64"/>
      <c r="H591" s="21"/>
      <c r="I591" s="22"/>
    </row>
    <row r="592" spans="8:8" s="16" ht="16.5" customFormat="1">
      <c r="A592" s="64"/>
      <c r="B592" s="42" t="s">
        <v>2174</v>
      </c>
      <c r="C592" s="42" t="s">
        <v>2175</v>
      </c>
      <c r="D592" s="42" t="s">
        <v>2176</v>
      </c>
      <c r="E592" s="42" t="s">
        <v>2177</v>
      </c>
      <c r="F592" s="42" t="s">
        <v>123</v>
      </c>
      <c r="G592" s="64"/>
      <c r="H592" s="21"/>
      <c r="I592" s="22"/>
    </row>
    <row r="593" spans="8:8" s="16" ht="16.5" customFormat="1">
      <c r="A593" s="64"/>
      <c r="B593" s="42" t="s">
        <v>2178</v>
      </c>
      <c r="C593" s="42" t="s">
        <v>2179</v>
      </c>
      <c r="D593" s="42" t="s">
        <v>2180</v>
      </c>
      <c r="E593" s="42" t="s">
        <v>2181</v>
      </c>
      <c r="F593" s="42" t="s">
        <v>819</v>
      </c>
      <c r="G593" s="64"/>
      <c r="H593" s="21"/>
      <c r="I593" s="22"/>
    </row>
    <row r="594" spans="8:8" s="16" ht="16.5" customFormat="1">
      <c r="A594" s="64"/>
      <c r="B594" s="42" t="s">
        <v>2182</v>
      </c>
      <c r="C594" s="42" t="s">
        <v>2183</v>
      </c>
      <c r="D594" s="42" t="s">
        <v>2184</v>
      </c>
      <c r="E594" s="42" t="s">
        <v>2185</v>
      </c>
      <c r="F594" s="42" t="s">
        <v>819</v>
      </c>
      <c r="G594" s="64"/>
      <c r="H594" s="21"/>
      <c r="I594" s="22"/>
    </row>
    <row r="595" spans="8:8" s="16" ht="16.5" customFormat="1">
      <c r="A595" s="64"/>
      <c r="B595" s="42" t="s">
        <v>2186</v>
      </c>
      <c r="C595" s="42" t="s">
        <v>2187</v>
      </c>
      <c r="D595" s="42" t="s">
        <v>2188</v>
      </c>
      <c r="E595" s="42" t="s">
        <v>2189</v>
      </c>
      <c r="F595" s="42" t="s">
        <v>819</v>
      </c>
      <c r="G595" s="64"/>
      <c r="H595" s="21"/>
      <c r="I595" s="22"/>
    </row>
    <row r="596" spans="8:8" s="16" ht="16.5" customFormat="1">
      <c r="A596" s="64"/>
      <c r="B596" s="42" t="s">
        <v>2190</v>
      </c>
      <c r="C596" s="42" t="s">
        <v>2191</v>
      </c>
      <c r="D596" s="42" t="s">
        <v>2192</v>
      </c>
      <c r="E596" s="42" t="s">
        <v>2193</v>
      </c>
      <c r="F596" s="42" t="s">
        <v>819</v>
      </c>
      <c r="G596" s="64"/>
      <c r="H596" s="21"/>
      <c r="I596" s="22"/>
    </row>
    <row r="597" spans="8:8" s="16" ht="16.5" customFormat="1">
      <c r="A597" s="64"/>
      <c r="B597" s="42" t="s">
        <v>2194</v>
      </c>
      <c r="C597" s="42" t="s">
        <v>2195</v>
      </c>
      <c r="D597" s="42" t="s">
        <v>2196</v>
      </c>
      <c r="E597" s="42" t="s">
        <v>2197</v>
      </c>
      <c r="F597" s="42" t="s">
        <v>851</v>
      </c>
      <c r="G597" s="64"/>
      <c r="H597" s="21"/>
      <c r="I597" s="22"/>
    </row>
    <row r="598" spans="8:8" s="16" ht="16.5" customFormat="1">
      <c r="A598" s="64"/>
      <c r="B598" s="42" t="s">
        <v>1937</v>
      </c>
      <c r="C598" s="42" t="s">
        <v>2198</v>
      </c>
      <c r="D598" s="42" t="s">
        <v>2199</v>
      </c>
      <c r="E598" s="42" t="s">
        <v>2200</v>
      </c>
      <c r="F598" s="42" t="s">
        <v>851</v>
      </c>
      <c r="G598" s="64"/>
      <c r="H598" s="21"/>
      <c r="I598" s="22"/>
    </row>
    <row r="599" spans="8:8" s="16" ht="16.5" customFormat="1">
      <c r="A599" s="64"/>
      <c r="B599" s="42" t="s">
        <v>2201</v>
      </c>
      <c r="C599" s="42" t="s">
        <v>2202</v>
      </c>
      <c r="D599" s="42" t="s">
        <v>2203</v>
      </c>
      <c r="E599" s="42" t="s">
        <v>2204</v>
      </c>
      <c r="F599" s="42" t="s">
        <v>851</v>
      </c>
      <c r="G599" s="64"/>
      <c r="H599" s="21"/>
      <c r="I599" s="22"/>
    </row>
    <row r="600" spans="8:8" s="16" ht="16.5" customFormat="1">
      <c r="A600" s="64"/>
      <c r="B600" s="42" t="s">
        <v>2205</v>
      </c>
      <c r="C600" s="42" t="s">
        <v>2206</v>
      </c>
      <c r="D600" s="42" t="s">
        <v>2207</v>
      </c>
      <c r="E600" s="42" t="s">
        <v>2208</v>
      </c>
      <c r="F600" s="42" t="s">
        <v>123</v>
      </c>
      <c r="G600" s="64"/>
      <c r="H600" s="21"/>
      <c r="I600" s="22"/>
    </row>
    <row r="601" spans="8:8" s="16" ht="16.5" customFormat="1">
      <c r="A601" s="64"/>
      <c r="B601" s="42" t="s">
        <v>2209</v>
      </c>
      <c r="C601" s="42" t="s">
        <v>2210</v>
      </c>
      <c r="D601" s="42" t="s">
        <v>2211</v>
      </c>
      <c r="E601" s="42" t="s">
        <v>2212</v>
      </c>
      <c r="F601" s="42" t="s">
        <v>123</v>
      </c>
      <c r="G601" s="64"/>
      <c r="H601" s="21"/>
      <c r="I601" s="22"/>
    </row>
    <row r="602" spans="8:8" s="16" ht="16.5" customFormat="1">
      <c r="A602" s="64"/>
      <c r="B602" s="42" t="s">
        <v>2213</v>
      </c>
      <c r="C602" s="42" t="s">
        <v>2214</v>
      </c>
      <c r="D602" s="42" t="s">
        <v>2215</v>
      </c>
      <c r="E602" s="42" t="s">
        <v>2216</v>
      </c>
      <c r="F602" s="42" t="s">
        <v>123</v>
      </c>
      <c r="G602" s="64"/>
      <c r="H602" s="21"/>
      <c r="I602" s="22"/>
    </row>
    <row r="603" spans="8:8" s="16" ht="16.5" customFormat="1">
      <c r="A603" s="64"/>
      <c r="B603" s="42" t="s">
        <v>2217</v>
      </c>
      <c r="C603" s="42" t="s">
        <v>2218</v>
      </c>
      <c r="D603" s="42" t="s">
        <v>2219</v>
      </c>
      <c r="E603" s="42" t="s">
        <v>2220</v>
      </c>
      <c r="F603" s="42" t="s">
        <v>123</v>
      </c>
      <c r="G603" s="64"/>
      <c r="H603" s="21"/>
      <c r="I603" s="22"/>
    </row>
    <row r="604" spans="8:8" s="16" ht="16.5" customFormat="1">
      <c r="A604" s="64"/>
      <c r="B604" s="42" t="s">
        <v>2221</v>
      </c>
      <c r="C604" s="42" t="s">
        <v>2222</v>
      </c>
      <c r="D604" s="42" t="s">
        <v>2223</v>
      </c>
      <c r="E604" s="42" t="s">
        <v>2224</v>
      </c>
      <c r="F604" s="42" t="s">
        <v>851</v>
      </c>
      <c r="G604" s="64"/>
      <c r="H604" s="21"/>
      <c r="I604" s="22"/>
    </row>
    <row r="605" spans="8:8" s="16" ht="16.5" customFormat="1">
      <c r="A605" s="64"/>
      <c r="B605" s="42" t="s">
        <v>2225</v>
      </c>
      <c r="C605" s="42" t="s">
        <v>974</v>
      </c>
      <c r="D605" s="42" t="s">
        <v>2226</v>
      </c>
      <c r="E605" s="42" t="s">
        <v>2227</v>
      </c>
      <c r="F605" s="42" t="s">
        <v>123</v>
      </c>
      <c r="G605" s="64"/>
      <c r="H605" s="21"/>
      <c r="I605" s="22"/>
    </row>
    <row r="606" spans="8:8" s="16" ht="16.5" customFormat="1">
      <c r="A606" s="64"/>
      <c r="B606" s="42" t="s">
        <v>2228</v>
      </c>
      <c r="C606" s="42" t="s">
        <v>2229</v>
      </c>
      <c r="D606" s="42" t="s">
        <v>2230</v>
      </c>
      <c r="E606" s="42" t="s">
        <v>2231</v>
      </c>
      <c r="F606" s="42" t="s">
        <v>851</v>
      </c>
      <c r="G606" s="64"/>
      <c r="H606" s="21"/>
      <c r="I606" s="22"/>
    </row>
    <row r="607" spans="8:8" s="16" ht="16.5" customFormat="1">
      <c r="A607" s="64"/>
      <c r="B607" s="42" t="s">
        <v>2232</v>
      </c>
      <c r="C607" s="42" t="s">
        <v>2233</v>
      </c>
      <c r="D607" s="42" t="s">
        <v>2234</v>
      </c>
      <c r="E607" s="42" t="s">
        <v>2235</v>
      </c>
      <c r="F607" s="42" t="s">
        <v>123</v>
      </c>
      <c r="G607" s="64"/>
      <c r="H607" s="21"/>
      <c r="I607" s="22"/>
    </row>
    <row r="608" spans="8:8" s="16" ht="16.5" customFormat="1">
      <c r="A608" s="64"/>
      <c r="B608" s="42" t="s">
        <v>2236</v>
      </c>
      <c r="C608" s="42" t="s">
        <v>2237</v>
      </c>
      <c r="D608" s="42" t="s">
        <v>2238</v>
      </c>
      <c r="E608" s="42" t="s">
        <v>2239</v>
      </c>
      <c r="F608" s="42" t="s">
        <v>123</v>
      </c>
      <c r="G608" s="64"/>
      <c r="H608" s="21"/>
      <c r="I608" s="22"/>
    </row>
    <row r="609" spans="8:8" s="16" ht="16.5" customFormat="1">
      <c r="A609" s="64"/>
      <c r="B609" s="42" t="s">
        <v>2240</v>
      </c>
      <c r="C609" s="42" t="s">
        <v>2241</v>
      </c>
      <c r="D609" s="42" t="s">
        <v>2242</v>
      </c>
      <c r="E609" s="42" t="s">
        <v>2243</v>
      </c>
      <c r="F609" s="42" t="s">
        <v>123</v>
      </c>
      <c r="G609" s="64"/>
      <c r="H609" s="21"/>
      <c r="I609" s="22"/>
    </row>
    <row r="610" spans="8:8" s="16" ht="16.5" customFormat="1">
      <c r="A610" s="64"/>
      <c r="B610" s="42" t="s">
        <v>2244</v>
      </c>
      <c r="C610" s="42" t="s">
        <v>2245</v>
      </c>
      <c r="D610" s="42" t="s">
        <v>2246</v>
      </c>
      <c r="E610" s="42" t="s">
        <v>2247</v>
      </c>
      <c r="F610" s="42" t="s">
        <v>123</v>
      </c>
      <c r="G610" s="64"/>
      <c r="H610" s="21"/>
      <c r="I610" s="22"/>
    </row>
    <row r="611" spans="8:8" s="16" ht="16.5" customFormat="1">
      <c r="A611" s="64"/>
      <c r="B611" s="42" t="s">
        <v>2248</v>
      </c>
      <c r="C611" s="42" t="s">
        <v>2249</v>
      </c>
      <c r="D611" s="42" t="s">
        <v>2250</v>
      </c>
      <c r="E611" s="42" t="s">
        <v>2251</v>
      </c>
      <c r="F611" s="42" t="s">
        <v>851</v>
      </c>
      <c r="G611" s="64"/>
      <c r="H611" s="21"/>
      <c r="I611" s="22"/>
    </row>
    <row r="612" spans="8:8" s="16" ht="16.5" customFormat="1">
      <c r="A612" s="64"/>
      <c r="B612" s="42"/>
      <c r="C612" s="42"/>
      <c r="D612" s="42"/>
      <c r="E612" s="42"/>
      <c r="F612" s="42"/>
      <c r="G612" s="64"/>
      <c r="H612" s="21"/>
      <c r="I612" s="22"/>
    </row>
    <row r="613" spans="8:8" s="9" ht="29.25" customFormat="1">
      <c r="A613" s="68"/>
      <c r="B613" s="69" t="s">
        <v>2252</v>
      </c>
      <c r="C613" s="69" t="s">
        <v>812</v>
      </c>
      <c r="D613" s="69" t="s">
        <v>2253</v>
      </c>
      <c r="E613" s="69" t="s">
        <v>2254</v>
      </c>
      <c r="F613" s="69"/>
      <c r="G613" s="68"/>
      <c r="H613" s="14"/>
      <c r="I613" s="15"/>
    </row>
    <row r="614" spans="8:8" s="9" ht="29.25" customFormat="1">
      <c r="A614" s="68"/>
      <c r="B614" s="69" t="s">
        <v>814</v>
      </c>
      <c r="C614" s="69" t="s">
        <v>815</v>
      </c>
      <c r="D614" s="69" t="s">
        <v>816</v>
      </c>
      <c r="E614" s="69" t="s">
        <v>817</v>
      </c>
      <c r="F614" s="69" t="s">
        <v>818</v>
      </c>
      <c r="G614" s="68"/>
      <c r="H614" s="14"/>
      <c r="I614" s="15"/>
    </row>
    <row r="615" spans="8:8" s="16" ht="17.75" customFormat="1" customHeight="1">
      <c r="A615" s="70"/>
      <c r="B615" s="42" t="s">
        <v>1204</v>
      </c>
      <c r="C615" s="42" t="s">
        <v>6070</v>
      </c>
      <c r="D615" s="42" t="s">
        <v>2255</v>
      </c>
      <c r="E615" s="42" t="s">
        <v>1207</v>
      </c>
      <c r="F615" s="42" t="s">
        <v>851</v>
      </c>
      <c r="G615" s="70"/>
      <c r="H615" s="21"/>
      <c r="I615" s="22"/>
    </row>
    <row r="616" spans="8:8" s="16" ht="16.8" customFormat="1" customHeight="1">
      <c r="A616" s="70"/>
      <c r="B616" s="42" t="s">
        <v>1208</v>
      </c>
      <c r="C616" s="42" t="s">
        <v>6082</v>
      </c>
      <c r="D616" s="42" t="s">
        <v>2256</v>
      </c>
      <c r="E616" s="42" t="s">
        <v>2098</v>
      </c>
      <c r="F616" s="42" t="s">
        <v>851</v>
      </c>
      <c r="G616" s="70"/>
      <c r="H616" s="21"/>
      <c r="I616" s="22"/>
    </row>
    <row r="617" spans="8:8" s="16" ht="16.5" customFormat="1">
      <c r="A617" s="70"/>
      <c r="B617" s="42" t="s">
        <v>1212</v>
      </c>
      <c r="C617" s="42" t="s">
        <v>2257</v>
      </c>
      <c r="D617" s="42" t="s">
        <v>2258</v>
      </c>
      <c r="E617" s="42" t="s">
        <v>2259</v>
      </c>
      <c r="F617" s="42" t="s">
        <v>851</v>
      </c>
      <c r="G617" s="70"/>
      <c r="H617" s="21"/>
      <c r="I617" s="22"/>
    </row>
    <row r="618" spans="8:8" s="16" ht="16.5" customFormat="1">
      <c r="A618" s="70"/>
      <c r="B618" s="42" t="s">
        <v>2260</v>
      </c>
      <c r="C618" s="42" t="s">
        <v>2261</v>
      </c>
      <c r="D618" s="42" t="s">
        <v>2262</v>
      </c>
      <c r="E618" s="42" t="s">
        <v>2263</v>
      </c>
      <c r="F618" s="42" t="s">
        <v>123</v>
      </c>
      <c r="G618" s="70"/>
      <c r="H618" s="21"/>
      <c r="I618" s="22"/>
    </row>
    <row r="619" spans="8:8" s="16" ht="16.5" customFormat="1">
      <c r="A619" s="70"/>
      <c r="B619" s="42" t="s">
        <v>1259</v>
      </c>
      <c r="C619" s="42" t="s">
        <v>2264</v>
      </c>
      <c r="D619" s="42" t="s">
        <v>1261</v>
      </c>
      <c r="E619" s="42" t="s">
        <v>2265</v>
      </c>
      <c r="F619" s="42" t="s">
        <v>43</v>
      </c>
      <c r="G619" s="70"/>
      <c r="H619" s="21"/>
      <c r="I619" s="22"/>
    </row>
    <row r="620" spans="8:8" s="16" ht="16.5" customFormat="1">
      <c r="A620" s="70"/>
      <c r="B620" s="42" t="s">
        <v>1263</v>
      </c>
      <c r="C620" s="42" t="s">
        <v>2266</v>
      </c>
      <c r="D620" s="42" t="s">
        <v>2267</v>
      </c>
      <c r="E620" s="42" t="s">
        <v>1266</v>
      </c>
      <c r="F620" s="42" t="s">
        <v>851</v>
      </c>
      <c r="G620" s="70"/>
      <c r="H620" s="21"/>
      <c r="I620" s="22"/>
    </row>
    <row r="621" spans="8:8" s="16" ht="16.5" customFormat="1">
      <c r="A621" s="70"/>
      <c r="B621" s="42" t="s">
        <v>852</v>
      </c>
      <c r="C621" s="42" t="s">
        <v>2268</v>
      </c>
      <c r="D621" s="42" t="s">
        <v>2269</v>
      </c>
      <c r="E621" s="42" t="s">
        <v>2270</v>
      </c>
      <c r="F621" s="42" t="s">
        <v>123</v>
      </c>
      <c r="G621" s="70"/>
      <c r="H621" s="21"/>
      <c r="I621" s="22"/>
    </row>
    <row r="622" spans="8:8" s="16" ht="16.5" customFormat="1">
      <c r="A622" s="70"/>
      <c r="B622" s="42" t="s">
        <v>2271</v>
      </c>
      <c r="C622" s="42" t="s">
        <v>2272</v>
      </c>
      <c r="D622" s="42" t="s">
        <v>2273</v>
      </c>
      <c r="E622" s="42" t="s">
        <v>2274</v>
      </c>
      <c r="F622" s="42" t="s">
        <v>1521</v>
      </c>
      <c r="G622" s="70"/>
      <c r="H622" s="21"/>
      <c r="I622" s="22"/>
    </row>
    <row r="623" spans="8:8" s="16" ht="16.5" customFormat="1">
      <c r="A623" s="70"/>
      <c r="B623" s="42" t="s">
        <v>2275</v>
      </c>
      <c r="C623" s="42" t="s">
        <v>2276</v>
      </c>
      <c r="D623" s="42" t="s">
        <v>2277</v>
      </c>
      <c r="E623" s="42" t="s">
        <v>2278</v>
      </c>
      <c r="F623" s="42" t="s">
        <v>123</v>
      </c>
      <c r="G623" s="70"/>
      <c r="H623" s="21"/>
      <c r="I623" s="22"/>
    </row>
    <row r="624" spans="8:8" s="16" ht="16.5" customFormat="1">
      <c r="A624" s="70"/>
      <c r="B624" s="42" t="s">
        <v>2279</v>
      </c>
      <c r="C624" s="42" t="s">
        <v>2280</v>
      </c>
      <c r="D624" s="42" t="s">
        <v>2281</v>
      </c>
      <c r="E624" s="42" t="s">
        <v>2282</v>
      </c>
      <c r="F624" s="42" t="s">
        <v>123</v>
      </c>
      <c r="G624" s="70"/>
      <c r="H624" s="21"/>
      <c r="I624" s="22"/>
    </row>
    <row r="625" spans="8:8" s="16" ht="16.5" customFormat="1">
      <c r="A625" s="70"/>
      <c r="B625" s="71" t="s">
        <v>2283</v>
      </c>
      <c r="C625" s="71" t="s">
        <v>2284</v>
      </c>
      <c r="D625" s="71" t="s">
        <v>2285</v>
      </c>
      <c r="E625" s="71" t="s">
        <v>2286</v>
      </c>
      <c r="F625" s="71" t="s">
        <v>123</v>
      </c>
      <c r="G625" s="70"/>
      <c r="H625" s="72"/>
      <c r="I625" s="72"/>
      <c r="J625" s="73"/>
      <c r="K625" s="73"/>
      <c r="L625" s="73"/>
      <c r="M625" s="73"/>
      <c r="N625" s="73"/>
      <c r="O625" s="73"/>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c r="BI625" s="73"/>
      <c r="BJ625" s="73"/>
      <c r="BK625" s="73"/>
      <c r="BL625" s="73"/>
      <c r="BM625" s="73"/>
      <c r="BN625" s="73"/>
      <c r="BO625" s="73"/>
      <c r="BP625" s="73"/>
      <c r="BQ625" s="73"/>
      <c r="BR625" s="73"/>
      <c r="BS625" s="73"/>
      <c r="BT625" s="73"/>
      <c r="BU625" s="73"/>
    </row>
    <row r="626" spans="8:8" s="16" ht="16.5" customFormat="1">
      <c r="A626" s="70"/>
      <c r="B626" s="42" t="s">
        <v>2287</v>
      </c>
      <c r="C626" s="42" t="s">
        <v>2288</v>
      </c>
      <c r="D626" s="42" t="s">
        <v>2289</v>
      </c>
      <c r="E626" s="42" t="s">
        <v>2290</v>
      </c>
      <c r="F626" s="42" t="s">
        <v>123</v>
      </c>
      <c r="G626" s="70"/>
      <c r="H626" s="21"/>
      <c r="I626" s="22"/>
    </row>
    <row r="627" spans="8:8" s="16" ht="16.5" customFormat="1">
      <c r="A627" s="70"/>
      <c r="B627" s="42" t="s">
        <v>2291</v>
      </c>
      <c r="C627" s="42" t="s">
        <v>2292</v>
      </c>
      <c r="D627" s="42" t="s">
        <v>2293</v>
      </c>
      <c r="E627" s="42" t="s">
        <v>2294</v>
      </c>
      <c r="F627" s="42" t="s">
        <v>123</v>
      </c>
      <c r="G627" s="70"/>
      <c r="H627" s="21"/>
      <c r="I627" s="22"/>
    </row>
    <row r="628" spans="8:8" s="16" ht="16.5" customFormat="1">
      <c r="A628" s="70"/>
      <c r="B628" s="42" t="s">
        <v>2295</v>
      </c>
      <c r="C628" s="42" t="s">
        <v>2296</v>
      </c>
      <c r="D628" s="42" t="s">
        <v>2297</v>
      </c>
      <c r="E628" s="42" t="s">
        <v>2298</v>
      </c>
      <c r="F628" s="42" t="s">
        <v>123</v>
      </c>
      <c r="G628" s="70"/>
      <c r="H628" s="21"/>
      <c r="I628" s="22"/>
    </row>
    <row r="629" spans="8:8" s="16" ht="16.5" customFormat="1">
      <c r="A629" s="70"/>
      <c r="B629" s="42" t="s">
        <v>2299</v>
      </c>
      <c r="C629" s="42" t="s">
        <v>2300</v>
      </c>
      <c r="D629" s="42" t="s">
        <v>2301</v>
      </c>
      <c r="E629" s="42" t="s">
        <v>2302</v>
      </c>
      <c r="F629" s="42" t="s">
        <v>123</v>
      </c>
      <c r="G629" s="70"/>
      <c r="H629" s="21"/>
      <c r="I629" s="22"/>
    </row>
    <row r="630" spans="8:8" s="16" ht="16.5" customFormat="1">
      <c r="A630" s="70"/>
      <c r="B630" s="42" t="s">
        <v>2164</v>
      </c>
      <c r="C630" s="42" t="s">
        <v>1799</v>
      </c>
      <c r="D630" s="42" t="s">
        <v>2303</v>
      </c>
      <c r="E630" s="42" t="s">
        <v>2304</v>
      </c>
      <c r="F630" s="42" t="s">
        <v>123</v>
      </c>
      <c r="G630" s="70"/>
      <c r="H630" s="21"/>
      <c r="I630" s="22"/>
    </row>
    <row r="631" spans="8:8" s="16" ht="16.5" customFormat="1">
      <c r="A631" s="70"/>
      <c r="B631" s="42" t="s">
        <v>2305</v>
      </c>
      <c r="C631" s="42" t="s">
        <v>2306</v>
      </c>
      <c r="D631" s="42" t="s">
        <v>2307</v>
      </c>
      <c r="E631" s="42" t="s">
        <v>2308</v>
      </c>
      <c r="F631" s="42" t="s">
        <v>123</v>
      </c>
      <c r="G631" s="70"/>
      <c r="H631" s="21"/>
      <c r="I631" s="22"/>
    </row>
    <row r="632" spans="8:8" s="16" ht="16.5" customFormat="1">
      <c r="A632" s="70"/>
      <c r="B632" s="42" t="s">
        <v>2309</v>
      </c>
      <c r="C632" s="42" t="s">
        <v>2310</v>
      </c>
      <c r="D632" s="42" t="s">
        <v>2311</v>
      </c>
      <c r="E632" s="42" t="s">
        <v>2312</v>
      </c>
      <c r="F632" s="42" t="s">
        <v>123</v>
      </c>
      <c r="G632" s="70"/>
      <c r="H632" s="21"/>
      <c r="I632" s="22"/>
    </row>
    <row r="633" spans="8:8" s="16" ht="16.5" customFormat="1">
      <c r="A633" s="70"/>
      <c r="B633" s="42" t="s">
        <v>2313</v>
      </c>
      <c r="C633" s="42" t="s">
        <v>2314</v>
      </c>
      <c r="D633" s="42" t="s">
        <v>2315</v>
      </c>
      <c r="E633" s="42" t="s">
        <v>2316</v>
      </c>
      <c r="F633" s="42" t="s">
        <v>123</v>
      </c>
      <c r="G633" s="70"/>
      <c r="H633" s="21"/>
      <c r="I633" s="22"/>
    </row>
    <row r="634" spans="8:8" s="16" ht="16.5" customFormat="1">
      <c r="A634" s="70"/>
      <c r="B634" s="42" t="s">
        <v>2317</v>
      </c>
      <c r="C634" s="42" t="s">
        <v>2318</v>
      </c>
      <c r="D634" s="42" t="s">
        <v>2319</v>
      </c>
      <c r="E634" s="42" t="s">
        <v>2320</v>
      </c>
      <c r="F634" s="42" t="s">
        <v>123</v>
      </c>
      <c r="G634" s="70"/>
      <c r="H634" s="21"/>
      <c r="I634" s="22"/>
    </row>
    <row r="635" spans="8:8" s="16" ht="16.5" customFormat="1">
      <c r="A635" s="70"/>
      <c r="B635" s="42" t="s">
        <v>2321</v>
      </c>
      <c r="C635" s="42" t="s">
        <v>2322</v>
      </c>
      <c r="D635" s="42" t="s">
        <v>2323</v>
      </c>
      <c r="E635" s="42" t="s">
        <v>2324</v>
      </c>
      <c r="F635" s="42" t="s">
        <v>123</v>
      </c>
      <c r="G635" s="70"/>
      <c r="H635" s="21"/>
      <c r="I635" s="22"/>
    </row>
    <row r="636" spans="8:8" s="16" ht="16.5" customFormat="1">
      <c r="A636" s="70"/>
      <c r="B636" s="42" t="s">
        <v>2325</v>
      </c>
      <c r="C636" s="42" t="s">
        <v>2326</v>
      </c>
      <c r="D636" s="42" t="s">
        <v>2327</v>
      </c>
      <c r="E636" s="42" t="s">
        <v>2328</v>
      </c>
      <c r="F636" s="42" t="s">
        <v>123</v>
      </c>
      <c r="G636" s="70"/>
      <c r="H636" s="21"/>
      <c r="I636" s="22"/>
    </row>
    <row r="637" spans="8:8" s="16" ht="16.5" customFormat="1">
      <c r="A637" s="70"/>
      <c r="B637" s="42" t="s">
        <v>2329</v>
      </c>
      <c r="C637" s="42" t="s">
        <v>2330</v>
      </c>
      <c r="D637" s="42" t="s">
        <v>2331</v>
      </c>
      <c r="E637" s="42" t="s">
        <v>2332</v>
      </c>
      <c r="F637" s="42" t="s">
        <v>123</v>
      </c>
      <c r="G637" s="70"/>
      <c r="H637" s="21"/>
      <c r="I637" s="22"/>
    </row>
    <row r="638" spans="8:8" s="16" ht="16.5" customFormat="1">
      <c r="A638" s="70"/>
      <c r="B638" s="42" t="s">
        <v>2333</v>
      </c>
      <c r="C638" s="42" t="s">
        <v>2334</v>
      </c>
      <c r="D638" s="42" t="s">
        <v>2335</v>
      </c>
      <c r="E638" s="42" t="s">
        <v>2336</v>
      </c>
      <c r="F638" s="42" t="s">
        <v>123</v>
      </c>
      <c r="G638" s="70"/>
      <c r="H638" s="21"/>
      <c r="I638" s="22"/>
    </row>
    <row r="639" spans="8:8" s="16" ht="16.5" customFormat="1">
      <c r="A639" s="70"/>
      <c r="B639" s="42" t="s">
        <v>2337</v>
      </c>
      <c r="C639" s="42" t="s">
        <v>2338</v>
      </c>
      <c r="D639" s="42" t="s">
        <v>2339</v>
      </c>
      <c r="E639" s="42" t="s">
        <v>2340</v>
      </c>
      <c r="F639" s="42" t="s">
        <v>123</v>
      </c>
      <c r="G639" s="70"/>
      <c r="H639" s="21"/>
      <c r="I639" s="22"/>
    </row>
    <row r="640" spans="8:8" s="16" ht="16.5" customFormat="1">
      <c r="A640" s="70"/>
      <c r="B640" s="42" t="s">
        <v>2341</v>
      </c>
      <c r="C640" s="42" t="s">
        <v>2342</v>
      </c>
      <c r="D640" s="42" t="s">
        <v>2343</v>
      </c>
      <c r="E640" s="42" t="s">
        <v>2344</v>
      </c>
      <c r="F640" s="42" t="s">
        <v>123</v>
      </c>
      <c r="G640" s="70"/>
      <c r="H640" s="21"/>
      <c r="I640" s="22"/>
    </row>
    <row r="641" spans="8:8" s="16" ht="16.5" customFormat="1">
      <c r="A641" s="70"/>
      <c r="B641" s="42" t="s">
        <v>2345</v>
      </c>
      <c r="C641" s="42" t="s">
        <v>2346</v>
      </c>
      <c r="D641" s="42" t="s">
        <v>2347</v>
      </c>
      <c r="E641" s="42" t="s">
        <v>2348</v>
      </c>
      <c r="F641" s="42" t="s">
        <v>123</v>
      </c>
      <c r="G641" s="70"/>
      <c r="H641" s="21"/>
      <c r="I641" s="22"/>
    </row>
    <row r="642" spans="8:8" s="16" ht="16.5" customFormat="1">
      <c r="A642" s="70"/>
      <c r="B642" s="42" t="s">
        <v>2349</v>
      </c>
      <c r="C642" s="42" t="s">
        <v>2350</v>
      </c>
      <c r="D642" s="42" t="s">
        <v>2351</v>
      </c>
      <c r="E642" s="42" t="s">
        <v>2352</v>
      </c>
      <c r="F642" s="42" t="s">
        <v>123</v>
      </c>
      <c r="G642" s="70"/>
      <c r="H642" s="21"/>
      <c r="I642" s="22"/>
    </row>
    <row r="643" spans="8:8" s="16" ht="16.5" customFormat="1">
      <c r="A643" s="70"/>
      <c r="B643" s="42" t="s">
        <v>1097</v>
      </c>
      <c r="C643" s="42" t="s">
        <v>2353</v>
      </c>
      <c r="D643" s="42" t="s">
        <v>2354</v>
      </c>
      <c r="E643" s="42" t="s">
        <v>1100</v>
      </c>
      <c r="F643" s="42" t="s">
        <v>123</v>
      </c>
      <c r="G643" s="70"/>
      <c r="H643" s="21"/>
      <c r="I643" s="22"/>
    </row>
    <row r="644" spans="8:8" s="16" ht="16.5" customFormat="1">
      <c r="A644" s="70"/>
      <c r="B644" s="42" t="s">
        <v>2355</v>
      </c>
      <c r="C644" s="42" t="s">
        <v>2356</v>
      </c>
      <c r="D644" s="42" t="s">
        <v>2357</v>
      </c>
      <c r="E644" s="42" t="s">
        <v>2358</v>
      </c>
      <c r="F644" s="42" t="s">
        <v>123</v>
      </c>
      <c r="G644" s="70"/>
      <c r="H644" s="21"/>
      <c r="I644" s="22"/>
    </row>
    <row r="645" spans="8:8" s="16" ht="16.5" customFormat="1">
      <c r="A645" s="70"/>
      <c r="B645" s="42" t="s">
        <v>2359</v>
      </c>
      <c r="C645" s="42" t="s">
        <v>2360</v>
      </c>
      <c r="D645" s="42" t="s">
        <v>2361</v>
      </c>
      <c r="E645" s="42" t="s">
        <v>2362</v>
      </c>
      <c r="F645" s="42" t="s">
        <v>123</v>
      </c>
      <c r="G645" s="70"/>
      <c r="H645" s="21"/>
      <c r="I645" s="22"/>
    </row>
    <row r="646" spans="8:8" s="16" ht="16.5" customFormat="1">
      <c r="A646" s="70"/>
      <c r="B646" s="42" t="s">
        <v>2363</v>
      </c>
      <c r="C646" s="42" t="s">
        <v>2364</v>
      </c>
      <c r="D646" s="42" t="s">
        <v>2365</v>
      </c>
      <c r="E646" s="42" t="s">
        <v>2366</v>
      </c>
      <c r="F646" s="42" t="s">
        <v>123</v>
      </c>
      <c r="G646" s="70"/>
      <c r="H646" s="21"/>
      <c r="I646" s="22"/>
    </row>
    <row r="647" spans="8:8" s="16" ht="16.5" customFormat="1">
      <c r="A647" s="70"/>
      <c r="B647" s="42" t="s">
        <v>2367</v>
      </c>
      <c r="C647" s="42" t="s">
        <v>2368</v>
      </c>
      <c r="D647" s="42" t="s">
        <v>2369</v>
      </c>
      <c r="E647" s="42" t="s">
        <v>2370</v>
      </c>
      <c r="F647" s="42" t="s">
        <v>1105</v>
      </c>
      <c r="G647" s="70"/>
      <c r="H647" s="21"/>
      <c r="I647" s="22"/>
    </row>
    <row r="648" spans="8:8" s="16" ht="16.5" customFormat="1">
      <c r="A648" s="70"/>
      <c r="B648" s="42" t="s">
        <v>2371</v>
      </c>
      <c r="C648" s="42" t="s">
        <v>2372</v>
      </c>
      <c r="D648" s="42" t="s">
        <v>2373</v>
      </c>
      <c r="E648" s="42" t="s">
        <v>2374</v>
      </c>
      <c r="F648" s="42" t="s">
        <v>123</v>
      </c>
      <c r="G648" s="70"/>
      <c r="H648" s="21"/>
      <c r="I648" s="22"/>
    </row>
    <row r="649" spans="8:8" s="16" ht="16.5" customFormat="1">
      <c r="A649" s="70"/>
      <c r="B649" s="42" t="s">
        <v>2375</v>
      </c>
      <c r="C649" s="42" t="s">
        <v>2376</v>
      </c>
      <c r="D649" s="42" t="s">
        <v>2377</v>
      </c>
      <c r="E649" s="42" t="s">
        <v>2378</v>
      </c>
      <c r="F649" s="42" t="s">
        <v>123</v>
      </c>
      <c r="G649" s="70"/>
      <c r="H649" s="21"/>
      <c r="I649" s="22"/>
    </row>
    <row r="650" spans="8:8" s="16" ht="16.5" customFormat="1">
      <c r="A650" s="70"/>
      <c r="B650" s="42" t="s">
        <v>2379</v>
      </c>
      <c r="C650" s="42" t="s">
        <v>2380</v>
      </c>
      <c r="D650" s="42" t="s">
        <v>2381</v>
      </c>
      <c r="E650" s="42" t="s">
        <v>2382</v>
      </c>
      <c r="F650" s="42" t="s">
        <v>123</v>
      </c>
      <c r="G650" s="70"/>
      <c r="H650" s="21"/>
      <c r="I650" s="22"/>
    </row>
    <row r="651" spans="8:8" s="16" ht="16.5" customFormat="1">
      <c r="A651" s="70"/>
      <c r="B651" s="42" t="s">
        <v>2383</v>
      </c>
      <c r="C651" s="42" t="s">
        <v>2384</v>
      </c>
      <c r="D651" s="42" t="s">
        <v>2385</v>
      </c>
      <c r="E651" s="42" t="s">
        <v>2386</v>
      </c>
      <c r="F651" s="42" t="s">
        <v>123</v>
      </c>
      <c r="G651" s="70"/>
      <c r="H651" s="21"/>
      <c r="I651" s="22"/>
    </row>
    <row r="652" spans="8:8" s="16" ht="16.5" customFormat="1">
      <c r="A652" s="70"/>
      <c r="B652" s="42"/>
      <c r="C652" s="42"/>
      <c r="D652" s="42"/>
      <c r="E652" s="42"/>
      <c r="F652" s="42"/>
      <c r="G652" s="70"/>
      <c r="H652" s="21"/>
      <c r="I652" s="22"/>
    </row>
    <row r="653" spans="8:8" s="9" ht="29.25" customFormat="1">
      <c r="A653" s="74"/>
      <c r="B653" s="75" t="s">
        <v>2387</v>
      </c>
      <c r="C653" s="75" t="s">
        <v>812</v>
      </c>
      <c r="D653" s="75" t="s">
        <v>2388</v>
      </c>
      <c r="E653" s="75" t="s">
        <v>2389</v>
      </c>
      <c r="F653" s="75"/>
      <c r="G653" s="74"/>
      <c r="H653" s="14"/>
      <c r="I653" s="15"/>
    </row>
    <row r="654" spans="8:8" s="9" ht="29.25" customFormat="1">
      <c r="A654" s="74"/>
      <c r="B654" s="75" t="s">
        <v>814</v>
      </c>
      <c r="C654" s="75" t="s">
        <v>815</v>
      </c>
      <c r="D654" s="75" t="s">
        <v>816</v>
      </c>
      <c r="E654" s="75" t="s">
        <v>817</v>
      </c>
      <c r="F654" s="75" t="s">
        <v>818</v>
      </c>
      <c r="G654" s="74"/>
      <c r="H654" s="14"/>
      <c r="I654" s="15"/>
    </row>
    <row r="655" spans="8:8" s="16" ht="16.5" customFormat="1">
      <c r="A655" s="76"/>
      <c r="B655" s="42" t="s">
        <v>1477</v>
      </c>
      <c r="C655" s="42" t="s">
        <v>2390</v>
      </c>
      <c r="D655" s="42" t="s">
        <v>2391</v>
      </c>
      <c r="E655" s="42" t="s">
        <v>2392</v>
      </c>
      <c r="F655" s="42" t="s">
        <v>851</v>
      </c>
      <c r="G655" s="76"/>
      <c r="H655" s="21"/>
      <c r="I655" s="22"/>
    </row>
    <row r="656" spans="8:8" s="16" ht="16.5" customFormat="1">
      <c r="A656" s="76"/>
      <c r="B656" s="42" t="s">
        <v>2393</v>
      </c>
      <c r="C656" s="42" t="s">
        <v>2394</v>
      </c>
      <c r="D656" s="42" t="s">
        <v>2395</v>
      </c>
      <c r="E656" s="42" t="s">
        <v>2396</v>
      </c>
      <c r="F656" s="42" t="s">
        <v>851</v>
      </c>
      <c r="G656" s="76"/>
      <c r="H656" s="21"/>
      <c r="I656" s="22"/>
    </row>
    <row r="657" spans="8:8" s="16" ht="16.5" customFormat="1">
      <c r="A657" s="76"/>
      <c r="B657" s="42" t="s">
        <v>2397</v>
      </c>
      <c r="C657" s="42" t="s">
        <v>2398</v>
      </c>
      <c r="D657" s="42" t="s">
        <v>2399</v>
      </c>
      <c r="E657" s="42" t="s">
        <v>2400</v>
      </c>
      <c r="F657" s="42" t="s">
        <v>2401</v>
      </c>
      <c r="G657" s="76"/>
      <c r="H657" s="21"/>
      <c r="I657" s="22"/>
    </row>
    <row r="658" spans="8:8" s="16" ht="16.5" customFormat="1">
      <c r="A658" s="76"/>
      <c r="B658" s="42" t="s">
        <v>2402</v>
      </c>
      <c r="C658" s="42" t="s">
        <v>2403</v>
      </c>
      <c r="D658" s="42" t="s">
        <v>2404</v>
      </c>
      <c r="E658" s="42" t="s">
        <v>2405</v>
      </c>
      <c r="F658" s="42" t="s">
        <v>2401</v>
      </c>
      <c r="G658" s="76"/>
      <c r="H658" s="21"/>
      <c r="I658" s="22"/>
    </row>
    <row r="659" spans="8:8" s="16" ht="16.5" customFormat="1">
      <c r="A659" s="76"/>
      <c r="B659" s="42" t="s">
        <v>2406</v>
      </c>
      <c r="C659" s="42" t="s">
        <v>2407</v>
      </c>
      <c r="D659" s="42" t="s">
        <v>2408</v>
      </c>
      <c r="E659" s="42" t="s">
        <v>2409</v>
      </c>
      <c r="F659" s="42" t="s">
        <v>2401</v>
      </c>
      <c r="G659" s="76"/>
      <c r="H659" s="21"/>
      <c r="I659" s="22"/>
    </row>
    <row r="660" spans="8:8" s="16" ht="16.5" customFormat="1">
      <c r="A660" s="76"/>
      <c r="B660" s="42" t="s">
        <v>2410</v>
      </c>
      <c r="C660" s="42" t="s">
        <v>2411</v>
      </c>
      <c r="D660" s="42" t="s">
        <v>2412</v>
      </c>
      <c r="E660" s="42" t="s">
        <v>2413</v>
      </c>
      <c r="F660" s="42" t="s">
        <v>2414</v>
      </c>
      <c r="G660" s="76"/>
      <c r="H660" s="21"/>
      <c r="I660" s="22"/>
    </row>
    <row r="661" spans="8:8" s="16" ht="16.5" customFormat="1">
      <c r="A661" s="76"/>
      <c r="B661" s="42" t="s">
        <v>2415</v>
      </c>
      <c r="C661" s="42" t="s">
        <v>2416</v>
      </c>
      <c r="D661" s="42" t="s">
        <v>2417</v>
      </c>
      <c r="E661" s="42" t="s">
        <v>2418</v>
      </c>
      <c r="F661" s="42" t="s">
        <v>123</v>
      </c>
      <c r="G661" s="76"/>
      <c r="H661" s="21"/>
      <c r="I661" s="22"/>
    </row>
    <row r="662" spans="8:8" s="16" ht="16.5" customFormat="1">
      <c r="A662" s="76"/>
      <c r="B662" s="42" t="s">
        <v>2419</v>
      </c>
      <c r="C662" s="42" t="s">
        <v>2420</v>
      </c>
      <c r="D662" s="42" t="s">
        <v>2421</v>
      </c>
      <c r="E662" s="42" t="s">
        <v>2422</v>
      </c>
      <c r="F662" s="42" t="s">
        <v>123</v>
      </c>
      <c r="G662" s="76"/>
      <c r="H662" s="21"/>
      <c r="I662" s="22"/>
    </row>
    <row r="663" spans="8:8" s="16" ht="16.5" customFormat="1">
      <c r="A663" s="76"/>
      <c r="B663" s="42" t="s">
        <v>2423</v>
      </c>
      <c r="C663" s="42" t="s">
        <v>2424</v>
      </c>
      <c r="D663" s="42" t="s">
        <v>2425</v>
      </c>
      <c r="E663" s="42" t="s">
        <v>2426</v>
      </c>
      <c r="F663" s="42" t="s">
        <v>123</v>
      </c>
      <c r="G663" s="76"/>
      <c r="H663" s="21"/>
      <c r="I663" s="22"/>
    </row>
    <row r="664" spans="8:8" s="16" ht="16.5" customFormat="1">
      <c r="A664" s="76"/>
      <c r="B664" s="42" t="s">
        <v>2427</v>
      </c>
      <c r="C664" s="42" t="s">
        <v>2428</v>
      </c>
      <c r="D664" s="42" t="s">
        <v>2429</v>
      </c>
      <c r="E664" s="42" t="s">
        <v>2430</v>
      </c>
      <c r="F664" s="42" t="s">
        <v>123</v>
      </c>
      <c r="G664" s="76"/>
      <c r="H664" s="21"/>
      <c r="I664" s="22"/>
    </row>
    <row r="665" spans="8:8" s="16" ht="16.5" customFormat="1">
      <c r="A665" s="76"/>
      <c r="B665" s="42" t="s">
        <v>2431</v>
      </c>
      <c r="C665" s="42" t="s">
        <v>2432</v>
      </c>
      <c r="D665" s="42" t="s">
        <v>2433</v>
      </c>
      <c r="E665" s="42" t="s">
        <v>2434</v>
      </c>
      <c r="F665" s="42" t="s">
        <v>851</v>
      </c>
      <c r="G665" s="76"/>
      <c r="H665" s="21"/>
      <c r="I665" s="22"/>
    </row>
    <row r="666" spans="8:8" s="16" ht="16.5" customFormat="1">
      <c r="A666" s="76"/>
      <c r="B666" s="42" t="s">
        <v>2435</v>
      </c>
      <c r="C666" s="42" t="s">
        <v>2436</v>
      </c>
      <c r="D666" s="42" t="s">
        <v>2437</v>
      </c>
      <c r="E666" s="42" t="s">
        <v>2438</v>
      </c>
      <c r="F666" s="42" t="s">
        <v>123</v>
      </c>
      <c r="G666" s="76"/>
      <c r="H666" s="21"/>
      <c r="I666" s="22"/>
    </row>
    <row r="667" spans="8:8" s="16" ht="16.5" customFormat="1">
      <c r="A667" s="76"/>
      <c r="B667" s="42" t="s">
        <v>1481</v>
      </c>
      <c r="C667" s="42" t="s">
        <v>2440</v>
      </c>
      <c r="D667" s="42" t="s">
        <v>2441</v>
      </c>
      <c r="E667" s="42" t="s">
        <v>2442</v>
      </c>
      <c r="F667" s="42" t="s">
        <v>851</v>
      </c>
      <c r="G667" s="76"/>
      <c r="H667" s="21"/>
      <c r="I667" s="22"/>
    </row>
    <row r="668" spans="8:8" s="16" ht="16.5" customFormat="1">
      <c r="A668" s="76"/>
      <c r="B668" s="42" t="s">
        <v>2443</v>
      </c>
      <c r="C668" s="42" t="s">
        <v>2444</v>
      </c>
      <c r="D668" s="42" t="s">
        <v>2445</v>
      </c>
      <c r="E668" s="42" t="s">
        <v>2446</v>
      </c>
      <c r="F668" s="42" t="s">
        <v>851</v>
      </c>
      <c r="G668" s="76"/>
      <c r="H668" s="21"/>
      <c r="I668" s="22"/>
    </row>
    <row r="669" spans="8:8" s="16" ht="16.5" customFormat="1">
      <c r="A669" s="76"/>
      <c r="B669" s="42" t="s">
        <v>2447</v>
      </c>
      <c r="C669" s="42" t="s">
        <v>2448</v>
      </c>
      <c r="D669" s="42" t="s">
        <v>2449</v>
      </c>
      <c r="E669" s="42" t="s">
        <v>2450</v>
      </c>
      <c r="F669" s="42" t="s">
        <v>123</v>
      </c>
      <c r="G669" s="76"/>
      <c r="H669" s="21"/>
      <c r="I669" s="22"/>
    </row>
    <row r="670" spans="8:8" s="16" ht="16.5" customFormat="1">
      <c r="A670" s="76"/>
      <c r="B670" s="42" t="s">
        <v>2451</v>
      </c>
      <c r="C670" s="42" t="s">
        <v>2452</v>
      </c>
      <c r="D670" s="42" t="s">
        <v>2453</v>
      </c>
      <c r="E670" s="42" t="s">
        <v>2454</v>
      </c>
      <c r="F670" s="42" t="s">
        <v>869</v>
      </c>
      <c r="G670" s="76"/>
      <c r="H670" s="21"/>
      <c r="I670" s="22"/>
    </row>
    <row r="671" spans="8:8" s="16" ht="16.5" customFormat="1">
      <c r="A671" s="76"/>
      <c r="B671" s="77" t="s">
        <v>906</v>
      </c>
      <c r="C671" s="77" t="s">
        <v>906</v>
      </c>
      <c r="D671" s="78" t="s">
        <v>2455</v>
      </c>
      <c r="E671" s="77" t="s">
        <v>906</v>
      </c>
      <c r="F671" s="77" t="s">
        <v>906</v>
      </c>
      <c r="G671" s="76"/>
      <c r="H671" s="21"/>
      <c r="I671" s="22"/>
    </row>
    <row r="672" spans="8:8" s="16" ht="16.5" customFormat="1">
      <c r="A672" s="76"/>
      <c r="B672" s="42" t="s">
        <v>2456</v>
      </c>
      <c r="C672" s="42" t="s">
        <v>2457</v>
      </c>
      <c r="D672" s="42" t="s">
        <v>2458</v>
      </c>
      <c r="E672" s="42" t="s">
        <v>2459</v>
      </c>
      <c r="F672" s="42" t="s">
        <v>123</v>
      </c>
      <c r="G672" s="76"/>
      <c r="H672" s="21"/>
      <c r="I672" s="22"/>
    </row>
    <row r="673" spans="8:8" s="16" ht="16.5" customFormat="1">
      <c r="A673" s="76"/>
      <c r="B673" s="42" t="s">
        <v>2460</v>
      </c>
      <c r="C673" s="42" t="s">
        <v>2461</v>
      </c>
      <c r="D673" s="42" t="s">
        <v>2462</v>
      </c>
      <c r="E673" s="42" t="s">
        <v>2463</v>
      </c>
      <c r="F673" s="42" t="s">
        <v>123</v>
      </c>
      <c r="G673" s="76"/>
      <c r="H673" s="21"/>
      <c r="I673" s="22"/>
    </row>
    <row r="674" spans="8:8" s="16" ht="16.5" customFormat="1">
      <c r="A674" s="76"/>
      <c r="B674" s="42" t="s">
        <v>2464</v>
      </c>
      <c r="C674" s="42" t="s">
        <v>2465</v>
      </c>
      <c r="D674" s="42" t="s">
        <v>2466</v>
      </c>
      <c r="E674" s="42" t="s">
        <v>2467</v>
      </c>
      <c r="F674" s="42" t="s">
        <v>123</v>
      </c>
      <c r="G674" s="76"/>
      <c r="H674" s="21"/>
      <c r="I674" s="22"/>
    </row>
    <row r="675" spans="8:8" s="16" ht="16.5" customFormat="1">
      <c r="A675" s="76"/>
      <c r="B675" s="42" t="s">
        <v>2468</v>
      </c>
      <c r="C675" s="42" t="s">
        <v>2469</v>
      </c>
      <c r="D675" s="42" t="s">
        <v>2470</v>
      </c>
      <c r="E675" s="42" t="s">
        <v>2471</v>
      </c>
      <c r="F675" s="42" t="s">
        <v>123</v>
      </c>
      <c r="G675" s="76"/>
      <c r="H675" s="21"/>
      <c r="I675" s="22"/>
    </row>
    <row r="676" spans="8:8" s="16" ht="16.5" customFormat="1">
      <c r="A676" s="76"/>
      <c r="B676" s="42" t="s">
        <v>2472</v>
      </c>
      <c r="C676" s="42" t="s">
        <v>2473</v>
      </c>
      <c r="D676" s="42" t="s">
        <v>2474</v>
      </c>
      <c r="E676" s="42" t="s">
        <v>2475</v>
      </c>
      <c r="F676" s="42" t="s">
        <v>851</v>
      </c>
      <c r="G676" s="76"/>
      <c r="H676" s="21"/>
      <c r="I676" s="22"/>
    </row>
    <row r="677" spans="8:8" s="16" ht="16.5" customFormat="1">
      <c r="A677" s="76"/>
      <c r="B677" s="42" t="s">
        <v>2476</v>
      </c>
      <c r="C677" s="42" t="s">
        <v>2477</v>
      </c>
      <c r="D677" s="42" t="s">
        <v>2478</v>
      </c>
      <c r="E677" s="42" t="s">
        <v>2479</v>
      </c>
      <c r="F677" s="42" t="s">
        <v>851</v>
      </c>
      <c r="G677" s="76"/>
      <c r="H677" s="21"/>
      <c r="I677" s="22"/>
    </row>
    <row r="678" spans="8:8" s="16" ht="16.5" customFormat="1">
      <c r="A678" s="76"/>
      <c r="B678" s="42" t="s">
        <v>2480</v>
      </c>
      <c r="C678" s="42" t="s">
        <v>2481</v>
      </c>
      <c r="D678" s="42" t="s">
        <v>2482</v>
      </c>
      <c r="E678" s="42" t="s">
        <v>2483</v>
      </c>
      <c r="F678" s="42" t="s">
        <v>851</v>
      </c>
      <c r="G678" s="76"/>
      <c r="H678" s="21"/>
      <c r="I678" s="22"/>
    </row>
    <row r="679" spans="8:8" s="16" ht="16.5" customFormat="1">
      <c r="A679" s="76"/>
      <c r="B679" s="42" t="s">
        <v>2484</v>
      </c>
      <c r="C679" s="42" t="s">
        <v>2485</v>
      </c>
      <c r="D679" s="42" t="s">
        <v>2486</v>
      </c>
      <c r="E679" s="42" t="s">
        <v>2487</v>
      </c>
      <c r="F679" s="42" t="s">
        <v>851</v>
      </c>
      <c r="G679" s="76"/>
      <c r="H679" s="21"/>
      <c r="I679" s="22"/>
    </row>
    <row r="680" spans="8:8" s="16" ht="16.5" customFormat="1">
      <c r="A680" s="76"/>
      <c r="B680" s="42" t="s">
        <v>2488</v>
      </c>
      <c r="C680" s="42" t="s">
        <v>2489</v>
      </c>
      <c r="D680" s="42" t="s">
        <v>2490</v>
      </c>
      <c r="E680" s="42" t="s">
        <v>2491</v>
      </c>
      <c r="F680" s="42" t="s">
        <v>851</v>
      </c>
      <c r="G680" s="76"/>
      <c r="H680" s="21"/>
      <c r="I680" s="22"/>
    </row>
    <row r="681" spans="8:8" s="16" ht="16.5" customFormat="1">
      <c r="A681" s="76"/>
      <c r="B681" s="42" t="s">
        <v>2492</v>
      </c>
      <c r="C681" s="42" t="s">
        <v>2493</v>
      </c>
      <c r="D681" s="42" t="s">
        <v>2494</v>
      </c>
      <c r="E681" s="42" t="s">
        <v>2495</v>
      </c>
      <c r="F681" s="42" t="s">
        <v>851</v>
      </c>
      <c r="G681" s="76"/>
      <c r="H681" s="21"/>
      <c r="I681" s="22"/>
    </row>
    <row r="682" spans="8:8" s="16" ht="16.5" customFormat="1">
      <c r="A682" s="76"/>
      <c r="B682" s="42" t="s">
        <v>2496</v>
      </c>
      <c r="C682" s="42" t="s">
        <v>2497</v>
      </c>
      <c r="D682" s="42" t="s">
        <v>2498</v>
      </c>
      <c r="E682" s="42" t="s">
        <v>2499</v>
      </c>
      <c r="F682" s="42" t="s">
        <v>851</v>
      </c>
      <c r="G682" s="76"/>
      <c r="H682" s="21"/>
      <c r="I682" s="22"/>
    </row>
    <row r="683" spans="8:8" s="16" ht="16.5" customFormat="1">
      <c r="A683" s="76"/>
      <c r="B683" s="42" t="s">
        <v>2500</v>
      </c>
      <c r="C683" s="42" t="s">
        <v>2501</v>
      </c>
      <c r="D683" s="42" t="s">
        <v>2502</v>
      </c>
      <c r="E683" s="42" t="s">
        <v>2503</v>
      </c>
      <c r="F683" s="42" t="s">
        <v>851</v>
      </c>
      <c r="G683" s="76"/>
      <c r="H683" s="21"/>
      <c r="I683" s="22"/>
    </row>
    <row r="684" spans="8:8" s="16" ht="16.5" customFormat="1">
      <c r="A684" s="76"/>
      <c r="B684" s="42" t="s">
        <v>2504</v>
      </c>
      <c r="C684" s="42" t="s">
        <v>2505</v>
      </c>
      <c r="D684" s="42" t="s">
        <v>2502</v>
      </c>
      <c r="E684" s="42" t="s">
        <v>2506</v>
      </c>
      <c r="F684" s="42" t="s">
        <v>851</v>
      </c>
      <c r="G684" s="76"/>
      <c r="H684" s="21"/>
      <c r="I684" s="22"/>
    </row>
    <row r="685" spans="8:8" s="16" ht="16.5" customFormat="1">
      <c r="A685" s="76"/>
      <c r="B685" s="42" t="s">
        <v>2507</v>
      </c>
      <c r="C685" s="42" t="s">
        <v>2508</v>
      </c>
      <c r="D685" s="42" t="s">
        <v>2509</v>
      </c>
      <c r="E685" s="42" t="s">
        <v>2510</v>
      </c>
      <c r="F685" s="42" t="s">
        <v>851</v>
      </c>
      <c r="G685" s="76"/>
      <c r="H685" s="21"/>
      <c r="I685" s="22"/>
    </row>
    <row r="686" spans="8:8" s="16" ht="16.5" customFormat="1">
      <c r="A686" s="76"/>
      <c r="B686" s="42" t="s">
        <v>2511</v>
      </c>
      <c r="C686" s="42" t="s">
        <v>2512</v>
      </c>
      <c r="D686" s="42" t="s">
        <v>2513</v>
      </c>
      <c r="E686" s="42" t="s">
        <v>2514</v>
      </c>
      <c r="F686" s="42" t="s">
        <v>851</v>
      </c>
      <c r="G686" s="76"/>
      <c r="H686" s="21"/>
      <c r="I686" s="22"/>
    </row>
    <row r="687" spans="8:8" s="16" ht="16.5" customFormat="1">
      <c r="A687" s="76"/>
      <c r="B687" s="42" t="s">
        <v>2515</v>
      </c>
      <c r="C687" s="42" t="s">
        <v>2516</v>
      </c>
      <c r="D687" s="42" t="s">
        <v>2502</v>
      </c>
      <c r="E687" s="42" t="s">
        <v>2517</v>
      </c>
      <c r="F687" s="42" t="s">
        <v>851</v>
      </c>
      <c r="G687" s="76"/>
      <c r="H687" s="21"/>
      <c r="I687" s="22"/>
    </row>
    <row r="688" spans="8:8" s="16" ht="16.5" customFormat="1">
      <c r="A688" s="76"/>
      <c r="B688" s="42" t="s">
        <v>2518</v>
      </c>
      <c r="C688" s="42" t="s">
        <v>2519</v>
      </c>
      <c r="D688" s="42" t="s">
        <v>2502</v>
      </c>
      <c r="E688" s="42" t="s">
        <v>2520</v>
      </c>
      <c r="F688" s="42" t="s">
        <v>851</v>
      </c>
      <c r="G688" s="76"/>
      <c r="H688" s="21"/>
      <c r="I688" s="22"/>
    </row>
    <row r="689" spans="8:8" s="16" ht="16.5" customFormat="1">
      <c r="A689" s="76"/>
      <c r="B689" s="42" t="s">
        <v>2521</v>
      </c>
      <c r="C689" s="42" t="s">
        <v>2522</v>
      </c>
      <c r="D689" s="42" t="s">
        <v>2523</v>
      </c>
      <c r="E689" s="42" t="s">
        <v>2524</v>
      </c>
      <c r="F689" s="42" t="s">
        <v>851</v>
      </c>
      <c r="G689" s="76"/>
      <c r="H689" s="21"/>
      <c r="I689" s="22"/>
    </row>
    <row r="690" spans="8:8" s="16" ht="16.5" customFormat="1">
      <c r="A690" s="76"/>
      <c r="B690" s="42" t="s">
        <v>2525</v>
      </c>
      <c r="C690" s="42" t="s">
        <v>2526</v>
      </c>
      <c r="D690" s="42" t="s">
        <v>2527</v>
      </c>
      <c r="E690" s="42" t="s">
        <v>2528</v>
      </c>
      <c r="F690" s="42" t="s">
        <v>851</v>
      </c>
      <c r="G690" s="76"/>
      <c r="H690" s="21"/>
      <c r="I690" s="22"/>
    </row>
    <row r="691" spans="8:8" s="16" ht="16.5" customFormat="1">
      <c r="A691" s="76"/>
      <c r="B691" s="42" t="s">
        <v>2529</v>
      </c>
      <c r="C691" s="42" t="s">
        <v>2530</v>
      </c>
      <c r="D691" s="42" t="s">
        <v>2531</v>
      </c>
      <c r="E691" s="42" t="s">
        <v>2532</v>
      </c>
      <c r="F691" s="42" t="s">
        <v>851</v>
      </c>
      <c r="G691" s="76"/>
      <c r="H691" s="21"/>
      <c r="I691" s="22"/>
    </row>
    <row r="692" spans="8:8" s="16" ht="16.5" customFormat="1">
      <c r="A692" s="76"/>
      <c r="B692" s="42" t="s">
        <v>2533</v>
      </c>
      <c r="C692" s="42" t="s">
        <v>2534</v>
      </c>
      <c r="D692" s="42" t="s">
        <v>2531</v>
      </c>
      <c r="E692" s="42" t="s">
        <v>2535</v>
      </c>
      <c r="F692" s="42" t="s">
        <v>851</v>
      </c>
      <c r="G692" s="76"/>
      <c r="H692" s="21"/>
      <c r="I692" s="22"/>
    </row>
    <row r="693" spans="8:8" s="16" ht="16.5" customFormat="1">
      <c r="A693" s="76"/>
      <c r="B693" s="42" t="s">
        <v>2536</v>
      </c>
      <c r="C693" s="42" t="s">
        <v>2537</v>
      </c>
      <c r="D693" s="42" t="s">
        <v>2538</v>
      </c>
      <c r="E693" s="42" t="s">
        <v>2539</v>
      </c>
      <c r="F693" s="42" t="s">
        <v>851</v>
      </c>
      <c r="G693" s="76"/>
      <c r="H693" s="21"/>
      <c r="I693" s="22"/>
    </row>
    <row r="694" spans="8:8" s="16" ht="16.5" customFormat="1">
      <c r="A694" s="76"/>
      <c r="B694" s="42" t="s">
        <v>2540</v>
      </c>
      <c r="C694" s="42" t="s">
        <v>2541</v>
      </c>
      <c r="D694" s="42" t="s">
        <v>2531</v>
      </c>
      <c r="E694" s="42" t="s">
        <v>2542</v>
      </c>
      <c r="F694" s="42" t="s">
        <v>851</v>
      </c>
      <c r="G694" s="76"/>
      <c r="H694" s="21"/>
      <c r="I694" s="22"/>
    </row>
    <row r="695" spans="8:8" s="16" ht="16.5" customFormat="1">
      <c r="A695" s="76"/>
      <c r="B695" s="42" t="s">
        <v>2543</v>
      </c>
      <c r="C695" s="42" t="s">
        <v>2127</v>
      </c>
      <c r="D695" s="42" t="s">
        <v>2544</v>
      </c>
      <c r="E695" s="42" t="s">
        <v>2545</v>
      </c>
      <c r="F695" s="42" t="s">
        <v>851</v>
      </c>
      <c r="G695" s="76"/>
      <c r="H695" s="21"/>
      <c r="I695" s="22"/>
    </row>
    <row r="696" spans="8:8" s="16" ht="16.5" customFormat="1">
      <c r="A696" s="76"/>
      <c r="B696" s="42" t="s">
        <v>2546</v>
      </c>
      <c r="C696" s="42" t="s">
        <v>2547</v>
      </c>
      <c r="D696" s="42" t="s">
        <v>2531</v>
      </c>
      <c r="E696" s="42" t="s">
        <v>2548</v>
      </c>
      <c r="F696" s="42" t="s">
        <v>851</v>
      </c>
      <c r="G696" s="76"/>
      <c r="H696" s="21"/>
      <c r="I696" s="22"/>
    </row>
    <row r="697" spans="8:8" s="16" ht="16.5" customFormat="1">
      <c r="A697" s="76"/>
      <c r="B697" s="42" t="s">
        <v>2549</v>
      </c>
      <c r="C697" s="42" t="s">
        <v>2550</v>
      </c>
      <c r="D697" s="42" t="s">
        <v>2551</v>
      </c>
      <c r="E697" s="42" t="s">
        <v>2552</v>
      </c>
      <c r="F697" s="42" t="s">
        <v>851</v>
      </c>
      <c r="G697" s="76"/>
      <c r="H697" s="21"/>
      <c r="I697" s="22"/>
    </row>
    <row r="698" spans="8:8" s="16" ht="16.5" customFormat="1">
      <c r="A698" s="76"/>
      <c r="B698" s="42" t="s">
        <v>2553</v>
      </c>
      <c r="C698" s="42" t="s">
        <v>2554</v>
      </c>
      <c r="D698" s="42" t="s">
        <v>2555</v>
      </c>
      <c r="E698" s="42" t="s">
        <v>2556</v>
      </c>
      <c r="F698" s="42" t="s">
        <v>851</v>
      </c>
      <c r="G698" s="76"/>
      <c r="H698" s="21"/>
      <c r="I698" s="22"/>
    </row>
    <row r="699" spans="8:8" s="16" ht="16.5" customFormat="1">
      <c r="A699" s="76"/>
      <c r="B699" s="42" t="s">
        <v>2557</v>
      </c>
      <c r="C699" s="42" t="s">
        <v>2558</v>
      </c>
      <c r="D699" s="42" t="s">
        <v>2559</v>
      </c>
      <c r="E699" s="42" t="s">
        <v>2560</v>
      </c>
      <c r="F699" s="42" t="s">
        <v>851</v>
      </c>
      <c r="G699" s="76"/>
      <c r="H699" s="21"/>
      <c r="I699" s="22"/>
    </row>
    <row r="700" spans="8:8" s="16" ht="16.5" customFormat="1">
      <c r="A700" s="76"/>
      <c r="B700" s="42" t="s">
        <v>2561</v>
      </c>
      <c r="C700" s="42" t="s">
        <v>2562</v>
      </c>
      <c r="D700" s="42" t="s">
        <v>2563</v>
      </c>
      <c r="E700" s="42" t="s">
        <v>2564</v>
      </c>
      <c r="F700" s="42" t="s">
        <v>851</v>
      </c>
      <c r="G700" s="76"/>
      <c r="H700" s="21"/>
      <c r="I700" s="22"/>
    </row>
    <row r="701" spans="8:8" s="16" ht="16.5" customFormat="1">
      <c r="A701" s="76"/>
      <c r="B701" s="42" t="s">
        <v>2565</v>
      </c>
      <c r="C701" s="42" t="s">
        <v>2566</v>
      </c>
      <c r="D701" s="42" t="s">
        <v>2567</v>
      </c>
      <c r="E701" s="42" t="s">
        <v>2568</v>
      </c>
      <c r="F701" s="42" t="s">
        <v>851</v>
      </c>
      <c r="G701" s="76"/>
      <c r="H701" s="21"/>
      <c r="I701" s="22"/>
    </row>
    <row r="702" spans="8:8" s="16" ht="16.5" customFormat="1">
      <c r="A702" s="76"/>
      <c r="B702" s="42" t="s">
        <v>2569</v>
      </c>
      <c r="C702" s="42" t="s">
        <v>2570</v>
      </c>
      <c r="D702" s="42" t="s">
        <v>2571</v>
      </c>
      <c r="E702" s="42" t="s">
        <v>2572</v>
      </c>
      <c r="F702" s="42" t="s">
        <v>851</v>
      </c>
      <c r="G702" s="76"/>
      <c r="H702" s="21"/>
      <c r="I702" s="22"/>
    </row>
    <row r="703" spans="8:8" s="16" ht="16.5" customFormat="1">
      <c r="A703" s="76"/>
      <c r="B703" s="77" t="s">
        <v>906</v>
      </c>
      <c r="C703" s="77" t="s">
        <v>906</v>
      </c>
      <c r="D703" s="78" t="s">
        <v>2573</v>
      </c>
      <c r="E703" s="77" t="s">
        <v>906</v>
      </c>
      <c r="F703" s="77" t="s">
        <v>906</v>
      </c>
      <c r="G703" s="76"/>
      <c r="H703" s="21"/>
      <c r="I703" s="22"/>
    </row>
    <row r="704" spans="8:8" s="16" ht="16.5" customFormat="1">
      <c r="A704" s="76"/>
      <c r="B704" s="42" t="s">
        <v>2574</v>
      </c>
      <c r="C704" s="42" t="s">
        <v>2575</v>
      </c>
      <c r="D704" s="42" t="s">
        <v>2576</v>
      </c>
      <c r="E704" s="42" t="s">
        <v>2577</v>
      </c>
      <c r="F704" s="42" t="s">
        <v>43</v>
      </c>
      <c r="G704" s="76"/>
      <c r="H704" s="21"/>
      <c r="I704" s="22"/>
    </row>
    <row r="705" spans="8:8" s="16" ht="16.5" customFormat="1">
      <c r="A705" s="76"/>
      <c r="B705" s="42" t="s">
        <v>2578</v>
      </c>
      <c r="C705" s="42" t="s">
        <v>2579</v>
      </c>
      <c r="D705" s="42" t="s">
        <v>2580</v>
      </c>
      <c r="E705" s="42" t="s">
        <v>2581</v>
      </c>
      <c r="F705" s="42" t="s">
        <v>43</v>
      </c>
      <c r="G705" s="76"/>
      <c r="H705" s="21"/>
      <c r="I705" s="22"/>
    </row>
    <row r="706" spans="8:8" s="16" ht="49.5" customFormat="1">
      <c r="A706" s="76"/>
      <c r="B706" s="42" t="s">
        <v>2582</v>
      </c>
      <c r="C706" s="42" t="s">
        <v>2583</v>
      </c>
      <c r="D706" s="42" t="s">
        <v>2584</v>
      </c>
      <c r="E706" s="42" t="s">
        <v>2585</v>
      </c>
      <c r="F706" s="42" t="s">
        <v>2586</v>
      </c>
      <c r="G706" s="76"/>
      <c r="H706" s="21"/>
      <c r="I706" s="22"/>
    </row>
    <row r="707" spans="8:8" s="16" ht="16.5" customFormat="1">
      <c r="A707" s="76"/>
      <c r="B707" s="42" t="s">
        <v>819</v>
      </c>
      <c r="C707" s="42" t="s">
        <v>811</v>
      </c>
      <c r="D707" s="42" t="s">
        <v>2587</v>
      </c>
      <c r="E707" s="42" t="s">
        <v>2588</v>
      </c>
      <c r="F707" s="42" t="s">
        <v>819</v>
      </c>
      <c r="G707" s="76"/>
      <c r="H707" s="21"/>
      <c r="I707" s="22"/>
    </row>
    <row r="708" spans="8:8" s="16" ht="16.5" customFormat="1">
      <c r="A708" s="76"/>
      <c r="B708" s="42" t="s">
        <v>2589</v>
      </c>
      <c r="C708" s="42" t="s">
        <v>933</v>
      </c>
      <c r="D708" s="42" t="s">
        <v>2590</v>
      </c>
      <c r="E708" s="42" t="s">
        <v>2591</v>
      </c>
      <c r="F708" s="42" t="s">
        <v>819</v>
      </c>
      <c r="G708" s="76"/>
      <c r="H708" s="21"/>
      <c r="I708" s="22"/>
    </row>
    <row r="709" spans="8:8" s="16" ht="16.5" customFormat="1">
      <c r="A709" s="76"/>
      <c r="B709" s="42" t="s">
        <v>2592</v>
      </c>
      <c r="C709" s="42" t="s">
        <v>2593</v>
      </c>
      <c r="D709" s="42" t="s">
        <v>2594</v>
      </c>
      <c r="E709" s="42" t="s">
        <v>2595</v>
      </c>
      <c r="F709" s="42" t="s">
        <v>851</v>
      </c>
      <c r="G709" s="76"/>
      <c r="H709" s="21"/>
      <c r="I709" s="22"/>
    </row>
    <row r="710" spans="8:8" s="16" ht="16.5" customFormat="1">
      <c r="A710" s="76"/>
      <c r="B710" s="42" t="s">
        <v>2596</v>
      </c>
      <c r="C710" s="42" t="s">
        <v>2597</v>
      </c>
      <c r="D710" s="42" t="s">
        <v>2598</v>
      </c>
      <c r="E710" s="42" t="s">
        <v>2599</v>
      </c>
      <c r="F710" s="42" t="s">
        <v>851</v>
      </c>
      <c r="G710" s="76"/>
      <c r="H710" s="21"/>
      <c r="I710" s="22"/>
    </row>
    <row r="711" spans="8:8" s="16" ht="16.5" customFormat="1">
      <c r="A711" s="76"/>
      <c r="B711" s="42" t="s">
        <v>1444</v>
      </c>
      <c r="C711" s="42" t="s">
        <v>1789</v>
      </c>
      <c r="D711" s="42" t="s">
        <v>2600</v>
      </c>
      <c r="E711" s="42" t="s">
        <v>2601</v>
      </c>
      <c r="F711" s="42" t="s">
        <v>1444</v>
      </c>
      <c r="G711" s="76"/>
      <c r="H711" s="21"/>
      <c r="I711" s="22"/>
    </row>
    <row r="712" spans="8:8" s="16" ht="16.5" customFormat="1">
      <c r="A712" s="76"/>
      <c r="B712" s="42" t="s">
        <v>1792</v>
      </c>
      <c r="C712" s="42" t="s">
        <v>2602</v>
      </c>
      <c r="D712" s="42" t="s">
        <v>2603</v>
      </c>
      <c r="E712" s="42" t="s">
        <v>1794</v>
      </c>
      <c r="F712" s="42" t="s">
        <v>851</v>
      </c>
      <c r="G712" s="76"/>
      <c r="H712" s="21"/>
      <c r="I712" s="22"/>
    </row>
    <row r="713" spans="8:8" s="16" ht="16.5" customFormat="1">
      <c r="A713" s="76"/>
      <c r="B713" s="42" t="s">
        <v>1810</v>
      </c>
      <c r="C713" s="42" t="s">
        <v>1811</v>
      </c>
      <c r="D713" s="42" t="s">
        <v>2604</v>
      </c>
      <c r="E713" s="42" t="s">
        <v>2605</v>
      </c>
      <c r="F713" s="42" t="s">
        <v>2606</v>
      </c>
      <c r="G713" s="76"/>
      <c r="H713" s="21"/>
      <c r="I713" s="22"/>
    </row>
    <row r="714" spans="8:8" s="16" ht="16.5" customFormat="1">
      <c r="A714" s="76"/>
      <c r="B714" s="42" t="s">
        <v>1835</v>
      </c>
      <c r="C714" s="42" t="s">
        <v>2607</v>
      </c>
      <c r="D714" s="42" t="s">
        <v>2608</v>
      </c>
      <c r="E714" s="42" t="s">
        <v>1838</v>
      </c>
      <c r="F714" s="42" t="s">
        <v>123</v>
      </c>
      <c r="G714" s="76"/>
      <c r="H714" s="21"/>
      <c r="I714" s="22"/>
    </row>
    <row r="715" spans="8:8" s="16" ht="16.5" customFormat="1">
      <c r="A715" s="76"/>
      <c r="B715" s="42" t="s">
        <v>2609</v>
      </c>
      <c r="C715" s="42" t="s">
        <v>2610</v>
      </c>
      <c r="D715" s="42" t="s">
        <v>2611</v>
      </c>
      <c r="E715" s="42" t="s">
        <v>2612</v>
      </c>
      <c r="F715" s="42" t="s">
        <v>851</v>
      </c>
      <c r="G715" s="76"/>
      <c r="H715" s="21"/>
      <c r="I715" s="22"/>
    </row>
    <row r="716" spans="8:8" s="16" ht="16.5" customFormat="1">
      <c r="A716" s="76"/>
      <c r="B716" s="42" t="s">
        <v>2613</v>
      </c>
      <c r="C716" s="42" t="s">
        <v>2614</v>
      </c>
      <c r="D716" s="42" t="s">
        <v>2615</v>
      </c>
      <c r="E716" s="42" t="s">
        <v>2616</v>
      </c>
      <c r="F716" s="42" t="s">
        <v>123</v>
      </c>
      <c r="G716" s="76"/>
      <c r="H716" s="21"/>
      <c r="I716" s="22"/>
    </row>
    <row r="717" spans="8:8" s="16" ht="16.5" customFormat="1">
      <c r="A717" s="76"/>
      <c r="B717" s="42" t="s">
        <v>2099</v>
      </c>
      <c r="C717" s="42" t="s">
        <v>2100</v>
      </c>
      <c r="D717" s="42" t="s">
        <v>2617</v>
      </c>
      <c r="E717" s="42" t="s">
        <v>2618</v>
      </c>
      <c r="F717" s="42" t="s">
        <v>851</v>
      </c>
      <c r="G717" s="76"/>
      <c r="H717" s="21"/>
      <c r="I717" s="22"/>
    </row>
    <row r="718" spans="8:8" s="16" ht="16.5" customFormat="1">
      <c r="A718" s="76"/>
      <c r="B718" s="42" t="s">
        <v>1855</v>
      </c>
      <c r="C718" s="42" t="s">
        <v>2619</v>
      </c>
      <c r="D718" s="42" t="s">
        <v>2620</v>
      </c>
      <c r="E718" s="42" t="s">
        <v>2621</v>
      </c>
      <c r="F718" s="42" t="s">
        <v>2401</v>
      </c>
      <c r="G718" s="76"/>
      <c r="H718" s="21"/>
      <c r="I718" s="22"/>
    </row>
    <row r="719" spans="8:8" s="16" ht="16.5" customFormat="1">
      <c r="A719" s="76"/>
      <c r="B719" s="42" t="s">
        <v>1860</v>
      </c>
      <c r="C719" s="42" t="s">
        <v>2622</v>
      </c>
      <c r="D719" s="42" t="s">
        <v>2623</v>
      </c>
      <c r="E719" s="42" t="s">
        <v>2624</v>
      </c>
      <c r="F719" s="42" t="s">
        <v>851</v>
      </c>
      <c r="G719" s="76"/>
      <c r="H719" s="21"/>
      <c r="I719" s="22"/>
    </row>
    <row r="720" spans="8:8" s="16" ht="16.5" customFormat="1">
      <c r="A720" s="76"/>
      <c r="B720" s="42" t="s">
        <v>2625</v>
      </c>
      <c r="C720" s="42" t="s">
        <v>931</v>
      </c>
      <c r="D720" s="42" t="s">
        <v>2626</v>
      </c>
      <c r="E720" s="42" t="s">
        <v>2627</v>
      </c>
      <c r="F720" s="42" t="s">
        <v>123</v>
      </c>
      <c r="G720" s="76"/>
      <c r="H720" s="21"/>
      <c r="I720" s="22"/>
    </row>
    <row r="721" spans="8:8" s="16" ht="16.5" customFormat="1">
      <c r="A721" s="76"/>
      <c r="B721" s="77" t="s">
        <v>906</v>
      </c>
      <c r="C721" s="77" t="s">
        <v>906</v>
      </c>
      <c r="D721" s="78" t="s">
        <v>2628</v>
      </c>
      <c r="E721" s="77" t="s">
        <v>906</v>
      </c>
      <c r="F721" s="77" t="s">
        <v>906</v>
      </c>
      <c r="G721" s="76"/>
      <c r="H721" s="21"/>
      <c r="I721" s="22"/>
    </row>
    <row r="722" spans="8:8" s="16" ht="16.5" customFormat="1">
      <c r="A722" s="76"/>
      <c r="B722" s="42" t="s">
        <v>961</v>
      </c>
      <c r="C722" s="42" t="s">
        <v>2629</v>
      </c>
      <c r="D722" s="42" t="s">
        <v>2630</v>
      </c>
      <c r="E722" s="42" t="s">
        <v>2631</v>
      </c>
      <c r="F722" s="42" t="s">
        <v>43</v>
      </c>
      <c r="G722" s="76"/>
      <c r="H722" s="21"/>
      <c r="I722" s="22"/>
    </row>
    <row r="723" spans="8:8" s="16" ht="16.5" customFormat="1">
      <c r="A723" s="76"/>
      <c r="B723" s="42" t="s">
        <v>965</v>
      </c>
      <c r="C723" s="42" t="s">
        <v>2632</v>
      </c>
      <c r="D723" s="42" t="s">
        <v>2633</v>
      </c>
      <c r="E723" s="42" t="s">
        <v>2634</v>
      </c>
      <c r="F723" s="42" t="s">
        <v>43</v>
      </c>
      <c r="G723" s="76"/>
      <c r="H723" s="21"/>
      <c r="I723" s="22"/>
    </row>
    <row r="724" spans="8:8" s="16" ht="16.5" customFormat="1">
      <c r="A724" s="76"/>
      <c r="B724" s="42" t="s">
        <v>953</v>
      </c>
      <c r="C724" s="42" t="s">
        <v>2635</v>
      </c>
      <c r="D724" s="42" t="s">
        <v>2636</v>
      </c>
      <c r="E724" s="42" t="s">
        <v>956</v>
      </c>
      <c r="F724" s="42" t="s">
        <v>43</v>
      </c>
      <c r="G724" s="76"/>
      <c r="H724" s="21"/>
      <c r="I724" s="22"/>
    </row>
    <row r="725" spans="8:8" s="16" ht="16.5" customFormat="1">
      <c r="A725" s="76"/>
      <c r="B725" s="42" t="s">
        <v>2637</v>
      </c>
      <c r="C725" s="42" t="s">
        <v>2638</v>
      </c>
      <c r="D725" s="42" t="s">
        <v>2639</v>
      </c>
      <c r="E725" s="42" t="s">
        <v>2640</v>
      </c>
      <c r="F725" s="42" t="s">
        <v>43</v>
      </c>
      <c r="G725" s="76"/>
      <c r="H725" s="21"/>
      <c r="I725" s="22"/>
    </row>
    <row r="726" spans="8:8" s="16" ht="16.5" customFormat="1">
      <c r="A726" s="76"/>
      <c r="B726" s="42" t="s">
        <v>2641</v>
      </c>
      <c r="C726" s="42" t="s">
        <v>2642</v>
      </c>
      <c r="D726" s="42" t="s">
        <v>2643</v>
      </c>
      <c r="E726" s="42" t="s">
        <v>2644</v>
      </c>
      <c r="F726" s="42" t="s">
        <v>43</v>
      </c>
      <c r="G726" s="76"/>
      <c r="H726" s="21"/>
      <c r="I726" s="22"/>
    </row>
    <row r="727" spans="8:8" s="16" ht="16.5" customFormat="1">
      <c r="A727" s="76"/>
      <c r="B727" s="42" t="s">
        <v>2645</v>
      </c>
      <c r="C727" s="42" t="s">
        <v>2646</v>
      </c>
      <c r="D727" s="42" t="s">
        <v>2647</v>
      </c>
      <c r="E727" s="42" t="s">
        <v>2648</v>
      </c>
      <c r="F727" s="42" t="s">
        <v>123</v>
      </c>
      <c r="G727" s="76"/>
      <c r="H727" s="21"/>
      <c r="I727" s="22"/>
    </row>
    <row r="728" spans="8:8" s="16" ht="16.5" customFormat="1">
      <c r="A728" s="76"/>
      <c r="B728" s="42" t="s">
        <v>2649</v>
      </c>
      <c r="C728" s="42" t="s">
        <v>2650</v>
      </c>
      <c r="D728" s="42" t="s">
        <v>2651</v>
      </c>
      <c r="E728" s="42" t="s">
        <v>2652</v>
      </c>
      <c r="F728" s="42" t="s">
        <v>52</v>
      </c>
      <c r="G728" s="76"/>
      <c r="H728" s="21"/>
      <c r="I728" s="22"/>
    </row>
    <row r="729" spans="8:8" s="16" ht="16.5" customFormat="1">
      <c r="A729" s="76"/>
      <c r="B729" s="42" t="s">
        <v>2653</v>
      </c>
      <c r="C729" s="42" t="s">
        <v>2654</v>
      </c>
      <c r="D729" s="42" t="s">
        <v>2655</v>
      </c>
      <c r="E729" s="42" t="s">
        <v>2656</v>
      </c>
      <c r="F729" s="42" t="s">
        <v>52</v>
      </c>
      <c r="G729" s="76"/>
      <c r="H729" s="21"/>
      <c r="I729" s="22"/>
    </row>
    <row r="730" spans="8:8" s="16" ht="16.5" customFormat="1">
      <c r="A730" s="76"/>
      <c r="B730" s="42" t="s">
        <v>2657</v>
      </c>
      <c r="C730" s="42" t="s">
        <v>2658</v>
      </c>
      <c r="D730" s="42" t="s">
        <v>2659</v>
      </c>
      <c r="E730" s="42" t="s">
        <v>2660</v>
      </c>
      <c r="F730" s="42" t="s">
        <v>123</v>
      </c>
      <c r="G730" s="76"/>
      <c r="H730" s="21"/>
      <c r="I730" s="22"/>
    </row>
    <row r="731" spans="8:8" s="16" ht="14.3" customFormat="1">
      <c r="A731" s="76"/>
      <c r="B731" s="42" t="s">
        <v>2661</v>
      </c>
      <c r="C731" s="42" t="s">
        <v>10222</v>
      </c>
      <c r="D731" s="42" t="s">
        <v>2663</v>
      </c>
      <c r="E731" s="42" t="s">
        <v>2664</v>
      </c>
      <c r="F731" s="42" t="s">
        <v>43</v>
      </c>
      <c r="G731" s="76"/>
      <c r="H731" s="21"/>
      <c r="I731" s="22"/>
    </row>
    <row r="732" spans="8:8" s="16" ht="16.5" customFormat="1">
      <c r="A732" s="76"/>
      <c r="B732" s="42"/>
      <c r="C732" s="42"/>
      <c r="D732" s="42"/>
      <c r="E732" s="42"/>
      <c r="F732" s="42"/>
      <c r="G732" s="76"/>
      <c r="H732" s="21"/>
      <c r="I732" s="22"/>
    </row>
    <row r="733" spans="8:8" s="9" ht="29.25" customFormat="1">
      <c r="A733" s="79"/>
      <c r="B733" s="80" t="s">
        <v>2628</v>
      </c>
      <c r="C733" s="80" t="s">
        <v>812</v>
      </c>
      <c r="D733" s="80" t="s">
        <v>2666</v>
      </c>
      <c r="E733" s="80" t="s">
        <v>2667</v>
      </c>
      <c r="F733" s="80"/>
      <c r="G733" s="79"/>
      <c r="H733" s="14"/>
      <c r="I733" s="15"/>
    </row>
    <row r="734" spans="8:8" s="9" ht="29.25" customFormat="1">
      <c r="A734" s="79"/>
      <c r="B734" s="80" t="s">
        <v>814</v>
      </c>
      <c r="C734" s="80" t="s">
        <v>815</v>
      </c>
      <c r="D734" s="80" t="s">
        <v>816</v>
      </c>
      <c r="E734" s="80" t="s">
        <v>817</v>
      </c>
      <c r="F734" s="80" t="s">
        <v>818</v>
      </c>
      <c r="G734" s="79"/>
      <c r="H734" s="14"/>
      <c r="I734" s="15"/>
    </row>
    <row r="735" spans="8:8" s="16" ht="32.95" customFormat="1" customHeight="1">
      <c r="A735" s="81"/>
      <c r="B735" s="42" t="s">
        <v>2668</v>
      </c>
      <c r="C735" s="42" t="s">
        <v>2669</v>
      </c>
      <c r="D735" s="42" t="s">
        <v>2670</v>
      </c>
      <c r="E735" s="42" t="s">
        <v>2671</v>
      </c>
      <c r="F735" s="42" t="s">
        <v>869</v>
      </c>
      <c r="G735" s="81"/>
      <c r="H735" s="21"/>
      <c r="I735" s="22"/>
    </row>
    <row r="736" spans="8:8" s="16" ht="16.5" customFormat="1">
      <c r="A736" s="81"/>
      <c r="B736" s="42" t="s">
        <v>2672</v>
      </c>
      <c r="C736" s="42" t="s">
        <v>2673</v>
      </c>
      <c r="D736" s="42" t="s">
        <v>2674</v>
      </c>
      <c r="E736" s="42" t="s">
        <v>2675</v>
      </c>
      <c r="F736" s="42" t="s">
        <v>851</v>
      </c>
      <c r="G736" s="81"/>
      <c r="H736" s="21"/>
      <c r="I736" s="22"/>
    </row>
    <row r="737" spans="8:8" s="16" ht="16.5" customFormat="1">
      <c r="A737" s="81"/>
      <c r="B737" s="42" t="s">
        <v>2676</v>
      </c>
      <c r="C737" s="42" t="s">
        <v>2677</v>
      </c>
      <c r="D737" s="42" t="s">
        <v>2678</v>
      </c>
      <c r="E737" s="42" t="s">
        <v>2679</v>
      </c>
      <c r="F737" s="42" t="s">
        <v>52</v>
      </c>
      <c r="G737" s="81"/>
      <c r="H737" s="21"/>
      <c r="I737" s="22"/>
    </row>
    <row r="738" spans="8:8" s="16" ht="16.5" customFormat="1">
      <c r="A738" s="81"/>
      <c r="B738" s="42" t="s">
        <v>2680</v>
      </c>
      <c r="C738" s="42" t="s">
        <v>2681</v>
      </c>
      <c r="D738" s="42" t="s">
        <v>2682</v>
      </c>
      <c r="E738" s="42" t="s">
        <v>2683</v>
      </c>
      <c r="F738" s="42" t="s">
        <v>52</v>
      </c>
      <c r="G738" s="81"/>
      <c r="H738" s="21"/>
      <c r="I738" s="22"/>
    </row>
    <row r="739" spans="8:8" s="16" ht="14.6" customFormat="1">
      <c r="A739" s="81"/>
      <c r="B739" s="42" t="s">
        <v>2684</v>
      </c>
      <c r="C739" s="42" t="s">
        <v>10184</v>
      </c>
      <c r="D739" s="42" t="s">
        <v>2686</v>
      </c>
      <c r="E739" s="42" t="s">
        <v>2687</v>
      </c>
      <c r="F739" s="42" t="s">
        <v>123</v>
      </c>
      <c r="G739" s="81"/>
      <c r="H739" s="21"/>
      <c r="I739" s="22"/>
    </row>
    <row r="740" spans="8:8" s="16" ht="16.5" customFormat="1">
      <c r="A740" s="81"/>
      <c r="B740" s="42" t="s">
        <v>2688</v>
      </c>
      <c r="C740" s="42" t="s">
        <v>2689</v>
      </c>
      <c r="D740" s="42" t="s">
        <v>2690</v>
      </c>
      <c r="E740" s="42" t="s">
        <v>2691</v>
      </c>
      <c r="F740" s="42" t="s">
        <v>43</v>
      </c>
      <c r="G740" s="81"/>
      <c r="H740" s="21"/>
      <c r="I740" s="22"/>
    </row>
    <row r="741" spans="8:8" s="16" ht="16.5" customFormat="1">
      <c r="A741" s="81"/>
      <c r="B741" s="42" t="s">
        <v>2692</v>
      </c>
      <c r="C741" s="42" t="s">
        <v>2693</v>
      </c>
      <c r="D741" s="42" t="s">
        <v>2694</v>
      </c>
      <c r="E741" s="42" t="s">
        <v>2695</v>
      </c>
      <c r="F741" s="42" t="s">
        <v>851</v>
      </c>
      <c r="G741" s="81"/>
      <c r="H741" s="21"/>
      <c r="I741" s="22"/>
    </row>
    <row r="742" spans="8:8" s="16" ht="16.5" customFormat="1">
      <c r="A742" s="81"/>
      <c r="B742" s="82" t="s">
        <v>906</v>
      </c>
      <c r="C742" s="82" t="s">
        <v>906</v>
      </c>
      <c r="D742" s="83" t="s">
        <v>2696</v>
      </c>
      <c r="E742" s="82" t="s">
        <v>906</v>
      </c>
      <c r="F742" s="82" t="s">
        <v>906</v>
      </c>
      <c r="G742" s="81"/>
      <c r="H742" s="21"/>
      <c r="I742" s="22"/>
    </row>
    <row r="743" spans="8:8" s="16" ht="15.7" customFormat="1">
      <c r="A743" s="81"/>
      <c r="B743" s="42" t="s">
        <v>2697</v>
      </c>
      <c r="C743" s="42" t="s">
        <v>2698</v>
      </c>
      <c r="D743" s="42" t="s">
        <v>2699</v>
      </c>
      <c r="E743" s="42" t="s">
        <v>9916</v>
      </c>
      <c r="F743" s="42" t="s">
        <v>2701</v>
      </c>
      <c r="G743" s="81"/>
      <c r="H743" s="21"/>
      <c r="I743" s="22"/>
    </row>
    <row r="744" spans="8:8" s="16" ht="15.7" customFormat="1">
      <c r="A744" s="81"/>
      <c r="B744" s="42" t="s">
        <v>2702</v>
      </c>
      <c r="C744" s="42" t="s">
        <v>2703</v>
      </c>
      <c r="D744" s="42" t="s">
        <v>2699</v>
      </c>
      <c r="E744" s="42" t="s">
        <v>9917</v>
      </c>
      <c r="F744" s="42" t="s">
        <v>2701</v>
      </c>
      <c r="G744" s="81"/>
      <c r="H744" s="21"/>
      <c r="I744" s="22"/>
    </row>
    <row r="745" spans="8:8" s="16" ht="16.5" customFormat="1">
      <c r="A745" s="81"/>
      <c r="B745" s="42" t="s">
        <v>2705</v>
      </c>
      <c r="C745" s="42" t="s">
        <v>2706</v>
      </c>
      <c r="D745" s="42" t="s">
        <v>2707</v>
      </c>
      <c r="E745" s="42" t="s">
        <v>2708</v>
      </c>
      <c r="F745" s="42" t="s">
        <v>2701</v>
      </c>
      <c r="G745" s="81"/>
      <c r="H745" s="21"/>
      <c r="I745" s="22"/>
    </row>
    <row r="746" spans="8:8" s="16" ht="14.5" customFormat="1">
      <c r="A746" s="81"/>
      <c r="B746" s="42" t="s">
        <v>10137</v>
      </c>
      <c r="C746" s="42" t="s">
        <v>2710</v>
      </c>
      <c r="D746" s="42" t="s">
        <v>2711</v>
      </c>
      <c r="E746" s="42" t="s">
        <v>2712</v>
      </c>
      <c r="F746" s="42" t="s">
        <v>2701</v>
      </c>
      <c r="G746" s="81"/>
      <c r="H746" s="21"/>
      <c r="I746" s="22"/>
    </row>
    <row r="747" spans="8:8" s="16" ht="16.5" customFormat="1">
      <c r="A747" s="81"/>
      <c r="B747" s="42" t="s">
        <v>2713</v>
      </c>
      <c r="C747" s="42" t="s">
        <v>2714</v>
      </c>
      <c r="D747" s="42" t="s">
        <v>2715</v>
      </c>
      <c r="E747" s="42" t="s">
        <v>2716</v>
      </c>
      <c r="F747" s="42" t="s">
        <v>2701</v>
      </c>
      <c r="G747" s="81"/>
      <c r="H747" s="21"/>
      <c r="I747" s="22"/>
    </row>
    <row r="748" spans="8:8" s="16" ht="16.5" customFormat="1">
      <c r="A748" s="81"/>
      <c r="B748" s="82" t="s">
        <v>906</v>
      </c>
      <c r="C748" s="82" t="s">
        <v>906</v>
      </c>
      <c r="D748" s="83" t="s">
        <v>2717</v>
      </c>
      <c r="E748" s="82" t="s">
        <v>906</v>
      </c>
      <c r="F748" s="82" t="s">
        <v>906</v>
      </c>
      <c r="G748" s="81"/>
      <c r="H748" s="21"/>
      <c r="I748" s="22"/>
    </row>
    <row r="749" spans="8:8" s="16" ht="18.45" customFormat="1" customHeight="1">
      <c r="A749" s="81"/>
      <c r="B749" s="42" t="s">
        <v>9928</v>
      </c>
      <c r="C749" s="42" t="s">
        <v>1030</v>
      </c>
      <c r="D749" s="42" t="s">
        <v>9930</v>
      </c>
      <c r="E749" s="42" t="s">
        <v>9929</v>
      </c>
      <c r="F749" s="42" t="s">
        <v>123</v>
      </c>
      <c r="G749" s="81"/>
      <c r="H749" s="21"/>
      <c r="I749" s="22"/>
    </row>
    <row r="750" spans="8:8" s="16" ht="16.5" customFormat="1">
      <c r="A750" s="81"/>
      <c r="B750" s="42" t="s">
        <v>2718</v>
      </c>
      <c r="C750" s="42" t="s">
        <v>1034</v>
      </c>
      <c r="D750" s="42" t="s">
        <v>2719</v>
      </c>
      <c r="E750" s="42" t="s">
        <v>2720</v>
      </c>
      <c r="F750" s="42" t="s">
        <v>851</v>
      </c>
      <c r="G750" s="81"/>
      <c r="H750" s="21"/>
      <c r="I750" s="22"/>
    </row>
    <row r="751" spans="8:8" s="16" ht="16.5" customFormat="1">
      <c r="A751" s="81"/>
      <c r="B751" s="42" t="s">
        <v>2721</v>
      </c>
      <c r="C751" s="42" t="s">
        <v>1038</v>
      </c>
      <c r="D751" s="42" t="s">
        <v>2722</v>
      </c>
      <c r="E751" s="42" t="s">
        <v>2723</v>
      </c>
      <c r="F751" s="42" t="s">
        <v>43</v>
      </c>
      <c r="G751" s="81"/>
      <c r="H751" s="21"/>
      <c r="I751" s="22"/>
    </row>
    <row r="752" spans="8:8" s="16" ht="16.5" customFormat="1">
      <c r="A752" s="81"/>
      <c r="B752" s="42" t="s">
        <v>2724</v>
      </c>
      <c r="C752" s="42" t="s">
        <v>1042</v>
      </c>
      <c r="D752" s="42" t="s">
        <v>2725</v>
      </c>
      <c r="E752" s="42" t="s">
        <v>2726</v>
      </c>
      <c r="F752" s="42" t="s">
        <v>43</v>
      </c>
      <c r="G752" s="81"/>
      <c r="H752" s="21"/>
      <c r="I752" s="22"/>
    </row>
    <row r="753" spans="8:8" s="16" ht="16.5" customFormat="1">
      <c r="A753" s="81"/>
      <c r="B753" s="42" t="s">
        <v>2727</v>
      </c>
      <c r="C753" s="42" t="s">
        <v>1046</v>
      </c>
      <c r="D753" s="42" t="s">
        <v>2728</v>
      </c>
      <c r="E753" s="42" t="s">
        <v>2729</v>
      </c>
      <c r="F753" s="42" t="s">
        <v>851</v>
      </c>
      <c r="G753" s="81"/>
      <c r="H753" s="21"/>
      <c r="I753" s="22"/>
    </row>
    <row r="754" spans="8:8" s="16" ht="16.5" customFormat="1">
      <c r="A754" s="81"/>
      <c r="B754" s="82" t="s">
        <v>906</v>
      </c>
      <c r="C754" s="82" t="s">
        <v>906</v>
      </c>
      <c r="D754" s="82" t="s">
        <v>1085</v>
      </c>
      <c r="E754" s="82" t="s">
        <v>906</v>
      </c>
      <c r="F754" s="82" t="s">
        <v>906</v>
      </c>
      <c r="G754" s="81"/>
      <c r="H754" s="21"/>
      <c r="I754" s="22"/>
    </row>
    <row r="755" spans="8:8" s="16" ht="19.65" customFormat="1" customHeight="1">
      <c r="A755" s="81"/>
      <c r="B755" s="42" t="s">
        <v>2730</v>
      </c>
      <c r="C755" s="42" t="s">
        <v>2731</v>
      </c>
      <c r="D755" s="42" t="s">
        <v>2732</v>
      </c>
      <c r="E755" s="42" t="s">
        <v>2733</v>
      </c>
      <c r="F755" s="42" t="s">
        <v>43</v>
      </c>
      <c r="G755" s="81"/>
      <c r="H755" s="21"/>
      <c r="I755" s="22"/>
    </row>
    <row r="756" spans="8:8" s="16" ht="17.2" customFormat="1" customHeight="1">
      <c r="A756" s="81"/>
      <c r="B756" s="42" t="s">
        <v>2734</v>
      </c>
      <c r="C756" s="42" t="s">
        <v>2735</v>
      </c>
      <c r="D756" s="42" t="s">
        <v>2736</v>
      </c>
      <c r="E756" s="42" t="s">
        <v>2737</v>
      </c>
      <c r="F756" s="42" t="s">
        <v>43</v>
      </c>
      <c r="G756" s="81"/>
      <c r="H756" s="21"/>
      <c r="I756" s="22"/>
    </row>
    <row r="757" spans="8:8" s="16" ht="19.4" customFormat="1" customHeight="1">
      <c r="A757" s="81"/>
      <c r="B757" s="42" t="s">
        <v>2738</v>
      </c>
      <c r="C757" s="42" t="s">
        <v>2739</v>
      </c>
      <c r="D757" s="42" t="s">
        <v>2740</v>
      </c>
      <c r="E757" s="42" t="s">
        <v>2741</v>
      </c>
      <c r="F757" s="42" t="s">
        <v>851</v>
      </c>
      <c r="G757" s="81"/>
      <c r="H757" s="21"/>
      <c r="I757" s="22"/>
    </row>
    <row r="758" spans="8:8" s="16" ht="17.45" customFormat="1" customHeight="1">
      <c r="A758" s="81"/>
      <c r="B758" s="42" t="s">
        <v>2742</v>
      </c>
      <c r="C758" s="42" t="s">
        <v>2743</v>
      </c>
      <c r="D758" s="42" t="s">
        <v>2744</v>
      </c>
      <c r="E758" s="42" t="s">
        <v>2745</v>
      </c>
      <c r="F758" s="42" t="s">
        <v>851</v>
      </c>
      <c r="G758" s="81"/>
      <c r="H758" s="21"/>
      <c r="I758" s="22"/>
    </row>
    <row r="759" spans="8:8" s="16" ht="18.85" customFormat="1" customHeight="1">
      <c r="A759" s="81"/>
      <c r="B759" s="42" t="s">
        <v>1656</v>
      </c>
      <c r="C759" s="42" t="s">
        <v>1657</v>
      </c>
      <c r="D759" s="42" t="s">
        <v>2746</v>
      </c>
      <c r="E759" s="42" t="s">
        <v>2747</v>
      </c>
      <c r="F759" s="42" t="s">
        <v>851</v>
      </c>
      <c r="G759" s="81"/>
      <c r="H759" s="21"/>
      <c r="I759" s="22"/>
    </row>
    <row r="760" spans="8:8" s="16" ht="16.5" customFormat="1">
      <c r="A760" s="81"/>
      <c r="B760" s="42"/>
      <c r="C760" s="42"/>
      <c r="D760" s="42"/>
      <c r="E760" s="42"/>
      <c r="F760" s="42"/>
      <c r="G760" s="81"/>
      <c r="H760" s="21"/>
      <c r="I760" s="22"/>
    </row>
    <row r="761" spans="8:8" s="9" ht="29.25" customFormat="1">
      <c r="A761" s="84"/>
      <c r="B761" s="85" t="s">
        <v>2748</v>
      </c>
      <c r="C761" s="85" t="s">
        <v>812</v>
      </c>
      <c r="D761" s="85" t="s">
        <v>2749</v>
      </c>
      <c r="E761" s="85" t="s">
        <v>2750</v>
      </c>
      <c r="F761" s="85"/>
      <c r="G761" s="84"/>
      <c r="H761" s="14"/>
      <c r="I761" s="15"/>
    </row>
    <row r="762" spans="8:8" s="9" ht="29.25" customFormat="1">
      <c r="A762" s="84"/>
      <c r="B762" s="85" t="s">
        <v>814</v>
      </c>
      <c r="C762" s="85" t="s">
        <v>815</v>
      </c>
      <c r="D762" s="85" t="s">
        <v>2751</v>
      </c>
      <c r="E762" s="85" t="s">
        <v>817</v>
      </c>
      <c r="F762" s="85" t="s">
        <v>818</v>
      </c>
      <c r="G762" s="84"/>
      <c r="H762" s="14"/>
      <c r="I762" s="15"/>
    </row>
    <row r="763" spans="8:8" s="16" ht="16.5" customFormat="1">
      <c r="A763" s="86"/>
      <c r="B763" s="42" t="s">
        <v>2752</v>
      </c>
      <c r="C763" s="42" t="s">
        <v>2753</v>
      </c>
      <c r="D763" s="42" t="s">
        <v>2754</v>
      </c>
      <c r="E763" s="42" t="s">
        <v>2755</v>
      </c>
      <c r="F763" s="42" t="s">
        <v>869</v>
      </c>
      <c r="G763" s="86"/>
      <c r="H763" s="21"/>
      <c r="I763" s="22"/>
    </row>
    <row r="764" spans="8:8" s="16" ht="49.5" customFormat="1">
      <c r="A764" s="86"/>
      <c r="B764" s="42" t="s">
        <v>2756</v>
      </c>
      <c r="C764" s="42" t="s">
        <v>2757</v>
      </c>
      <c r="D764" s="42" t="s">
        <v>2758</v>
      </c>
      <c r="E764" s="42" t="s">
        <v>2759</v>
      </c>
      <c r="F764" s="42" t="s">
        <v>869</v>
      </c>
      <c r="G764" s="86"/>
      <c r="H764" s="21"/>
      <c r="I764" s="22"/>
    </row>
    <row r="765" spans="8:8" s="16" ht="16.5" customFormat="1">
      <c r="A765" s="86"/>
      <c r="B765" s="42" t="s">
        <v>2760</v>
      </c>
      <c r="C765" s="42" t="s">
        <v>2761</v>
      </c>
      <c r="D765" s="42" t="s">
        <v>2762</v>
      </c>
      <c r="E765" s="42" t="s">
        <v>2763</v>
      </c>
      <c r="F765" s="42" t="s">
        <v>869</v>
      </c>
      <c r="G765" s="86"/>
      <c r="H765" s="21"/>
      <c r="I765" s="22"/>
    </row>
    <row r="766" spans="8:8" s="16" ht="16.5" customFormat="1">
      <c r="A766" s="86"/>
      <c r="B766" s="42" t="s">
        <v>2764</v>
      </c>
      <c r="C766" s="42" t="s">
        <v>816</v>
      </c>
      <c r="D766" s="42" t="s">
        <v>2765</v>
      </c>
      <c r="E766" s="42" t="s">
        <v>2766</v>
      </c>
      <c r="F766" s="42" t="s">
        <v>869</v>
      </c>
      <c r="G766" s="86"/>
      <c r="H766" s="21"/>
      <c r="I766" s="22"/>
    </row>
    <row r="767" spans="8:8" s="16" ht="16.5" customFormat="1">
      <c r="A767" s="86"/>
      <c r="B767" s="42" t="s">
        <v>2767</v>
      </c>
      <c r="C767" s="42" t="s">
        <v>816</v>
      </c>
      <c r="D767" s="42" t="s">
        <v>2768</v>
      </c>
      <c r="E767" s="42" t="s">
        <v>2769</v>
      </c>
      <c r="F767" s="42" t="s">
        <v>869</v>
      </c>
      <c r="G767" s="86"/>
      <c r="H767" s="21"/>
      <c r="I767" s="22"/>
    </row>
    <row r="768" spans="8:8" s="16" ht="31.35" customFormat="1" customHeight="1">
      <c r="A768" s="86"/>
      <c r="B768" s="42" t="s">
        <v>2770</v>
      </c>
      <c r="C768" s="42" t="s">
        <v>2771</v>
      </c>
      <c r="D768" s="42" t="s">
        <v>2772</v>
      </c>
      <c r="E768" s="42" t="s">
        <v>2773</v>
      </c>
      <c r="F768" s="42" t="s">
        <v>869</v>
      </c>
      <c r="G768" s="86"/>
      <c r="H768" s="21"/>
      <c r="I768" s="22"/>
    </row>
    <row r="769" spans="8:8" s="16" ht="16.5" customFormat="1">
      <c r="A769" s="86"/>
      <c r="B769" s="42" t="s">
        <v>2774</v>
      </c>
      <c r="C769" s="42" t="s">
        <v>2775</v>
      </c>
      <c r="D769" s="42" t="s">
        <v>2776</v>
      </c>
      <c r="E769" s="42" t="s">
        <v>2777</v>
      </c>
      <c r="F769" s="42" t="s">
        <v>123</v>
      </c>
      <c r="G769" s="86"/>
      <c r="H769" s="21"/>
      <c r="I769" s="22"/>
    </row>
    <row r="770" spans="8:8" s="16" ht="16.5" customFormat="1">
      <c r="A770" s="86"/>
      <c r="B770" s="42" t="s">
        <v>2778</v>
      </c>
      <c r="C770" s="42" t="s">
        <v>2779</v>
      </c>
      <c r="D770" s="42" t="s">
        <v>2780</v>
      </c>
      <c r="E770" s="42" t="s">
        <v>2781</v>
      </c>
      <c r="F770" s="42" t="s">
        <v>851</v>
      </c>
      <c r="G770" s="86"/>
      <c r="H770" s="21"/>
      <c r="I770" s="22"/>
    </row>
    <row r="771" spans="8:8" s="16" ht="16.5" customFormat="1">
      <c r="A771" s="86"/>
      <c r="B771" s="42" t="s">
        <v>2782</v>
      </c>
      <c r="C771" s="42" t="s">
        <v>2783</v>
      </c>
      <c r="D771" s="42" t="s">
        <v>2784</v>
      </c>
      <c r="E771" s="42" t="s">
        <v>2785</v>
      </c>
      <c r="F771" s="42" t="s">
        <v>819</v>
      </c>
      <c r="G771" s="86"/>
      <c r="H771" s="21"/>
      <c r="I771" s="22"/>
    </row>
    <row r="772" spans="8:8" s="16" ht="16.5" customFormat="1">
      <c r="A772" s="86"/>
      <c r="B772" s="42" t="s">
        <v>2786</v>
      </c>
      <c r="C772" s="42" t="s">
        <v>2787</v>
      </c>
      <c r="D772" s="42" t="s">
        <v>2788</v>
      </c>
      <c r="E772" s="42" t="s">
        <v>2789</v>
      </c>
      <c r="F772" s="42" t="s">
        <v>819</v>
      </c>
      <c r="G772" s="86"/>
      <c r="H772" s="21"/>
      <c r="I772" s="22"/>
    </row>
    <row r="773" spans="8:8" s="16" ht="16.5" customFormat="1">
      <c r="A773" s="86"/>
      <c r="B773" s="42" t="s">
        <v>2790</v>
      </c>
      <c r="C773" s="42" t="s">
        <v>2791</v>
      </c>
      <c r="D773" s="42" t="s">
        <v>2792</v>
      </c>
      <c r="E773" s="42" t="s">
        <v>2793</v>
      </c>
      <c r="F773" s="42" t="s">
        <v>1444</v>
      </c>
      <c r="G773" s="86"/>
      <c r="H773" s="21"/>
      <c r="I773" s="22"/>
    </row>
    <row r="774" spans="8:8" s="16" ht="16.5" customFormat="1">
      <c r="A774" s="86"/>
      <c r="B774" s="42" t="s">
        <v>2794</v>
      </c>
      <c r="C774" s="42" t="s">
        <v>2795</v>
      </c>
      <c r="D774" s="42" t="s">
        <v>2796</v>
      </c>
      <c r="E774" s="42" t="s">
        <v>2797</v>
      </c>
      <c r="F774" s="42" t="s">
        <v>1105</v>
      </c>
      <c r="G774" s="86"/>
      <c r="H774" s="21"/>
      <c r="I774" s="22"/>
    </row>
    <row r="775" spans="8:8" s="16" ht="33.0" customFormat="1">
      <c r="A775" s="86"/>
      <c r="B775" s="42" t="s">
        <v>2798</v>
      </c>
      <c r="C775" s="42" t="s">
        <v>2799</v>
      </c>
      <c r="D775" s="42" t="s">
        <v>2800</v>
      </c>
      <c r="E775" s="42" t="s">
        <v>2801</v>
      </c>
      <c r="F775" s="42" t="s">
        <v>2802</v>
      </c>
      <c r="G775" s="86"/>
      <c r="H775" s="21"/>
      <c r="I775" s="22"/>
    </row>
    <row r="776" spans="8:8" s="16" ht="16.5" customFormat="1">
      <c r="A776" s="86"/>
      <c r="B776" s="42" t="s">
        <v>2803</v>
      </c>
      <c r="C776" s="42" t="s">
        <v>2804</v>
      </c>
      <c r="D776" s="42" t="s">
        <v>2805</v>
      </c>
      <c r="E776" s="42" t="s">
        <v>2806</v>
      </c>
      <c r="F776" s="42" t="s">
        <v>851</v>
      </c>
      <c r="G776" s="86"/>
      <c r="H776" s="21"/>
      <c r="I776" s="22"/>
    </row>
    <row r="777" spans="8:8" s="16" ht="16.5" customFormat="1">
      <c r="A777" s="86"/>
      <c r="B777" s="42" t="s">
        <v>2807</v>
      </c>
      <c r="C777" s="42" t="s">
        <v>2808</v>
      </c>
      <c r="D777" s="42" t="s">
        <v>2809</v>
      </c>
      <c r="E777" s="42" t="s">
        <v>2810</v>
      </c>
      <c r="F777" s="42" t="s">
        <v>2802</v>
      </c>
      <c r="G777" s="86"/>
      <c r="H777" s="21"/>
      <c r="I777" s="22"/>
    </row>
    <row r="778" spans="8:8" s="16" ht="33.0" customFormat="1">
      <c r="A778" s="86"/>
      <c r="B778" s="42" t="s">
        <v>1122</v>
      </c>
      <c r="C778" s="42" t="s">
        <v>1526</v>
      </c>
      <c r="D778" s="42" t="s">
        <v>2811</v>
      </c>
      <c r="E778" s="42" t="s">
        <v>2812</v>
      </c>
      <c r="F778" s="42" t="s">
        <v>2813</v>
      </c>
      <c r="G778" s="86"/>
      <c r="H778" s="21"/>
      <c r="I778" s="22"/>
    </row>
    <row r="779" spans="8:8" s="16" ht="16.5" customFormat="1">
      <c r="A779" s="86"/>
      <c r="B779" s="42" t="s">
        <v>2814</v>
      </c>
      <c r="C779" s="42" t="s">
        <v>2815</v>
      </c>
      <c r="D779" s="42" t="s">
        <v>2816</v>
      </c>
      <c r="E779" s="42" t="s">
        <v>2817</v>
      </c>
      <c r="F779" s="42" t="s">
        <v>869</v>
      </c>
      <c r="G779" s="86"/>
      <c r="H779" s="21"/>
      <c r="I779" s="22"/>
    </row>
    <row r="780" spans="8:8" s="16" ht="16.5" customFormat="1">
      <c r="A780" s="86"/>
      <c r="B780" s="42" t="s">
        <v>2071</v>
      </c>
      <c r="C780" s="42" t="s">
        <v>2818</v>
      </c>
      <c r="D780" s="42" t="s">
        <v>2819</v>
      </c>
      <c r="E780" s="42" t="s">
        <v>2820</v>
      </c>
      <c r="F780" s="42" t="s">
        <v>2813</v>
      </c>
      <c r="G780" s="86"/>
      <c r="H780" s="21"/>
      <c r="I780" s="22"/>
    </row>
    <row r="781" spans="8:8" s="16" ht="16.5" customFormat="1">
      <c r="A781" s="86"/>
      <c r="B781" s="87" t="s">
        <v>906</v>
      </c>
      <c r="C781" s="87" t="s">
        <v>906</v>
      </c>
      <c r="D781" s="88" t="s">
        <v>2821</v>
      </c>
      <c r="E781" s="87" t="s">
        <v>906</v>
      </c>
      <c r="F781" s="87" t="s">
        <v>906</v>
      </c>
      <c r="G781" s="86"/>
      <c r="H781" s="21"/>
      <c r="I781" s="22"/>
    </row>
    <row r="782" spans="8:8" s="16" ht="16.5" customFormat="1">
      <c r="A782" s="86"/>
      <c r="B782" s="87" t="s">
        <v>906</v>
      </c>
      <c r="C782" s="87" t="s">
        <v>906</v>
      </c>
      <c r="D782" s="88" t="s">
        <v>2822</v>
      </c>
      <c r="E782" s="87" t="s">
        <v>906</v>
      </c>
      <c r="F782" s="87" t="s">
        <v>906</v>
      </c>
      <c r="G782" s="86"/>
      <c r="H782" s="21"/>
      <c r="I782" s="22"/>
    </row>
    <row r="783" spans="8:8" s="16" ht="16.15" customFormat="1">
      <c r="A783" s="86"/>
      <c r="B783" s="42" t="s">
        <v>2823</v>
      </c>
      <c r="C783" s="42" t="s">
        <v>2824</v>
      </c>
      <c r="D783" s="42" t="s">
        <v>2825</v>
      </c>
      <c r="E783" s="42" t="s">
        <v>10097</v>
      </c>
      <c r="F783" s="42" t="s">
        <v>2827</v>
      </c>
      <c r="G783" s="86"/>
      <c r="H783" s="21"/>
      <c r="I783" s="22"/>
    </row>
    <row r="784" spans="8:8" s="16" ht="33.0" customFormat="1">
      <c r="A784" s="86"/>
      <c r="B784" s="42" t="s">
        <v>2828</v>
      </c>
      <c r="C784" s="42" t="s">
        <v>2829</v>
      </c>
      <c r="D784" s="42" t="s">
        <v>2830</v>
      </c>
      <c r="E784" s="42" t="s">
        <v>2831</v>
      </c>
      <c r="F784" s="42" t="s">
        <v>2827</v>
      </c>
      <c r="G784" s="86"/>
      <c r="H784" s="21"/>
      <c r="I784" s="22"/>
    </row>
    <row r="785" spans="8:8" s="16" ht="33.0" customFormat="1">
      <c r="A785" s="86"/>
      <c r="B785" s="42" t="s">
        <v>2832</v>
      </c>
      <c r="C785" s="42" t="s">
        <v>2833</v>
      </c>
      <c r="D785" s="42" t="s">
        <v>2834</v>
      </c>
      <c r="E785" s="42" t="s">
        <v>2835</v>
      </c>
      <c r="F785" s="42" t="s">
        <v>2827</v>
      </c>
      <c r="G785" s="86"/>
      <c r="H785" s="21"/>
      <c r="I785" s="22"/>
    </row>
    <row r="786" spans="8:8" s="16" ht="16.5" customFormat="1">
      <c r="A786" s="86"/>
      <c r="B786" s="42" t="s">
        <v>2836</v>
      </c>
      <c r="C786" s="42" t="s">
        <v>2837</v>
      </c>
      <c r="D786" s="42" t="s">
        <v>2838</v>
      </c>
      <c r="E786" s="42" t="s">
        <v>2839</v>
      </c>
      <c r="F786" s="42" t="s">
        <v>123</v>
      </c>
      <c r="G786" s="86"/>
      <c r="H786" s="21"/>
      <c r="I786" s="22"/>
    </row>
    <row r="787" spans="8:8" s="16" ht="16.5" customFormat="1">
      <c r="A787" s="86"/>
      <c r="B787" s="42" t="s">
        <v>2840</v>
      </c>
      <c r="C787" s="42" t="s">
        <v>2841</v>
      </c>
      <c r="D787" s="42" t="s">
        <v>2842</v>
      </c>
      <c r="E787" s="42" t="s">
        <v>2843</v>
      </c>
      <c r="F787" s="42" t="s">
        <v>123</v>
      </c>
      <c r="G787" s="86"/>
      <c r="H787" s="21"/>
      <c r="I787" s="22"/>
    </row>
    <row r="788" spans="8:8" s="16" ht="16.5" customFormat="1">
      <c r="A788" s="86"/>
      <c r="B788" s="87" t="s">
        <v>906</v>
      </c>
      <c r="C788" s="87" t="s">
        <v>906</v>
      </c>
      <c r="D788" s="88" t="s">
        <v>2844</v>
      </c>
      <c r="E788" s="87" t="s">
        <v>906</v>
      </c>
      <c r="F788" s="87" t="s">
        <v>906</v>
      </c>
      <c r="G788" s="86"/>
      <c r="H788" s="21"/>
      <c r="I788" s="22"/>
    </row>
    <row r="789" spans="8:8" s="16" ht="16.5" customFormat="1">
      <c r="A789" s="86"/>
      <c r="B789" s="42" t="s">
        <v>1315</v>
      </c>
      <c r="C789" s="42" t="s">
        <v>2845</v>
      </c>
      <c r="D789" s="42" t="s">
        <v>2846</v>
      </c>
      <c r="E789" s="42" t="s">
        <v>2847</v>
      </c>
      <c r="F789" s="42" t="s">
        <v>2848</v>
      </c>
      <c r="G789" s="86"/>
      <c r="H789" s="21"/>
      <c r="I789" s="22"/>
    </row>
    <row r="790" spans="8:8" s="16" ht="16.5" customFormat="1">
      <c r="A790" s="86"/>
      <c r="B790" s="42" t="s">
        <v>2849</v>
      </c>
      <c r="C790" s="42" t="s">
        <v>2850</v>
      </c>
      <c r="D790" s="42" t="s">
        <v>2851</v>
      </c>
      <c r="E790" s="42" t="s">
        <v>2852</v>
      </c>
      <c r="F790" s="42" t="s">
        <v>1105</v>
      </c>
      <c r="G790" s="86"/>
      <c r="H790" s="21"/>
      <c r="I790" s="22"/>
    </row>
    <row r="791" spans="8:8" s="16" ht="16.5" customFormat="1">
      <c r="A791" s="86"/>
      <c r="B791" s="42" t="s">
        <v>852</v>
      </c>
      <c r="C791" s="42" t="s">
        <v>853</v>
      </c>
      <c r="D791" s="42" t="s">
        <v>2853</v>
      </c>
      <c r="E791" s="42" t="s">
        <v>2270</v>
      </c>
      <c r="F791" s="42" t="s">
        <v>1105</v>
      </c>
      <c r="G791" s="86"/>
      <c r="H791" s="21"/>
      <c r="I791" s="22"/>
    </row>
    <row r="792" spans="8:8" s="16" ht="16.5" customFormat="1">
      <c r="A792" s="86"/>
      <c r="B792" s="42" t="s">
        <v>2854</v>
      </c>
      <c r="C792" s="42" t="s">
        <v>2855</v>
      </c>
      <c r="D792" s="42" t="s">
        <v>2856</v>
      </c>
      <c r="E792" s="42" t="s">
        <v>2857</v>
      </c>
      <c r="F792" s="42" t="s">
        <v>1105</v>
      </c>
      <c r="G792" s="86"/>
      <c r="H792" s="21"/>
      <c r="I792" s="22"/>
    </row>
    <row r="793" spans="8:8" s="16" ht="16.5" customFormat="1">
      <c r="A793" s="86"/>
      <c r="B793" s="42" t="s">
        <v>2858</v>
      </c>
      <c r="C793" s="42" t="s">
        <v>2859</v>
      </c>
      <c r="D793" s="42" t="s">
        <v>2860</v>
      </c>
      <c r="E793" s="42" t="s">
        <v>2861</v>
      </c>
      <c r="F793" s="42" t="s">
        <v>869</v>
      </c>
      <c r="G793" s="86"/>
      <c r="H793" s="21"/>
      <c r="I793" s="22"/>
    </row>
    <row r="794" spans="8:8" s="16" ht="16.5" customFormat="1">
      <c r="A794" s="86"/>
      <c r="B794" s="42" t="s">
        <v>2862</v>
      </c>
      <c r="C794" s="42" t="s">
        <v>2863</v>
      </c>
      <c r="D794" s="42" t="s">
        <v>2864</v>
      </c>
      <c r="E794" s="42" t="s">
        <v>2865</v>
      </c>
      <c r="F794" s="42" t="s">
        <v>1105</v>
      </c>
      <c r="G794" s="86"/>
      <c r="H794" s="21"/>
      <c r="I794" s="22"/>
    </row>
    <row r="795" spans="8:8" s="16" ht="16.5" customFormat="1">
      <c r="A795" s="86"/>
      <c r="B795" s="42" t="s">
        <v>2866</v>
      </c>
      <c r="C795" s="42" t="s">
        <v>2867</v>
      </c>
      <c r="D795" s="42" t="s">
        <v>2868</v>
      </c>
      <c r="E795" s="42" t="s">
        <v>2869</v>
      </c>
      <c r="F795" s="42" t="s">
        <v>869</v>
      </c>
      <c r="G795" s="86"/>
      <c r="H795" s="21"/>
      <c r="I795" s="22"/>
    </row>
    <row r="796" spans="8:8" s="16" ht="16.5" customFormat="1">
      <c r="A796" s="86"/>
      <c r="B796" s="42" t="s">
        <v>2870</v>
      </c>
      <c r="C796" s="42" t="s">
        <v>2871</v>
      </c>
      <c r="D796" s="42" t="s">
        <v>2872</v>
      </c>
      <c r="E796" s="42" t="s">
        <v>2873</v>
      </c>
      <c r="F796" s="42" t="s">
        <v>1105</v>
      </c>
      <c r="G796" s="86"/>
      <c r="H796" s="21"/>
      <c r="I796" s="22"/>
    </row>
    <row r="797" spans="8:8" s="16" ht="16.5" customFormat="1">
      <c r="A797" s="86"/>
      <c r="B797" s="42" t="s">
        <v>2874</v>
      </c>
      <c r="C797" s="42" t="s">
        <v>2875</v>
      </c>
      <c r="D797" s="42" t="s">
        <v>2868</v>
      </c>
      <c r="E797" s="42" t="s">
        <v>2876</v>
      </c>
      <c r="F797" s="42" t="s">
        <v>869</v>
      </c>
      <c r="G797" s="86"/>
      <c r="H797" s="21"/>
      <c r="I797" s="22"/>
    </row>
    <row r="798" spans="8:8" s="16" ht="16.5" customFormat="1">
      <c r="A798" s="86"/>
      <c r="B798" s="42" t="s">
        <v>2877</v>
      </c>
      <c r="C798" s="42" t="s">
        <v>2878</v>
      </c>
      <c r="D798" s="42" t="s">
        <v>2879</v>
      </c>
      <c r="E798" s="42" t="s">
        <v>2880</v>
      </c>
      <c r="F798" s="42" t="s">
        <v>123</v>
      </c>
      <c r="G798" s="86"/>
      <c r="H798" s="21"/>
      <c r="I798" s="22"/>
    </row>
    <row r="799" spans="8:8" s="16" ht="16.5" customFormat="1">
      <c r="A799" s="86"/>
      <c r="B799" s="42" t="s">
        <v>2881</v>
      </c>
      <c r="C799" s="42" t="s">
        <v>2882</v>
      </c>
      <c r="D799" s="42" t="s">
        <v>2883</v>
      </c>
      <c r="E799" s="42" t="s">
        <v>2884</v>
      </c>
      <c r="F799" s="42" t="s">
        <v>123</v>
      </c>
      <c r="G799" s="86"/>
      <c r="H799" s="21"/>
      <c r="I799" s="22"/>
    </row>
    <row r="800" spans="8:8" s="16" ht="16.5" customFormat="1">
      <c r="A800" s="86"/>
      <c r="B800" s="42" t="s">
        <v>2885</v>
      </c>
      <c r="C800" s="42" t="s">
        <v>2886</v>
      </c>
      <c r="D800" s="42" t="s">
        <v>2887</v>
      </c>
      <c r="E800" s="42" t="s">
        <v>2888</v>
      </c>
      <c r="F800" s="42" t="s">
        <v>1105</v>
      </c>
      <c r="G800" s="86"/>
      <c r="H800" s="21"/>
      <c r="I800" s="22"/>
    </row>
    <row r="801" spans="8:8" s="16" ht="16.5" customFormat="1">
      <c r="A801" s="86"/>
      <c r="B801" s="42" t="s">
        <v>2889</v>
      </c>
      <c r="C801" s="42" t="s">
        <v>2890</v>
      </c>
      <c r="D801" s="42" t="s">
        <v>2891</v>
      </c>
      <c r="E801" s="42" t="s">
        <v>2889</v>
      </c>
      <c r="F801" s="42" t="s">
        <v>123</v>
      </c>
      <c r="G801" s="86"/>
      <c r="H801" s="21"/>
      <c r="I801" s="22"/>
    </row>
    <row r="802" spans="8:8" s="16" ht="16.5" customFormat="1">
      <c r="A802" s="86"/>
      <c r="B802" s="42" t="s">
        <v>2892</v>
      </c>
      <c r="C802" s="42" t="s">
        <v>2893</v>
      </c>
      <c r="D802" s="42" t="s">
        <v>2894</v>
      </c>
      <c r="E802" s="42" t="s">
        <v>2895</v>
      </c>
      <c r="F802" s="42" t="s">
        <v>123</v>
      </c>
      <c r="G802" s="86"/>
      <c r="H802" s="21"/>
      <c r="I802" s="22"/>
    </row>
    <row r="803" spans="8:8" s="16" ht="16.5" customFormat="1">
      <c r="A803" s="86"/>
      <c r="B803" s="42" t="s">
        <v>2896</v>
      </c>
      <c r="C803" s="42" t="s">
        <v>2897</v>
      </c>
      <c r="D803" s="42" t="s">
        <v>2898</v>
      </c>
      <c r="E803" s="42" t="s">
        <v>2899</v>
      </c>
      <c r="F803" s="42" t="s">
        <v>123</v>
      </c>
      <c r="G803" s="86"/>
      <c r="H803" s="21"/>
      <c r="I803" s="22"/>
    </row>
    <row r="804" spans="8:8" s="16" ht="16.5" customFormat="1">
      <c r="A804" s="86"/>
      <c r="B804" s="42" t="s">
        <v>2900</v>
      </c>
      <c r="C804" s="42" t="s">
        <v>2901</v>
      </c>
      <c r="D804" s="42" t="s">
        <v>2902</v>
      </c>
      <c r="E804" s="42" t="s">
        <v>2903</v>
      </c>
      <c r="F804" s="42" t="s">
        <v>123</v>
      </c>
      <c r="G804" s="86"/>
      <c r="H804" s="21"/>
      <c r="I804" s="22"/>
    </row>
    <row r="805" spans="8:8" s="16" ht="16.5" customFormat="1">
      <c r="A805" s="86"/>
      <c r="B805" s="42" t="s">
        <v>2904</v>
      </c>
      <c r="C805" s="42" t="s">
        <v>2905</v>
      </c>
      <c r="D805" s="42" t="s">
        <v>2906</v>
      </c>
      <c r="E805" s="42" t="s">
        <v>2907</v>
      </c>
      <c r="F805" s="42" t="s">
        <v>38</v>
      </c>
      <c r="G805" s="86"/>
      <c r="H805" s="21"/>
      <c r="I805" s="22"/>
    </row>
    <row r="806" spans="8:8" s="16" ht="16.5" customFormat="1">
      <c r="A806" s="86"/>
      <c r="B806" s="42" t="s">
        <v>2908</v>
      </c>
      <c r="C806" s="42" t="s">
        <v>2909</v>
      </c>
      <c r="D806" s="42" t="s">
        <v>2910</v>
      </c>
      <c r="E806" s="42" t="s">
        <v>2911</v>
      </c>
      <c r="F806" s="42" t="s">
        <v>123</v>
      </c>
      <c r="G806" s="86"/>
      <c r="H806" s="21"/>
      <c r="I806" s="22"/>
    </row>
    <row r="807" spans="8:8" s="16" ht="16.5" customFormat="1">
      <c r="A807" s="86"/>
      <c r="B807" s="42" t="s">
        <v>2949</v>
      </c>
      <c r="C807" s="42" t="s">
        <v>2950</v>
      </c>
      <c r="D807" s="42" t="s">
        <v>2951</v>
      </c>
      <c r="E807" s="42" t="s">
        <v>2952</v>
      </c>
      <c r="F807" s="42" t="s">
        <v>2953</v>
      </c>
      <c r="G807" s="86"/>
      <c r="H807" s="21"/>
      <c r="I807" s="22"/>
    </row>
    <row r="808" spans="8:8" s="16" ht="16.5" customFormat="1">
      <c r="A808" s="86"/>
      <c r="B808" s="87" t="s">
        <v>906</v>
      </c>
      <c r="C808" s="87" t="s">
        <v>906</v>
      </c>
      <c r="D808" s="88" t="s">
        <v>2912</v>
      </c>
      <c r="E808" s="87" t="s">
        <v>906</v>
      </c>
      <c r="F808" s="87" t="s">
        <v>906</v>
      </c>
      <c r="G808" s="86"/>
      <c r="H808" s="21"/>
      <c r="I808" s="22"/>
    </row>
    <row r="809" spans="8:8" s="16" ht="16.5" customFormat="1">
      <c r="A809" s="86"/>
      <c r="B809" s="42" t="s">
        <v>2913</v>
      </c>
      <c r="C809" s="42" t="s">
        <v>2914</v>
      </c>
      <c r="D809" s="42" t="s">
        <v>2915</v>
      </c>
      <c r="E809" s="42" t="s">
        <v>2916</v>
      </c>
      <c r="F809" s="42" t="s">
        <v>1105</v>
      </c>
      <c r="G809" s="86"/>
      <c r="H809" s="21"/>
      <c r="I809" s="22"/>
    </row>
    <row r="810" spans="8:8" s="16" ht="19.3" customFormat="1" customHeight="1">
      <c r="A810" s="86"/>
      <c r="B810" s="42" t="s">
        <v>2917</v>
      </c>
      <c r="C810" s="42" t="s">
        <v>2918</v>
      </c>
      <c r="D810" s="42" t="s">
        <v>2919</v>
      </c>
      <c r="E810" s="42" t="s">
        <v>2920</v>
      </c>
      <c r="F810" s="42" t="s">
        <v>1105</v>
      </c>
      <c r="G810" s="86"/>
      <c r="H810" s="21"/>
      <c r="I810" s="22"/>
    </row>
    <row r="811" spans="8:8" s="16" ht="16.5" customFormat="1">
      <c r="A811" s="86"/>
      <c r="B811" s="42" t="s">
        <v>2921</v>
      </c>
      <c r="C811" s="42" t="s">
        <v>2922</v>
      </c>
      <c r="D811" s="42" t="s">
        <v>2923</v>
      </c>
      <c r="E811" s="42" t="s">
        <v>2924</v>
      </c>
      <c r="F811" s="42" t="s">
        <v>2802</v>
      </c>
      <c r="G811" s="86"/>
      <c r="H811" s="21"/>
      <c r="I811" s="22"/>
    </row>
    <row r="812" spans="8:8" s="16" ht="16.5" customFormat="1">
      <c r="A812" s="86"/>
      <c r="B812" s="87" t="s">
        <v>906</v>
      </c>
      <c r="C812" s="87" t="s">
        <v>906</v>
      </c>
      <c r="D812" s="88" t="s">
        <v>2925</v>
      </c>
      <c r="E812" s="87" t="s">
        <v>906</v>
      </c>
      <c r="F812" s="87" t="s">
        <v>906</v>
      </c>
      <c r="G812" s="86"/>
      <c r="H812" s="21"/>
      <c r="I812" s="22"/>
    </row>
    <row r="813" spans="8:8" s="16" ht="68.05" customFormat="1" customHeight="1">
      <c r="A813" s="86"/>
      <c r="B813" s="42" t="s">
        <v>2926</v>
      </c>
      <c r="C813" s="42" t="s">
        <v>2927</v>
      </c>
      <c r="D813" s="42" t="s">
        <v>2928</v>
      </c>
      <c r="E813" s="42" t="s">
        <v>2929</v>
      </c>
      <c r="F813" s="42" t="s">
        <v>2930</v>
      </c>
      <c r="G813" s="86"/>
      <c r="H813" s="21"/>
      <c r="I813" s="22"/>
    </row>
    <row r="814" spans="8:8" s="16" ht="16.5" customFormat="1">
      <c r="A814" s="86"/>
      <c r="B814" s="42" t="s">
        <v>2931</v>
      </c>
      <c r="C814" s="42" t="s">
        <v>2932</v>
      </c>
      <c r="D814" s="42" t="s">
        <v>2933</v>
      </c>
      <c r="E814" s="42" t="s">
        <v>2934</v>
      </c>
      <c r="F814" s="42" t="s">
        <v>2935</v>
      </c>
      <c r="G814" s="86"/>
      <c r="H814" s="21"/>
      <c r="I814" s="22"/>
    </row>
    <row r="815" spans="8:8" s="16" ht="16.5" customFormat="1">
      <c r="A815" s="86"/>
      <c r="B815" s="42" t="s">
        <v>2936</v>
      </c>
      <c r="C815" s="42" t="s">
        <v>2937</v>
      </c>
      <c r="D815" s="42" t="s">
        <v>2938</v>
      </c>
      <c r="E815" s="42" t="s">
        <v>2939</v>
      </c>
      <c r="F815" s="42" t="s">
        <v>43</v>
      </c>
      <c r="G815" s="86"/>
      <c r="H815" s="21"/>
      <c r="I815" s="22"/>
    </row>
    <row r="816" spans="8:8" s="16" ht="16.5" customFormat="1">
      <c r="A816" s="86"/>
      <c r="B816" s="42" t="s">
        <v>2945</v>
      </c>
      <c r="C816" s="42" t="s">
        <v>2946</v>
      </c>
      <c r="D816" s="42" t="s">
        <v>2947</v>
      </c>
      <c r="E816" s="42" t="s">
        <v>2948</v>
      </c>
      <c r="F816" s="42" t="s">
        <v>1105</v>
      </c>
      <c r="G816" s="86"/>
      <c r="H816" s="21"/>
      <c r="I816" s="22"/>
    </row>
    <row r="817" spans="8:8" s="16" ht="43.0" customFormat="1">
      <c r="A817" s="86"/>
      <c r="B817" s="23" t="s">
        <v>731</v>
      </c>
      <c r="C817" s="23" t="s">
        <v>732</v>
      </c>
      <c r="D817" s="23" t="s">
        <v>733</v>
      </c>
      <c r="E817" s="23" t="s">
        <v>734</v>
      </c>
      <c r="F817" s="23" t="s">
        <v>735</v>
      </c>
      <c r="G817" s="86"/>
      <c r="H817" s="21"/>
      <c r="I817" s="22"/>
    </row>
    <row r="818" spans="8:8" s="16" ht="16.5" customFormat="1">
      <c r="A818" s="86"/>
      <c r="B818" s="87" t="s">
        <v>906</v>
      </c>
      <c r="C818" s="87" t="s">
        <v>906</v>
      </c>
      <c r="D818" s="88" t="s">
        <v>2954</v>
      </c>
      <c r="E818" s="87" t="s">
        <v>906</v>
      </c>
      <c r="F818" s="87" t="s">
        <v>906</v>
      </c>
      <c r="G818" s="86"/>
      <c r="H818" s="21"/>
      <c r="I818" s="22"/>
    </row>
    <row r="819" spans="8:8" s="16" ht="16.5" customFormat="1">
      <c r="A819" s="86"/>
      <c r="B819" s="42" t="s">
        <v>2955</v>
      </c>
      <c r="C819" s="42" t="s">
        <v>2956</v>
      </c>
      <c r="D819" s="42" t="s">
        <v>2957</v>
      </c>
      <c r="E819" s="42" t="s">
        <v>2958</v>
      </c>
      <c r="F819" s="42" t="s">
        <v>52</v>
      </c>
      <c r="G819" s="86"/>
      <c r="H819" s="21"/>
      <c r="I819" s="22"/>
    </row>
    <row r="820" spans="8:8" s="16" ht="20.8" customFormat="1" customHeight="1">
      <c r="A820" s="86"/>
      <c r="B820" s="42" t="s">
        <v>2959</v>
      </c>
      <c r="C820" s="42" t="s">
        <v>2960</v>
      </c>
      <c r="D820" s="42" t="s">
        <v>2961</v>
      </c>
      <c r="E820" s="42" t="s">
        <v>2962</v>
      </c>
      <c r="F820" s="42" t="s">
        <v>123</v>
      </c>
      <c r="G820" s="86"/>
      <c r="H820" s="21"/>
      <c r="I820" s="22"/>
    </row>
    <row r="821" spans="8:8" s="16" ht="16.5" customFormat="1">
      <c r="A821" s="86"/>
      <c r="B821" s="42" t="s">
        <v>2963</v>
      </c>
      <c r="C821" s="42" t="s">
        <v>2964</v>
      </c>
      <c r="D821" s="42" t="s">
        <v>2965</v>
      </c>
      <c r="E821" s="42" t="s">
        <v>2966</v>
      </c>
      <c r="F821" s="42" t="s">
        <v>123</v>
      </c>
      <c r="G821" s="86"/>
      <c r="H821" s="21"/>
      <c r="I821" s="22"/>
    </row>
    <row r="822" spans="8:8" s="16" ht="16.5" customFormat="1">
      <c r="A822" s="86"/>
      <c r="B822" s="42" t="s">
        <v>2967</v>
      </c>
      <c r="C822" s="42" t="s">
        <v>2968</v>
      </c>
      <c r="D822" s="42" t="s">
        <v>2969</v>
      </c>
      <c r="E822" s="42" t="s">
        <v>2970</v>
      </c>
      <c r="F822" s="42" t="s">
        <v>123</v>
      </c>
      <c r="G822" s="86"/>
      <c r="H822" s="21"/>
      <c r="I822" s="22"/>
    </row>
    <row r="823" spans="8:8" s="16" ht="16.5" customFormat="1">
      <c r="A823" s="86"/>
      <c r="B823" s="42" t="s">
        <v>2971</v>
      </c>
      <c r="C823" s="42" t="s">
        <v>2972</v>
      </c>
      <c r="D823" s="42" t="s">
        <v>2973</v>
      </c>
      <c r="E823" s="42" t="s">
        <v>2974</v>
      </c>
      <c r="F823" s="42" t="s">
        <v>123</v>
      </c>
      <c r="G823" s="86"/>
      <c r="H823" s="21"/>
      <c r="I823" s="22"/>
    </row>
    <row r="824" spans="8:8" s="16" ht="16.5" customFormat="1">
      <c r="A824" s="86"/>
      <c r="B824" s="42" t="s">
        <v>2975</v>
      </c>
      <c r="C824" s="42" t="s">
        <v>2976</v>
      </c>
      <c r="D824" s="42" t="s">
        <v>2977</v>
      </c>
      <c r="E824" s="42" t="s">
        <v>2978</v>
      </c>
      <c r="F824" s="42" t="s">
        <v>123</v>
      </c>
      <c r="G824" s="86"/>
      <c r="H824" s="21"/>
      <c r="I824" s="22"/>
    </row>
    <row r="825" spans="8:8" s="16" ht="16.5" customFormat="1">
      <c r="A825" s="86"/>
      <c r="B825" s="42" t="s">
        <v>2979</v>
      </c>
      <c r="C825" s="42" t="s">
        <v>2980</v>
      </c>
      <c r="D825" s="42" t="s">
        <v>2981</v>
      </c>
      <c r="E825" s="42" t="s">
        <v>2982</v>
      </c>
      <c r="F825" s="42" t="s">
        <v>123</v>
      </c>
      <c r="G825" s="86"/>
      <c r="H825" s="21"/>
      <c r="I825" s="22"/>
    </row>
    <row r="826" spans="8:8" s="16" ht="16.5" customFormat="1">
      <c r="A826" s="86"/>
      <c r="B826" s="42" t="s">
        <v>2983</v>
      </c>
      <c r="C826" s="42" t="s">
        <v>2984</v>
      </c>
      <c r="D826" s="42" t="s">
        <v>2985</v>
      </c>
      <c r="E826" s="42" t="s">
        <v>2986</v>
      </c>
      <c r="F826" s="42" t="s">
        <v>1453</v>
      </c>
      <c r="G826" s="86"/>
      <c r="H826" s="21"/>
      <c r="I826" s="22"/>
    </row>
    <row r="827" spans="8:8" s="16" ht="16.5" customFormat="1">
      <c r="A827" s="86"/>
      <c r="B827" s="42" t="s">
        <v>2987</v>
      </c>
      <c r="C827" s="42" t="s">
        <v>2988</v>
      </c>
      <c r="D827" s="42" t="s">
        <v>2989</v>
      </c>
      <c r="E827" s="42" t="s">
        <v>2990</v>
      </c>
      <c r="F827" s="42" t="s">
        <v>851</v>
      </c>
      <c r="G827" s="86"/>
      <c r="H827" s="21"/>
      <c r="I827" s="22"/>
    </row>
    <row r="828" spans="8:8" s="16" ht="16.5" customFormat="1">
      <c r="A828" s="86"/>
      <c r="B828" s="42" t="s">
        <v>2991</v>
      </c>
      <c r="C828" s="42" t="s">
        <v>2992</v>
      </c>
      <c r="D828" s="42" t="s">
        <v>2993</v>
      </c>
      <c r="E828" s="42" t="s">
        <v>2994</v>
      </c>
      <c r="F828" s="42" t="s">
        <v>123</v>
      </c>
      <c r="G828" s="86"/>
      <c r="H828" s="21"/>
      <c r="I828" s="22"/>
    </row>
    <row r="829" spans="8:8" s="16" ht="16.5" customFormat="1">
      <c r="A829" s="86"/>
      <c r="B829" s="42" t="s">
        <v>2995</v>
      </c>
      <c r="C829" s="42" t="s">
        <v>2996</v>
      </c>
      <c r="D829" s="42" t="s">
        <v>2997</v>
      </c>
      <c r="E829" s="42" t="s">
        <v>2998</v>
      </c>
      <c r="F829" s="42" t="s">
        <v>123</v>
      </c>
      <c r="G829" s="86"/>
      <c r="H829" s="21"/>
      <c r="I829" s="22"/>
    </row>
    <row r="830" spans="8:8" s="16" ht="16.5" customFormat="1">
      <c r="A830" s="86"/>
      <c r="B830" s="42" t="s">
        <v>2999</v>
      </c>
      <c r="C830" s="42" t="s">
        <v>3000</v>
      </c>
      <c r="D830" s="42" t="s">
        <v>3001</v>
      </c>
      <c r="E830" s="42" t="s">
        <v>3002</v>
      </c>
      <c r="F830" s="42" t="s">
        <v>2935</v>
      </c>
      <c r="G830" s="86"/>
      <c r="H830" s="21"/>
      <c r="I830" s="22"/>
    </row>
    <row r="831" spans="8:8" s="16" ht="16.5" customFormat="1">
      <c r="A831" s="86"/>
      <c r="B831" s="42" t="s">
        <v>3003</v>
      </c>
      <c r="C831" s="42" t="s">
        <v>3004</v>
      </c>
      <c r="D831" s="42" t="s">
        <v>3005</v>
      </c>
      <c r="E831" s="42" t="s">
        <v>3006</v>
      </c>
      <c r="F831" s="42" t="s">
        <v>3007</v>
      </c>
      <c r="G831" s="86"/>
      <c r="H831" s="21"/>
      <c r="I831" s="22"/>
    </row>
    <row r="832" spans="8:8" s="16" ht="16.5" customFormat="1">
      <c r="A832" s="86"/>
      <c r="B832" s="42" t="s">
        <v>3008</v>
      </c>
      <c r="C832" s="42" t="s">
        <v>3009</v>
      </c>
      <c r="D832" s="42" t="s">
        <v>3010</v>
      </c>
      <c r="E832" s="42" t="s">
        <v>3011</v>
      </c>
      <c r="F832" s="42" t="s">
        <v>3012</v>
      </c>
      <c r="G832" s="86"/>
      <c r="H832" s="21"/>
      <c r="I832" s="22"/>
    </row>
    <row r="833" spans="8:8" s="16" ht="22.3" customFormat="1" customHeight="1">
      <c r="A833" s="86"/>
      <c r="B833" s="42" t="s">
        <v>3013</v>
      </c>
      <c r="C833" s="42" t="s">
        <v>3014</v>
      </c>
      <c r="D833" s="42" t="s">
        <v>3015</v>
      </c>
      <c r="E833" s="42" t="s">
        <v>3016</v>
      </c>
      <c r="F833" s="42" t="s">
        <v>123</v>
      </c>
      <c r="G833" s="86"/>
      <c r="H833" s="21"/>
      <c r="I833" s="22"/>
    </row>
    <row r="834" spans="8:8" s="16" ht="16.5" customFormat="1">
      <c r="A834" s="86"/>
      <c r="B834" s="42" t="s">
        <v>3017</v>
      </c>
      <c r="C834" s="42" t="s">
        <v>3018</v>
      </c>
      <c r="D834" s="42" t="s">
        <v>3019</v>
      </c>
      <c r="E834" s="42" t="s">
        <v>3020</v>
      </c>
      <c r="F834" s="42" t="s">
        <v>1131</v>
      </c>
      <c r="G834" s="86"/>
      <c r="H834" s="21"/>
      <c r="I834" s="22"/>
    </row>
    <row r="835" spans="8:8" s="16" ht="16.5" customFormat="1">
      <c r="A835" s="86"/>
      <c r="B835" s="42" t="s">
        <v>3021</v>
      </c>
      <c r="C835" s="42" t="s">
        <v>3022</v>
      </c>
      <c r="D835" s="42" t="s">
        <v>3023</v>
      </c>
      <c r="E835" s="42" t="s">
        <v>3024</v>
      </c>
      <c r="F835" s="42" t="s">
        <v>2401</v>
      </c>
      <c r="G835" s="86"/>
      <c r="H835" s="21"/>
      <c r="I835" s="22"/>
    </row>
    <row r="836" spans="8:8" s="16" ht="16.5" customFormat="1">
      <c r="A836" s="86"/>
      <c r="B836" s="42" t="s">
        <v>3025</v>
      </c>
      <c r="C836" s="42" t="s">
        <v>3026</v>
      </c>
      <c r="D836" s="42" t="s">
        <v>3027</v>
      </c>
      <c r="E836" s="42" t="s">
        <v>3028</v>
      </c>
      <c r="F836" s="42" t="s">
        <v>2414</v>
      </c>
      <c r="G836" s="86"/>
      <c r="H836" s="21"/>
      <c r="I836" s="22"/>
    </row>
    <row r="837" spans="8:8" s="16" ht="33.0" customFormat="1">
      <c r="A837" s="86"/>
      <c r="B837" s="87" t="s">
        <v>906</v>
      </c>
      <c r="C837" s="87" t="s">
        <v>906</v>
      </c>
      <c r="D837" s="87" t="s">
        <v>3029</v>
      </c>
      <c r="E837" s="87" t="s">
        <v>906</v>
      </c>
      <c r="F837" s="87" t="s">
        <v>906</v>
      </c>
      <c r="G837" s="86"/>
      <c r="H837" s="21"/>
      <c r="I837" s="22"/>
    </row>
    <row r="838" spans="8:8" s="16" ht="49.5" customFormat="1">
      <c r="A838" s="86"/>
      <c r="B838" s="42" t="s">
        <v>3030</v>
      </c>
      <c r="C838" s="42" t="s">
        <v>3031</v>
      </c>
      <c r="D838" s="42" t="s">
        <v>3032</v>
      </c>
      <c r="E838" s="42" t="s">
        <v>3033</v>
      </c>
      <c r="F838" s="42" t="s">
        <v>1105</v>
      </c>
      <c r="G838" s="86"/>
      <c r="H838" s="21"/>
      <c r="I838" s="22"/>
    </row>
    <row r="839" spans="8:8" s="16" ht="16.5" customFormat="1">
      <c r="A839" s="86"/>
      <c r="B839" s="42" t="s">
        <v>3034</v>
      </c>
      <c r="C839" s="42" t="s">
        <v>3035</v>
      </c>
      <c r="D839" s="42" t="s">
        <v>3036</v>
      </c>
      <c r="E839" s="42" t="s">
        <v>3037</v>
      </c>
      <c r="F839" s="42" t="s">
        <v>2802</v>
      </c>
      <c r="G839" s="86"/>
      <c r="H839" s="21"/>
      <c r="I839" s="22"/>
    </row>
    <row r="840" spans="8:8" s="16" ht="16.5" customFormat="1">
      <c r="A840" s="86"/>
      <c r="B840" s="42" t="s">
        <v>3038</v>
      </c>
      <c r="C840" s="42" t="s">
        <v>3039</v>
      </c>
      <c r="D840" s="42" t="s">
        <v>3040</v>
      </c>
      <c r="E840" s="42" t="s">
        <v>3041</v>
      </c>
      <c r="F840" s="42" t="s">
        <v>123</v>
      </c>
      <c r="G840" s="86"/>
      <c r="H840" s="21"/>
      <c r="I840" s="22"/>
    </row>
    <row r="841" spans="8:8" s="16" ht="16.5" customFormat="1">
      <c r="A841" s="86"/>
      <c r="B841" s="42" t="s">
        <v>3042</v>
      </c>
      <c r="C841" s="42" t="s">
        <v>3043</v>
      </c>
      <c r="D841" s="42" t="s">
        <v>3044</v>
      </c>
      <c r="E841" s="42" t="s">
        <v>3045</v>
      </c>
      <c r="F841" s="42" t="s">
        <v>3007</v>
      </c>
      <c r="G841" s="86"/>
      <c r="H841" s="21"/>
      <c r="I841" s="22"/>
    </row>
    <row r="842" spans="8:8" s="16" ht="16.5" customFormat="1">
      <c r="A842" s="86"/>
      <c r="B842" s="42" t="s">
        <v>3046</v>
      </c>
      <c r="C842" s="42" t="s">
        <v>3047</v>
      </c>
      <c r="D842" s="42" t="s">
        <v>3048</v>
      </c>
      <c r="E842" s="42" t="s">
        <v>3049</v>
      </c>
      <c r="F842" s="42" t="s">
        <v>851</v>
      </c>
      <c r="G842" s="86"/>
      <c r="H842" s="21"/>
      <c r="I842" s="22"/>
    </row>
    <row r="843" spans="8:8" s="16" ht="16.5" customFormat="1">
      <c r="A843" s="86"/>
      <c r="B843" s="42" t="s">
        <v>3050</v>
      </c>
      <c r="C843" s="42" t="s">
        <v>3051</v>
      </c>
      <c r="D843" s="42" t="s">
        <v>3052</v>
      </c>
      <c r="E843" s="42" t="s">
        <v>3053</v>
      </c>
      <c r="F843" s="42" t="s">
        <v>2848</v>
      </c>
      <c r="G843" s="86"/>
      <c r="H843" s="21"/>
      <c r="I843" s="22"/>
    </row>
    <row r="844" spans="8:8" s="16" ht="16.5" customFormat="1">
      <c r="A844" s="86"/>
      <c r="B844" s="42" t="s">
        <v>3054</v>
      </c>
      <c r="C844" s="42" t="s">
        <v>3055</v>
      </c>
      <c r="D844" s="42" t="s">
        <v>3056</v>
      </c>
      <c r="E844" s="42" t="s">
        <v>3057</v>
      </c>
      <c r="F844" s="42" t="s">
        <v>3058</v>
      </c>
      <c r="G844" s="86"/>
      <c r="H844" s="21"/>
      <c r="I844" s="22"/>
    </row>
    <row r="845" spans="8:8" s="16" ht="16.5" customFormat="1">
      <c r="A845" s="86"/>
      <c r="B845" s="42" t="s">
        <v>3059</v>
      </c>
      <c r="C845" s="42" t="s">
        <v>3060</v>
      </c>
      <c r="D845" s="42" t="s">
        <v>3061</v>
      </c>
      <c r="E845" s="42" t="s">
        <v>3062</v>
      </c>
      <c r="F845" s="42" t="s">
        <v>3063</v>
      </c>
      <c r="G845" s="86"/>
      <c r="H845" s="21"/>
      <c r="I845" s="22"/>
    </row>
    <row r="846" spans="8:8" s="16" ht="33.0" customFormat="1">
      <c r="A846" s="86"/>
      <c r="B846" s="42" t="s">
        <v>3064</v>
      </c>
      <c r="C846" s="42" t="s">
        <v>3065</v>
      </c>
      <c r="D846" s="42" t="s">
        <v>3066</v>
      </c>
      <c r="E846" s="42" t="s">
        <v>3067</v>
      </c>
      <c r="F846" s="42" t="s">
        <v>3063</v>
      </c>
      <c r="G846" s="86"/>
      <c r="H846" s="21"/>
      <c r="I846" s="22"/>
    </row>
    <row r="847" spans="8:8" s="16" ht="16.5" customFormat="1">
      <c r="A847" s="86"/>
      <c r="B847" s="87" t="s">
        <v>906</v>
      </c>
      <c r="C847" s="87" t="s">
        <v>906</v>
      </c>
      <c r="D847" s="87" t="s">
        <v>906</v>
      </c>
      <c r="E847" s="87" t="s">
        <v>906</v>
      </c>
      <c r="F847" s="87" t="s">
        <v>906</v>
      </c>
      <c r="G847" s="86"/>
      <c r="H847" s="21"/>
      <c r="I847" s="22"/>
    </row>
    <row r="848" spans="8:8" s="16" ht="16.15" customFormat="1">
      <c r="A848" s="86"/>
      <c r="B848" s="42" t="s">
        <v>3068</v>
      </c>
      <c r="C848" s="42" t="s">
        <v>3069</v>
      </c>
      <c r="D848" s="42" t="s">
        <v>3070</v>
      </c>
      <c r="E848" s="42" t="s">
        <v>3071</v>
      </c>
      <c r="F848" s="42" t="s">
        <v>123</v>
      </c>
      <c r="G848" s="86"/>
      <c r="H848" s="21"/>
      <c r="I848" s="22"/>
    </row>
    <row r="849" spans="8:8" s="16" ht="16.5" customFormat="1">
      <c r="A849" s="86"/>
      <c r="B849" s="42" t="s">
        <v>3072</v>
      </c>
      <c r="C849" s="42" t="s">
        <v>3073</v>
      </c>
      <c r="D849" s="42" t="s">
        <v>3074</v>
      </c>
      <c r="E849" s="42" t="s">
        <v>3075</v>
      </c>
      <c r="F849" s="42" t="s">
        <v>1105</v>
      </c>
      <c r="G849" s="86"/>
      <c r="H849" s="21"/>
      <c r="I849" s="22"/>
    </row>
    <row r="850" spans="8:8" s="16" ht="16.5" customFormat="1">
      <c r="A850" s="86"/>
      <c r="B850" s="42" t="s">
        <v>3076</v>
      </c>
      <c r="C850" s="42" t="s">
        <v>3077</v>
      </c>
      <c r="D850" s="42" t="s">
        <v>3078</v>
      </c>
      <c r="E850" s="42" t="s">
        <v>3079</v>
      </c>
      <c r="F850" s="42" t="s">
        <v>3080</v>
      </c>
      <c r="G850" s="86"/>
      <c r="H850" s="21"/>
      <c r="I850" s="22"/>
    </row>
    <row r="851" spans="8:8" s="16" ht="16.5" customFormat="1">
      <c r="A851" s="86"/>
      <c r="B851" s="42" t="s">
        <v>3081</v>
      </c>
      <c r="C851" s="42" t="s">
        <v>3082</v>
      </c>
      <c r="D851" s="42" t="s">
        <v>3083</v>
      </c>
      <c r="E851" s="42" t="s">
        <v>3084</v>
      </c>
      <c r="F851" s="42" t="s">
        <v>3080</v>
      </c>
      <c r="G851" s="86"/>
      <c r="H851" s="21"/>
      <c r="I851" s="22"/>
    </row>
    <row r="852" spans="8:8" s="16" ht="45.7" customFormat="1" customHeight="1">
      <c r="A852" s="86"/>
      <c r="B852" s="42" t="s">
        <v>3085</v>
      </c>
      <c r="C852" s="42" t="s">
        <v>3086</v>
      </c>
      <c r="D852" s="42" t="s">
        <v>3087</v>
      </c>
      <c r="E852" s="42" t="s">
        <v>3088</v>
      </c>
      <c r="F852" s="42" t="s">
        <v>3089</v>
      </c>
      <c r="G852" s="86"/>
      <c r="H852" s="21"/>
      <c r="I852" s="22"/>
    </row>
    <row r="853" spans="8:8" s="16" ht="16.5" customFormat="1">
      <c r="A853" s="86"/>
      <c r="B853" s="42" t="s">
        <v>3090</v>
      </c>
      <c r="C853" s="42" t="s">
        <v>3091</v>
      </c>
      <c r="D853" s="42" t="s">
        <v>3092</v>
      </c>
      <c r="E853" s="42" t="s">
        <v>3093</v>
      </c>
      <c r="F853" s="42" t="s">
        <v>123</v>
      </c>
      <c r="G853" s="86"/>
      <c r="H853" s="21"/>
      <c r="I853" s="22"/>
    </row>
    <row r="854" spans="8:8" s="16" ht="33.0" customFormat="1">
      <c r="A854" s="86"/>
      <c r="B854" s="42" t="s">
        <v>3094</v>
      </c>
      <c r="C854" s="42" t="s">
        <v>3095</v>
      </c>
      <c r="D854" s="42" t="s">
        <v>3096</v>
      </c>
      <c r="E854" s="42" t="s">
        <v>3097</v>
      </c>
      <c r="F854" s="42" t="s">
        <v>3098</v>
      </c>
      <c r="G854" s="86"/>
      <c r="H854" s="21"/>
      <c r="I854" s="22"/>
    </row>
    <row r="855" spans="8:8" s="16" ht="65.4" customFormat="1" customHeight="1">
      <c r="A855" s="86"/>
      <c r="B855" s="42" t="s">
        <v>3099</v>
      </c>
      <c r="C855" s="42" t="s">
        <v>3100</v>
      </c>
      <c r="D855" s="42" t="s">
        <v>3101</v>
      </c>
      <c r="E855" s="42" t="s">
        <v>3102</v>
      </c>
      <c r="F855" s="42" t="s">
        <v>3103</v>
      </c>
      <c r="G855" s="86"/>
      <c r="H855" s="21"/>
      <c r="I855" s="22"/>
    </row>
    <row r="856" spans="8:8" s="16" ht="16.5" customFormat="1">
      <c r="A856" s="86"/>
      <c r="B856" s="87" t="s">
        <v>906</v>
      </c>
      <c r="C856" s="87" t="s">
        <v>906</v>
      </c>
      <c r="D856" s="88" t="s">
        <v>3104</v>
      </c>
      <c r="E856" s="87" t="s">
        <v>906</v>
      </c>
      <c r="F856" s="87" t="s">
        <v>906</v>
      </c>
      <c r="G856" s="86"/>
      <c r="H856" s="21"/>
      <c r="I856" s="22"/>
    </row>
    <row r="857" spans="8:8" s="16" ht="16.5" customFormat="1">
      <c r="A857" s="86"/>
      <c r="B857" s="42" t="s">
        <v>3105</v>
      </c>
      <c r="C857" s="42" t="s">
        <v>3106</v>
      </c>
      <c r="D857" s="42" t="s">
        <v>3107</v>
      </c>
      <c r="E857" s="42" t="s">
        <v>3108</v>
      </c>
      <c r="F857" s="42" t="s">
        <v>1458</v>
      </c>
      <c r="G857" s="86"/>
      <c r="H857" s="21"/>
      <c r="I857" s="22"/>
    </row>
    <row r="858" spans="8:8" s="16" ht="25.0" customFormat="1">
      <c r="A858" s="86"/>
      <c r="B858" s="42" t="s">
        <v>2940</v>
      </c>
      <c r="C858" s="42" t="s">
        <v>2941</v>
      </c>
      <c r="D858" s="42" t="s">
        <v>2942</v>
      </c>
      <c r="E858" s="42" t="s">
        <v>2943</v>
      </c>
      <c r="F858" s="42" t="s">
        <v>2944</v>
      </c>
      <c r="G858" s="86"/>
      <c r="H858" s="21"/>
      <c r="I858" s="22"/>
    </row>
    <row r="859" spans="8:8" s="16" ht="16.5" customFormat="1">
      <c r="A859" s="86"/>
      <c r="B859" s="42" t="s">
        <v>3109</v>
      </c>
      <c r="C859" s="42" t="s">
        <v>3110</v>
      </c>
      <c r="D859" s="42" t="s">
        <v>3111</v>
      </c>
      <c r="E859" s="42" t="s">
        <v>3109</v>
      </c>
      <c r="F859" s="42" t="s">
        <v>1458</v>
      </c>
      <c r="G859" s="86"/>
      <c r="H859" s="21"/>
      <c r="I859" s="22"/>
    </row>
    <row r="860" spans="8:8" s="16" ht="16.5" customFormat="1">
      <c r="A860" s="86"/>
      <c r="B860" s="42" t="s">
        <v>3112</v>
      </c>
      <c r="C860" s="42" t="s">
        <v>3113</v>
      </c>
      <c r="D860" s="42" t="s">
        <v>3114</v>
      </c>
      <c r="E860" s="42" t="s">
        <v>3115</v>
      </c>
      <c r="F860" s="42" t="s">
        <v>1105</v>
      </c>
      <c r="G860" s="86"/>
      <c r="H860" s="21"/>
      <c r="I860" s="22"/>
    </row>
    <row r="861" spans="8:8" s="16" ht="16.5" customFormat="1">
      <c r="A861" s="86"/>
      <c r="B861" s="87" t="s">
        <v>906</v>
      </c>
      <c r="C861" s="87" t="s">
        <v>906</v>
      </c>
      <c r="D861" s="88" t="s">
        <v>3116</v>
      </c>
      <c r="E861" s="87" t="s">
        <v>906</v>
      </c>
      <c r="F861" s="87" t="s">
        <v>906</v>
      </c>
      <c r="G861" s="86"/>
      <c r="H861" s="21"/>
      <c r="I861" s="22"/>
    </row>
    <row r="862" spans="8:8" s="16" ht="16.5" customFormat="1">
      <c r="A862" s="86"/>
      <c r="B862" s="42" t="s">
        <v>3117</v>
      </c>
      <c r="C862" s="42" t="s">
        <v>3118</v>
      </c>
      <c r="D862" s="42" t="s">
        <v>3119</v>
      </c>
      <c r="E862" s="42" t="s">
        <v>3120</v>
      </c>
      <c r="F862" s="42" t="s">
        <v>2414</v>
      </c>
      <c r="G862" s="86"/>
      <c r="H862" s="21"/>
      <c r="I862" s="22"/>
    </row>
    <row r="863" spans="8:8" s="16" ht="16.5" customFormat="1">
      <c r="A863" s="86"/>
      <c r="B863" s="42" t="s">
        <v>3121</v>
      </c>
      <c r="C863" s="42" t="s">
        <v>3122</v>
      </c>
      <c r="D863" s="42" t="s">
        <v>3123</v>
      </c>
      <c r="E863" s="42" t="s">
        <v>3124</v>
      </c>
      <c r="F863" s="42" t="s">
        <v>2414</v>
      </c>
      <c r="G863" s="86"/>
      <c r="H863" s="21"/>
      <c r="I863" s="22"/>
    </row>
    <row r="864" spans="8:8" s="16" ht="16.5" customFormat="1">
      <c r="A864" s="86"/>
      <c r="B864" s="42" t="s">
        <v>3125</v>
      </c>
      <c r="C864" s="42" t="s">
        <v>3126</v>
      </c>
      <c r="D864" s="42" t="s">
        <v>3127</v>
      </c>
      <c r="E864" s="42" t="s">
        <v>3128</v>
      </c>
      <c r="F864" s="42" t="s">
        <v>2414</v>
      </c>
      <c r="G864" s="86"/>
      <c r="H864" s="21"/>
      <c r="I864" s="22"/>
    </row>
    <row r="865" spans="8:8" s="16" ht="16.5" customFormat="1">
      <c r="A865" s="86"/>
      <c r="B865" s="87" t="s">
        <v>906</v>
      </c>
      <c r="C865" s="87" t="s">
        <v>906</v>
      </c>
      <c r="D865" s="88" t="s">
        <v>3129</v>
      </c>
      <c r="E865" s="87" t="s">
        <v>906</v>
      </c>
      <c r="F865" s="87" t="s">
        <v>906</v>
      </c>
      <c r="G865" s="86"/>
      <c r="H865" s="21"/>
      <c r="I865" s="22"/>
    </row>
    <row r="866" spans="8:8" s="16" ht="16.5" customFormat="1">
      <c r="A866" s="86"/>
      <c r="B866" s="42" t="s">
        <v>3130</v>
      </c>
      <c r="C866" s="42" t="s">
        <v>3131</v>
      </c>
      <c r="D866" s="42" t="s">
        <v>3132</v>
      </c>
      <c r="E866" s="42" t="s">
        <v>3133</v>
      </c>
      <c r="F866" s="42" t="s">
        <v>1131</v>
      </c>
      <c r="G866" s="86"/>
      <c r="H866" s="21"/>
      <c r="I866" s="22"/>
    </row>
    <row r="867" spans="8:8" s="16" ht="16.5" customFormat="1">
      <c r="A867" s="86"/>
      <c r="B867" s="42" t="s">
        <v>3134</v>
      </c>
      <c r="C867" s="42" t="s">
        <v>3135</v>
      </c>
      <c r="D867" s="42" t="s">
        <v>3136</v>
      </c>
      <c r="E867" s="42" t="s">
        <v>3137</v>
      </c>
      <c r="F867" s="42" t="s">
        <v>3138</v>
      </c>
      <c r="G867" s="86"/>
      <c r="H867" s="21"/>
      <c r="I867" s="22"/>
    </row>
    <row r="868" spans="8:8" s="16" ht="16.5" customFormat="1">
      <c r="A868" s="86"/>
      <c r="B868" s="42" t="s">
        <v>3139</v>
      </c>
      <c r="C868" s="42" t="s">
        <v>3140</v>
      </c>
      <c r="D868" s="42" t="s">
        <v>3141</v>
      </c>
      <c r="E868" s="42" t="s">
        <v>3142</v>
      </c>
      <c r="F868" s="42" t="s">
        <v>1224</v>
      </c>
      <c r="G868" s="86"/>
      <c r="H868" s="21"/>
      <c r="I868" s="22"/>
    </row>
    <row r="869" spans="8:8" s="16" ht="33.0" customFormat="1">
      <c r="A869" s="86"/>
      <c r="B869" s="42" t="s">
        <v>3143</v>
      </c>
      <c r="C869" s="42" t="s">
        <v>3144</v>
      </c>
      <c r="D869" s="42" t="s">
        <v>3145</v>
      </c>
      <c r="E869" s="42" t="s">
        <v>3146</v>
      </c>
      <c r="F869" s="42" t="s">
        <v>3147</v>
      </c>
      <c r="G869" s="86"/>
      <c r="H869" s="21"/>
      <c r="I869" s="22"/>
    </row>
    <row r="870" spans="8:8" s="16" ht="16.5" customFormat="1">
      <c r="A870" s="86"/>
      <c r="B870" s="42" t="s">
        <v>3148</v>
      </c>
      <c r="C870" s="42" t="s">
        <v>3149</v>
      </c>
      <c r="D870" s="42" t="s">
        <v>3150</v>
      </c>
      <c r="E870" s="42" t="s">
        <v>3151</v>
      </c>
      <c r="F870" s="42" t="s">
        <v>3152</v>
      </c>
      <c r="G870" s="86"/>
      <c r="H870" s="21"/>
      <c r="I870" s="22"/>
    </row>
    <row r="871" spans="8:8" s="16" ht="16.5" customFormat="1">
      <c r="A871" s="86"/>
      <c r="B871" s="42" t="s">
        <v>3153</v>
      </c>
      <c r="C871" s="42" t="s">
        <v>3154</v>
      </c>
      <c r="D871" s="42" t="s">
        <v>3155</v>
      </c>
      <c r="E871" s="42" t="s">
        <v>3156</v>
      </c>
      <c r="F871" s="42" t="s">
        <v>43</v>
      </c>
      <c r="G871" s="86"/>
      <c r="H871" s="21"/>
      <c r="I871" s="22"/>
    </row>
    <row r="872" spans="8:8" s="16" ht="33.0" customFormat="1">
      <c r="A872" s="86"/>
      <c r="B872" s="42" t="s">
        <v>3157</v>
      </c>
      <c r="C872" s="42" t="s">
        <v>3158</v>
      </c>
      <c r="D872" s="42" t="s">
        <v>3159</v>
      </c>
      <c r="E872" s="42" t="s">
        <v>3160</v>
      </c>
      <c r="F872" s="42" t="s">
        <v>869</v>
      </c>
      <c r="G872" s="86"/>
      <c r="H872" s="21"/>
      <c r="I872" s="22"/>
    </row>
    <row r="873" spans="8:8" s="16" ht="16.5" customFormat="1">
      <c r="A873" s="86"/>
      <c r="B873" s="87" t="s">
        <v>906</v>
      </c>
      <c r="C873" s="87" t="s">
        <v>906</v>
      </c>
      <c r="D873" s="88" t="s">
        <v>3161</v>
      </c>
      <c r="E873" s="87" t="s">
        <v>906</v>
      </c>
      <c r="F873" s="87" t="s">
        <v>906</v>
      </c>
      <c r="G873" s="86"/>
      <c r="H873" s="21"/>
      <c r="I873" s="22"/>
    </row>
    <row r="874" spans="8:8" s="16" ht="16.5" customFormat="1">
      <c r="A874" s="86"/>
      <c r="B874" s="42" t="s">
        <v>3162</v>
      </c>
      <c r="C874" s="42" t="s">
        <v>1518</v>
      </c>
      <c r="D874" s="42" t="s">
        <v>3163</v>
      </c>
      <c r="E874" s="42" t="s">
        <v>3164</v>
      </c>
      <c r="F874" s="42" t="s">
        <v>1521</v>
      </c>
      <c r="G874" s="86"/>
      <c r="H874" s="21"/>
      <c r="I874" s="22"/>
    </row>
    <row r="875" spans="8:8" s="16" ht="16.5" customFormat="1">
      <c r="A875" s="86"/>
      <c r="B875" s="42" t="s">
        <v>3165</v>
      </c>
      <c r="C875" s="42" t="s">
        <v>3166</v>
      </c>
      <c r="D875" s="42" t="s">
        <v>3167</v>
      </c>
      <c r="E875" s="42" t="s">
        <v>3168</v>
      </c>
      <c r="F875" s="42" t="s">
        <v>2401</v>
      </c>
      <c r="G875" s="86"/>
      <c r="H875" s="21"/>
      <c r="I875" s="22"/>
    </row>
    <row r="876" spans="8:8" s="16" ht="16.5" customFormat="1">
      <c r="A876" s="86"/>
      <c r="B876" s="42" t="s">
        <v>3169</v>
      </c>
      <c r="C876" s="42" t="s">
        <v>3170</v>
      </c>
      <c r="D876" s="42" t="s">
        <v>3171</v>
      </c>
      <c r="E876" s="42" t="s">
        <v>3172</v>
      </c>
      <c r="F876" s="42" t="s">
        <v>1521</v>
      </c>
      <c r="G876" s="86"/>
      <c r="H876" s="21"/>
      <c r="I876" s="22"/>
    </row>
    <row r="877" spans="8:8" s="16" ht="16.5" customFormat="1">
      <c r="A877" s="86"/>
      <c r="B877" s="87" t="s">
        <v>906</v>
      </c>
      <c r="C877" s="87" t="s">
        <v>906</v>
      </c>
      <c r="D877" s="88" t="s">
        <v>3173</v>
      </c>
      <c r="E877" s="87" t="s">
        <v>906</v>
      </c>
      <c r="F877" s="87" t="s">
        <v>906</v>
      </c>
      <c r="G877" s="86"/>
      <c r="H877" s="21"/>
      <c r="I877" s="22"/>
    </row>
    <row r="878" spans="8:8" s="16" ht="16.5" customFormat="1">
      <c r="A878" s="86"/>
      <c r="B878" s="42" t="s">
        <v>3174</v>
      </c>
      <c r="C878" s="42" t="s">
        <v>3175</v>
      </c>
      <c r="D878" s="42" t="s">
        <v>3176</v>
      </c>
      <c r="E878" s="42" t="s">
        <v>3177</v>
      </c>
      <c r="F878" s="42" t="s">
        <v>3178</v>
      </c>
      <c r="G878" s="86"/>
      <c r="H878" s="21"/>
      <c r="I878" s="22"/>
    </row>
    <row r="879" spans="8:8" s="16" ht="16.5" customFormat="1">
      <c r="A879" s="86"/>
      <c r="B879" s="42" t="s">
        <v>3179</v>
      </c>
      <c r="C879" s="42" t="s">
        <v>3180</v>
      </c>
      <c r="D879" s="42" t="s">
        <v>3181</v>
      </c>
      <c r="E879" s="42" t="s">
        <v>3182</v>
      </c>
      <c r="F879" s="42" t="s">
        <v>2935</v>
      </c>
      <c r="G879" s="86"/>
      <c r="H879" s="21"/>
      <c r="I879" s="22"/>
    </row>
    <row r="880" spans="8:8" s="16" ht="14.85" customFormat="1">
      <c r="A880" s="86"/>
      <c r="B880" s="87" t="s">
        <v>906</v>
      </c>
      <c r="C880" s="87" t="s">
        <v>906</v>
      </c>
      <c r="D880" s="88" t="s">
        <v>10211</v>
      </c>
      <c r="E880" s="87" t="s">
        <v>906</v>
      </c>
      <c r="F880" s="87" t="s">
        <v>906</v>
      </c>
      <c r="G880" s="86"/>
      <c r="H880" s="21"/>
      <c r="I880" s="22"/>
    </row>
    <row r="881" spans="8:8" s="16" ht="14.85" customFormat="1">
      <c r="A881" s="86"/>
      <c r="B881" s="49" t="s">
        <v>3184</v>
      </c>
      <c r="C881" s="49" t="s">
        <v>3185</v>
      </c>
      <c r="D881" s="49" t="s">
        <v>10212</v>
      </c>
      <c r="E881" s="49" t="s">
        <v>3187</v>
      </c>
      <c r="F881" s="49" t="s">
        <v>2935</v>
      </c>
      <c r="G881" s="86"/>
      <c r="H881" s="21"/>
      <c r="I881" s="22"/>
    </row>
    <row r="882" spans="8:8" s="16" ht="16.5" customFormat="1">
      <c r="A882" s="86"/>
      <c r="B882" s="42" t="s">
        <v>3188</v>
      </c>
      <c r="C882" s="42" t="s">
        <v>3189</v>
      </c>
      <c r="D882" s="42" t="s">
        <v>3190</v>
      </c>
      <c r="E882" s="42" t="s">
        <v>3191</v>
      </c>
      <c r="F882" s="42" t="s">
        <v>3192</v>
      </c>
      <c r="G882" s="86"/>
      <c r="H882" s="21"/>
      <c r="I882" s="22"/>
    </row>
    <row r="883" spans="8:8" s="16" ht="16.5" customFormat="1">
      <c r="A883" s="86"/>
      <c r="B883" s="42" t="s">
        <v>3193</v>
      </c>
      <c r="C883" s="42" t="s">
        <v>3194</v>
      </c>
      <c r="D883" s="42" t="s">
        <v>3195</v>
      </c>
      <c r="E883" s="42" t="s">
        <v>3196</v>
      </c>
      <c r="F883" s="42" t="s">
        <v>43</v>
      </c>
      <c r="G883" s="86"/>
      <c r="H883" s="21"/>
      <c r="I883" s="22"/>
    </row>
    <row r="884" spans="8:8" s="16" ht="16.5" customFormat="1">
      <c r="A884" s="86"/>
      <c r="B884" s="42" t="s">
        <v>3197</v>
      </c>
      <c r="C884" s="42" t="s">
        <v>3198</v>
      </c>
      <c r="D884" s="42" t="s">
        <v>3199</v>
      </c>
      <c r="E884" s="42" t="s">
        <v>3200</v>
      </c>
      <c r="F884" s="42" t="s">
        <v>869</v>
      </c>
      <c r="G884" s="86"/>
      <c r="H884" s="21"/>
      <c r="I884" s="22"/>
    </row>
    <row r="885" spans="8:8" s="16" ht="16.5" customFormat="1">
      <c r="A885" s="86"/>
      <c r="B885" s="42" t="s">
        <v>3201</v>
      </c>
      <c r="C885" s="42" t="s">
        <v>3202</v>
      </c>
      <c r="D885" s="42" t="s">
        <v>3202</v>
      </c>
      <c r="E885" s="42" t="s">
        <v>3203</v>
      </c>
      <c r="F885" s="42" t="s">
        <v>123</v>
      </c>
      <c r="G885" s="86"/>
      <c r="H885" s="21"/>
      <c r="I885" s="22"/>
    </row>
    <row r="886" spans="8:8" s="16" ht="16.5" customFormat="1">
      <c r="A886" s="86"/>
      <c r="B886" s="42" t="s">
        <v>3204</v>
      </c>
      <c r="C886" s="42" t="s">
        <v>3205</v>
      </c>
      <c r="D886" s="42" t="s">
        <v>3206</v>
      </c>
      <c r="E886" s="42" t="s">
        <v>3207</v>
      </c>
      <c r="F886" s="42" t="s">
        <v>123</v>
      </c>
      <c r="G886" s="86"/>
      <c r="H886" s="21"/>
      <c r="I886" s="22"/>
    </row>
    <row r="887" spans="8:8" s="16" ht="16.5" customFormat="1">
      <c r="A887" s="86"/>
      <c r="B887" s="42" t="s">
        <v>3208</v>
      </c>
      <c r="C887" s="42" t="s">
        <v>3209</v>
      </c>
      <c r="D887" s="42" t="s">
        <v>3209</v>
      </c>
      <c r="E887" s="42" t="s">
        <v>3210</v>
      </c>
      <c r="F887" s="42" t="s">
        <v>43</v>
      </c>
      <c r="G887" s="86"/>
      <c r="H887" s="21"/>
      <c r="I887" s="22"/>
    </row>
    <row r="888" spans="8:8" s="16" ht="16.5" customFormat="1">
      <c r="A888" s="86"/>
      <c r="B888" s="87" t="s">
        <v>906</v>
      </c>
      <c r="C888" s="87" t="s">
        <v>906</v>
      </c>
      <c r="D888" s="88" t="s">
        <v>3211</v>
      </c>
      <c r="E888" s="87" t="s">
        <v>906</v>
      </c>
      <c r="F888" s="87" t="s">
        <v>906</v>
      </c>
      <c r="G888" s="86"/>
      <c r="H888" s="21"/>
      <c r="I888" s="22"/>
    </row>
    <row r="889" spans="8:8" s="16" ht="16.5" customFormat="1">
      <c r="A889" s="86"/>
      <c r="B889" s="42" t="s">
        <v>3212</v>
      </c>
      <c r="C889" s="42" t="s">
        <v>3213</v>
      </c>
      <c r="D889" s="42" t="s">
        <v>3214</v>
      </c>
      <c r="E889" s="42" t="s">
        <v>3215</v>
      </c>
      <c r="F889" s="42" t="s">
        <v>123</v>
      </c>
      <c r="G889" s="86"/>
      <c r="H889" s="21"/>
      <c r="I889" s="22"/>
    </row>
    <row r="890" spans="8:8" s="16" ht="16.5" customFormat="1">
      <c r="A890" s="86"/>
      <c r="B890" s="42" t="s">
        <v>3216</v>
      </c>
      <c r="C890" s="42" t="s">
        <v>3217</v>
      </c>
      <c r="D890" s="42" t="s">
        <v>3218</v>
      </c>
      <c r="E890" s="42" t="s">
        <v>3219</v>
      </c>
      <c r="F890" s="42" t="s">
        <v>123</v>
      </c>
      <c r="G890" s="86"/>
      <c r="H890" s="21"/>
      <c r="I890" s="22"/>
    </row>
    <row r="891" spans="8:8" s="16" ht="33.0" customFormat="1">
      <c r="A891" s="86"/>
      <c r="B891" s="42" t="s">
        <v>3220</v>
      </c>
      <c r="C891" s="42" t="s">
        <v>3221</v>
      </c>
      <c r="D891" s="42" t="s">
        <v>3222</v>
      </c>
      <c r="E891" s="42" t="s">
        <v>3223</v>
      </c>
      <c r="F891" s="42" t="s">
        <v>3224</v>
      </c>
      <c r="G891" s="86"/>
      <c r="H891" s="21"/>
      <c r="I891" s="22"/>
    </row>
    <row r="892" spans="8:8" s="16" ht="16.5" customFormat="1">
      <c r="A892" s="86"/>
      <c r="B892" s="42" t="s">
        <v>3225</v>
      </c>
      <c r="C892" s="42" t="s">
        <v>3226</v>
      </c>
      <c r="D892" s="42" t="s">
        <v>3227</v>
      </c>
      <c r="E892" s="42" t="s">
        <v>3228</v>
      </c>
      <c r="F892" s="42" t="s">
        <v>2802</v>
      </c>
      <c r="G892" s="86"/>
      <c r="H892" s="21"/>
      <c r="I892" s="22"/>
    </row>
    <row r="893" spans="8:8" s="16" ht="16.5" customFormat="1">
      <c r="A893" s="86"/>
      <c r="B893" s="42" t="s">
        <v>3229</v>
      </c>
      <c r="C893" s="42" t="s">
        <v>3230</v>
      </c>
      <c r="D893" s="42" t="s">
        <v>3231</v>
      </c>
      <c r="E893" s="42" t="s">
        <v>3232</v>
      </c>
      <c r="F893" s="42" t="s">
        <v>123</v>
      </c>
      <c r="G893" s="86"/>
      <c r="H893" s="21"/>
      <c r="I893" s="22"/>
    </row>
    <row r="894" spans="8:8" s="16" ht="16.5" customFormat="1">
      <c r="A894" s="86"/>
      <c r="B894" s="42" t="s">
        <v>3233</v>
      </c>
      <c r="C894" s="42" t="s">
        <v>3234</v>
      </c>
      <c r="D894" s="42" t="s">
        <v>3235</v>
      </c>
      <c r="E894" s="42" t="s">
        <v>3236</v>
      </c>
      <c r="F894" s="42" t="s">
        <v>3237</v>
      </c>
      <c r="G894" s="86"/>
      <c r="H894" s="21"/>
      <c r="I894" s="22"/>
    </row>
    <row r="895" spans="8:8" s="16" ht="16.5" customFormat="1">
      <c r="A895" s="86"/>
      <c r="B895" s="42" t="s">
        <v>3238</v>
      </c>
      <c r="C895" s="42" t="s">
        <v>3239</v>
      </c>
      <c r="D895" s="42" t="s">
        <v>3240</v>
      </c>
      <c r="E895" s="42" t="s">
        <v>3241</v>
      </c>
      <c r="F895" s="42" t="s">
        <v>3237</v>
      </c>
      <c r="G895" s="86"/>
      <c r="H895" s="21"/>
      <c r="I895" s="22"/>
    </row>
    <row r="896" spans="8:8" s="16" ht="16.5" customFormat="1">
      <c r="A896" s="86"/>
      <c r="B896" s="42" t="s">
        <v>3242</v>
      </c>
      <c r="C896" s="42" t="s">
        <v>3243</v>
      </c>
      <c r="D896" s="42" t="s">
        <v>3244</v>
      </c>
      <c r="E896" s="42" t="s">
        <v>3245</v>
      </c>
      <c r="F896" s="42" t="s">
        <v>52</v>
      </c>
      <c r="G896" s="86"/>
      <c r="H896" s="21"/>
      <c r="I896" s="22"/>
    </row>
    <row r="897" spans="8:8" s="16" ht="16.5" customFormat="1">
      <c r="A897" s="86"/>
      <c r="B897" s="42" t="s">
        <v>3246</v>
      </c>
      <c r="C897" s="42" t="s">
        <v>3247</v>
      </c>
      <c r="D897" s="42" t="s">
        <v>3248</v>
      </c>
      <c r="E897" s="42" t="s">
        <v>3249</v>
      </c>
      <c r="F897" s="42" t="s">
        <v>1122</v>
      </c>
      <c r="G897" s="86"/>
      <c r="H897" s="21"/>
      <c r="I897" s="22"/>
    </row>
    <row r="898" spans="8:8" s="16" ht="16.5" customFormat="1">
      <c r="A898" s="86"/>
      <c r="B898" s="42" t="s">
        <v>3250</v>
      </c>
      <c r="C898" s="42" t="s">
        <v>3251</v>
      </c>
      <c r="D898" s="42" t="s">
        <v>3252</v>
      </c>
      <c r="E898" s="42" t="s">
        <v>3253</v>
      </c>
      <c r="F898" s="42" t="s">
        <v>3254</v>
      </c>
      <c r="G898" s="86"/>
      <c r="H898" s="21"/>
      <c r="I898" s="22"/>
    </row>
    <row r="899" spans="8:8" s="16" ht="16.5" customFormat="1">
      <c r="A899" s="86"/>
      <c r="B899" s="42" t="s">
        <v>3255</v>
      </c>
      <c r="C899" s="42" t="s">
        <v>3256</v>
      </c>
      <c r="D899" s="42" t="s">
        <v>3257</v>
      </c>
      <c r="E899" s="42" t="s">
        <v>3258</v>
      </c>
      <c r="F899" s="42" t="s">
        <v>851</v>
      </c>
      <c r="G899" s="86"/>
      <c r="H899" s="21"/>
      <c r="I899" s="22"/>
    </row>
    <row r="900" spans="8:8" s="16" ht="16.5" customFormat="1">
      <c r="A900" s="86"/>
      <c r="B900" s="42" t="s">
        <v>3259</v>
      </c>
      <c r="C900" s="42" t="s">
        <v>3260</v>
      </c>
      <c r="D900" s="42" t="s">
        <v>3261</v>
      </c>
      <c r="E900" s="42" t="s">
        <v>3262</v>
      </c>
      <c r="F900" s="42" t="s">
        <v>123</v>
      </c>
      <c r="G900" s="86"/>
      <c r="H900" s="21"/>
      <c r="I900" s="22"/>
    </row>
    <row r="901" spans="8:8" s="16" ht="16.5" customFormat="1">
      <c r="A901" s="86"/>
      <c r="B901" s="42" t="s">
        <v>3263</v>
      </c>
      <c r="C901" s="42" t="s">
        <v>3264</v>
      </c>
      <c r="D901" s="42" t="s">
        <v>3265</v>
      </c>
      <c r="E901" s="42" t="s">
        <v>9924</v>
      </c>
      <c r="F901" s="42" t="s">
        <v>2935</v>
      </c>
      <c r="G901" s="86"/>
      <c r="H901" s="21"/>
      <c r="I901" s="22"/>
    </row>
    <row r="902" spans="8:8" s="16" ht="16.5" customFormat="1">
      <c r="A902" s="86"/>
      <c r="B902" s="42" t="s">
        <v>3267</v>
      </c>
      <c r="C902" s="42" t="s">
        <v>3268</v>
      </c>
      <c r="D902" s="42" t="s">
        <v>3269</v>
      </c>
      <c r="E902" s="42" t="s">
        <v>3270</v>
      </c>
      <c r="F902" s="42" t="s">
        <v>3138</v>
      </c>
      <c r="G902" s="86"/>
      <c r="H902" s="21"/>
      <c r="I902" s="22"/>
    </row>
    <row r="903" spans="8:8" s="16" ht="16.5" customFormat="1">
      <c r="A903" s="86"/>
      <c r="B903" s="42" t="s">
        <v>3271</v>
      </c>
      <c r="C903" s="42" t="s">
        <v>3272</v>
      </c>
      <c r="D903" s="42" t="s">
        <v>3273</v>
      </c>
      <c r="E903" s="42" t="s">
        <v>3274</v>
      </c>
      <c r="F903" s="42" t="s">
        <v>123</v>
      </c>
      <c r="G903" s="86"/>
      <c r="H903" s="21"/>
      <c r="I903" s="22"/>
    </row>
    <row r="904" spans="8:8" s="16" ht="16.5" customFormat="1">
      <c r="A904" s="86"/>
      <c r="B904" s="42" t="s">
        <v>3275</v>
      </c>
      <c r="C904" s="42" t="s">
        <v>3276</v>
      </c>
      <c r="D904" s="42" t="s">
        <v>3277</v>
      </c>
      <c r="E904" s="42" t="s">
        <v>3278</v>
      </c>
      <c r="F904" s="42" t="s">
        <v>3279</v>
      </c>
      <c r="G904" s="86"/>
      <c r="H904" s="21"/>
      <c r="I904" s="22"/>
    </row>
    <row r="905" spans="8:8" s="16" ht="16.5" customFormat="1">
      <c r="A905" s="86"/>
      <c r="B905" s="42" t="s">
        <v>3280</v>
      </c>
      <c r="C905" s="42" t="s">
        <v>3281</v>
      </c>
      <c r="D905" s="42" t="s">
        <v>3282</v>
      </c>
      <c r="E905" s="42" t="s">
        <v>3283</v>
      </c>
      <c r="F905" s="42" t="s">
        <v>3279</v>
      </c>
      <c r="G905" s="86"/>
      <c r="H905" s="21"/>
      <c r="I905" s="22"/>
    </row>
    <row r="906" spans="8:8" s="16" ht="16.5" customFormat="1">
      <c r="A906" s="86"/>
      <c r="B906" s="42" t="s">
        <v>3284</v>
      </c>
      <c r="C906" s="42" t="s">
        <v>3285</v>
      </c>
      <c r="D906" s="42" t="s">
        <v>3286</v>
      </c>
      <c r="E906" s="42" t="s">
        <v>3287</v>
      </c>
      <c r="F906" s="42" t="s">
        <v>2802</v>
      </c>
      <c r="G906" s="86"/>
      <c r="H906" s="21"/>
      <c r="I906" s="22"/>
    </row>
    <row r="907" spans="8:8" s="16" ht="16.5" customFormat="1">
      <c r="A907" s="86"/>
      <c r="B907" s="42" t="s">
        <v>3288</v>
      </c>
      <c r="C907" s="42" t="s">
        <v>3289</v>
      </c>
      <c r="D907" s="42" t="s">
        <v>3290</v>
      </c>
      <c r="E907" s="42" t="s">
        <v>3291</v>
      </c>
      <c r="F907" s="42" t="s">
        <v>869</v>
      </c>
      <c r="G907" s="86"/>
      <c r="H907" s="21"/>
      <c r="I907" s="22"/>
    </row>
    <row r="908" spans="8:8" s="16" ht="16.5" customFormat="1">
      <c r="A908" s="86"/>
      <c r="B908" s="42" t="s">
        <v>3292</v>
      </c>
      <c r="C908" s="42" t="s">
        <v>3293</v>
      </c>
      <c r="D908" s="42" t="s">
        <v>3294</v>
      </c>
      <c r="E908" s="42" t="s">
        <v>3295</v>
      </c>
      <c r="F908" s="42" t="s">
        <v>43</v>
      </c>
      <c r="G908" s="86"/>
      <c r="H908" s="21"/>
      <c r="I908" s="22"/>
    </row>
    <row r="909" spans="8:8" s="16" ht="16.5" customFormat="1">
      <c r="A909" s="86"/>
      <c r="B909" s="87" t="s">
        <v>906</v>
      </c>
      <c r="C909" s="87" t="s">
        <v>906</v>
      </c>
      <c r="D909" s="88" t="s">
        <v>3296</v>
      </c>
      <c r="E909" s="87" t="s">
        <v>906</v>
      </c>
      <c r="F909" s="87" t="s">
        <v>906</v>
      </c>
      <c r="G909" s="86"/>
      <c r="H909" s="21"/>
      <c r="I909" s="22"/>
    </row>
    <row r="910" spans="8:8" s="16" ht="16.5" customFormat="1">
      <c r="A910" s="86"/>
      <c r="B910" s="42" t="s">
        <v>3297</v>
      </c>
      <c r="C910" s="42" t="s">
        <v>3298</v>
      </c>
      <c r="D910" s="42" t="s">
        <v>3299</v>
      </c>
      <c r="E910" s="42" t="s">
        <v>3300</v>
      </c>
      <c r="F910" s="42" t="s">
        <v>52</v>
      </c>
      <c r="G910" s="86"/>
      <c r="H910" s="21"/>
      <c r="I910" s="22"/>
    </row>
    <row r="911" spans="8:8" s="16" ht="16.5" customFormat="1">
      <c r="A911" s="86"/>
      <c r="B911" s="89" t="s">
        <v>3301</v>
      </c>
      <c r="C911" s="89" t="s">
        <v>3302</v>
      </c>
      <c r="D911" s="89" t="s">
        <v>3299</v>
      </c>
      <c r="E911" s="89" t="s">
        <v>3303</v>
      </c>
      <c r="F911" s="89" t="s">
        <v>52</v>
      </c>
      <c r="G911" s="86"/>
      <c r="H911" s="21"/>
      <c r="I911" s="22"/>
    </row>
    <row r="912" spans="8:8" s="16" ht="16.5" customFormat="1">
      <c r="A912" s="86"/>
      <c r="B912" s="42" t="s">
        <v>3304</v>
      </c>
      <c r="C912" s="42" t="s">
        <v>3305</v>
      </c>
      <c r="D912" s="42" t="s">
        <v>3306</v>
      </c>
      <c r="E912" s="42" t="s">
        <v>3307</v>
      </c>
      <c r="F912" s="42" t="s">
        <v>52</v>
      </c>
      <c r="G912" s="86"/>
      <c r="H912" s="21"/>
      <c r="I912" s="22"/>
    </row>
    <row r="913" spans="8:8" s="16" ht="23.0" customFormat="1" customHeight="1">
      <c r="A913" s="86"/>
      <c r="B913" s="89" t="s">
        <v>3308</v>
      </c>
      <c r="C913" s="89" t="s">
        <v>3309</v>
      </c>
      <c r="D913" s="89" t="s">
        <v>3306</v>
      </c>
      <c r="E913" s="89" t="s">
        <v>3310</v>
      </c>
      <c r="F913" s="89" t="s">
        <v>52</v>
      </c>
      <c r="G913" s="86"/>
      <c r="H913" s="21"/>
      <c r="I913" s="22"/>
    </row>
    <row r="914" spans="8:8" s="16" ht="16.5" customFormat="1">
      <c r="A914" s="86"/>
      <c r="B914" s="89" t="s">
        <v>3311</v>
      </c>
      <c r="C914" s="89" t="s">
        <v>3309</v>
      </c>
      <c r="D914" s="89" t="s">
        <v>3306</v>
      </c>
      <c r="E914" s="89" t="s">
        <v>3312</v>
      </c>
      <c r="F914" s="89" t="s">
        <v>52</v>
      </c>
      <c r="G914" s="86"/>
      <c r="H914" s="21"/>
      <c r="I914" s="22"/>
    </row>
    <row r="915" spans="8:8" s="16" ht="16.5" customFormat="1">
      <c r="A915" s="86"/>
      <c r="B915" s="42" t="s">
        <v>3313</v>
      </c>
      <c r="C915" s="42" t="s">
        <v>3314</v>
      </c>
      <c r="D915" s="42" t="s">
        <v>3315</v>
      </c>
      <c r="E915" s="42" t="s">
        <v>3316</v>
      </c>
      <c r="F915" s="42" t="s">
        <v>1458</v>
      </c>
      <c r="G915" s="86"/>
      <c r="H915" s="21"/>
      <c r="I915" s="22"/>
    </row>
    <row r="916" spans="8:8" s="16" ht="16.5" customFormat="1">
      <c r="A916" s="86"/>
      <c r="B916" s="42" t="s">
        <v>3317</v>
      </c>
      <c r="C916" s="42" t="s">
        <v>3318</v>
      </c>
      <c r="D916" s="42" t="s">
        <v>3319</v>
      </c>
      <c r="E916" s="42" t="s">
        <v>3320</v>
      </c>
      <c r="F916" s="42" t="s">
        <v>123</v>
      </c>
      <c r="G916" s="86"/>
      <c r="H916" s="21"/>
      <c r="I916" s="22"/>
    </row>
    <row r="917" spans="8:8" s="16" ht="16.5" customFormat="1">
      <c r="A917" s="86"/>
      <c r="B917" s="87" t="s">
        <v>906</v>
      </c>
      <c r="C917" s="87" t="s">
        <v>906</v>
      </c>
      <c r="D917" s="88" t="s">
        <v>3321</v>
      </c>
      <c r="E917" s="87" t="s">
        <v>906</v>
      </c>
      <c r="F917" s="87" t="s">
        <v>906</v>
      </c>
      <c r="G917" s="86"/>
      <c r="H917" s="21"/>
      <c r="I917" s="22"/>
    </row>
    <row r="918" spans="8:8" s="16" ht="16.5" customFormat="1">
      <c r="A918" s="86"/>
      <c r="B918" s="42" t="s">
        <v>3322</v>
      </c>
      <c r="C918" s="42" t="s">
        <v>3323</v>
      </c>
      <c r="D918" s="42" t="s">
        <v>3324</v>
      </c>
      <c r="E918" s="42" t="s">
        <v>3325</v>
      </c>
      <c r="F918" s="42" t="s">
        <v>1453</v>
      </c>
      <c r="G918" s="86"/>
      <c r="H918" s="21"/>
      <c r="I918" s="22"/>
    </row>
    <row r="919" spans="8:8" s="16" ht="16.5" customFormat="1">
      <c r="A919" s="86"/>
      <c r="B919" s="42" t="s">
        <v>3326</v>
      </c>
      <c r="C919" s="42" t="s">
        <v>3327</v>
      </c>
      <c r="D919" s="42" t="s">
        <v>3328</v>
      </c>
      <c r="E919" s="42" t="s">
        <v>3329</v>
      </c>
      <c r="F919" s="42" t="s">
        <v>1453</v>
      </c>
      <c r="G919" s="86"/>
      <c r="H919" s="21"/>
      <c r="I919" s="22"/>
    </row>
    <row r="920" spans="8:8" s="16" ht="16.5" customFormat="1">
      <c r="A920" s="86"/>
      <c r="B920" s="42" t="s">
        <v>3330</v>
      </c>
      <c r="C920" s="42" t="s">
        <v>3331</v>
      </c>
      <c r="D920" s="42" t="s">
        <v>3332</v>
      </c>
      <c r="E920" s="42" t="s">
        <v>3333</v>
      </c>
      <c r="F920" s="42" t="s">
        <v>123</v>
      </c>
      <c r="G920" s="86"/>
      <c r="H920" s="21"/>
      <c r="I920" s="22"/>
    </row>
    <row r="921" spans="8:8" s="16" ht="16.5" customFormat="1">
      <c r="A921" s="86"/>
      <c r="B921" s="42" t="s">
        <v>3334</v>
      </c>
      <c r="C921" s="42" t="s">
        <v>3335</v>
      </c>
      <c r="D921" s="42" t="s">
        <v>3336</v>
      </c>
      <c r="E921" s="42" t="s">
        <v>3337</v>
      </c>
      <c r="F921" s="42" t="s">
        <v>123</v>
      </c>
      <c r="G921" s="86"/>
      <c r="H921" s="21"/>
      <c r="I921" s="22"/>
    </row>
    <row r="922" spans="8:8" s="16" ht="16.5" customFormat="1">
      <c r="A922" s="86"/>
      <c r="B922" s="87" t="s">
        <v>906</v>
      </c>
      <c r="C922" s="87" t="s">
        <v>906</v>
      </c>
      <c r="D922" s="88" t="s">
        <v>3338</v>
      </c>
      <c r="E922" s="87" t="s">
        <v>906</v>
      </c>
      <c r="F922" s="87" t="s">
        <v>906</v>
      </c>
      <c r="G922" s="86"/>
      <c r="H922" s="21"/>
      <c r="I922" s="22"/>
    </row>
    <row r="923" spans="8:8" s="16" ht="16.5" customFormat="1">
      <c r="A923" s="86"/>
      <c r="B923" s="42" t="s">
        <v>3339</v>
      </c>
      <c r="C923" s="42" t="s">
        <v>3340</v>
      </c>
      <c r="D923" s="42" t="s">
        <v>3341</v>
      </c>
      <c r="E923" s="42" t="s">
        <v>3342</v>
      </c>
      <c r="F923" s="42" t="s">
        <v>123</v>
      </c>
      <c r="G923" s="86"/>
      <c r="H923" s="21"/>
      <c r="I923" s="22"/>
    </row>
    <row r="924" spans="8:8" s="16" ht="16.5" customFormat="1">
      <c r="A924" s="86"/>
      <c r="B924" s="42" t="s">
        <v>3343</v>
      </c>
      <c r="C924" s="42" t="s">
        <v>3344</v>
      </c>
      <c r="D924" s="42" t="s">
        <v>3345</v>
      </c>
      <c r="E924" s="42" t="s">
        <v>3346</v>
      </c>
      <c r="F924" s="42" t="s">
        <v>123</v>
      </c>
      <c r="G924" s="86"/>
      <c r="H924" s="21"/>
      <c r="I924" s="22"/>
    </row>
    <row r="925" spans="8:8" s="16" ht="16.5" customFormat="1">
      <c r="A925" s="86"/>
      <c r="B925" s="42" t="s">
        <v>3347</v>
      </c>
      <c r="C925" s="42" t="s">
        <v>3348</v>
      </c>
      <c r="D925" s="42" t="s">
        <v>3349</v>
      </c>
      <c r="E925" s="42" t="s">
        <v>3350</v>
      </c>
      <c r="F925" s="42" t="s">
        <v>3351</v>
      </c>
      <c r="G925" s="86"/>
      <c r="H925" s="21"/>
      <c r="I925" s="22"/>
    </row>
    <row r="926" spans="8:8" s="16" ht="16.5" customFormat="1">
      <c r="A926" s="86"/>
      <c r="B926" s="87" t="s">
        <v>906</v>
      </c>
      <c r="C926" s="87" t="s">
        <v>906</v>
      </c>
      <c r="D926" s="88" t="s">
        <v>3352</v>
      </c>
      <c r="E926" s="87" t="s">
        <v>906</v>
      </c>
      <c r="F926" s="87" t="s">
        <v>906</v>
      </c>
      <c r="G926" s="86"/>
      <c r="H926" s="21"/>
      <c r="I926" s="22"/>
    </row>
    <row r="927" spans="8:8" s="16" ht="16.5" customFormat="1">
      <c r="A927" s="86"/>
      <c r="B927" s="42" t="s">
        <v>3353</v>
      </c>
      <c r="C927" s="42" t="s">
        <v>3354</v>
      </c>
      <c r="D927" s="42" t="s">
        <v>3355</v>
      </c>
      <c r="E927" s="42" t="s">
        <v>3356</v>
      </c>
      <c r="F927" s="42" t="s">
        <v>3357</v>
      </c>
      <c r="G927" s="86"/>
      <c r="H927" s="21"/>
      <c r="I927" s="22"/>
    </row>
    <row r="928" spans="8:8" s="16" ht="16.5" customFormat="1">
      <c r="A928" s="86"/>
      <c r="B928" s="42" t="s">
        <v>3358</v>
      </c>
      <c r="C928" s="42" t="s">
        <v>3359</v>
      </c>
      <c r="D928" s="42" t="s">
        <v>3360</v>
      </c>
      <c r="E928" s="42" t="s">
        <v>3361</v>
      </c>
      <c r="F928" s="42" t="s">
        <v>123</v>
      </c>
      <c r="G928" s="86"/>
      <c r="H928" s="21"/>
      <c r="I928" s="22"/>
    </row>
    <row r="929" spans="8:8" s="16" ht="16.5" customFormat="1">
      <c r="A929" s="86"/>
      <c r="B929" s="42" t="s">
        <v>3362</v>
      </c>
      <c r="C929" s="42" t="s">
        <v>3363</v>
      </c>
      <c r="D929" s="42" t="s">
        <v>3364</v>
      </c>
      <c r="E929" s="42" t="s">
        <v>3365</v>
      </c>
      <c r="F929" s="42" t="s">
        <v>123</v>
      </c>
      <c r="G929" s="86"/>
      <c r="H929" s="21"/>
      <c r="I929" s="22"/>
    </row>
    <row r="930" spans="8:8" s="16" ht="16.5" customFormat="1">
      <c r="A930" s="86"/>
      <c r="B930" s="42" t="s">
        <v>3366</v>
      </c>
      <c r="C930" s="42" t="s">
        <v>3367</v>
      </c>
      <c r="D930" s="42" t="s">
        <v>3368</v>
      </c>
      <c r="E930" s="42" t="s">
        <v>3369</v>
      </c>
      <c r="F930" s="42" t="s">
        <v>2935</v>
      </c>
      <c r="G930" s="86"/>
      <c r="H930" s="21"/>
      <c r="I930" s="22"/>
    </row>
    <row r="931" spans="8:8" s="16" ht="33.0" customFormat="1">
      <c r="A931" s="86"/>
      <c r="B931" s="42" t="s">
        <v>3370</v>
      </c>
      <c r="C931" s="42" t="s">
        <v>3371</v>
      </c>
      <c r="D931" s="42" t="s">
        <v>3372</v>
      </c>
      <c r="E931" s="42" t="s">
        <v>3373</v>
      </c>
      <c r="F931" s="42" t="s">
        <v>3374</v>
      </c>
      <c r="G931" s="86"/>
      <c r="H931" s="21"/>
      <c r="I931" s="22"/>
    </row>
    <row r="932" spans="8:8" s="16" ht="16.5" customFormat="1">
      <c r="A932" s="86"/>
      <c r="B932" s="42" t="s">
        <v>3375</v>
      </c>
      <c r="C932" s="42" t="s">
        <v>3376</v>
      </c>
      <c r="D932" s="42" t="s">
        <v>3377</v>
      </c>
      <c r="E932" s="42" t="s">
        <v>3378</v>
      </c>
      <c r="F932" s="42" t="s">
        <v>851</v>
      </c>
      <c r="G932" s="86"/>
      <c r="H932" s="21"/>
      <c r="I932" s="22"/>
    </row>
    <row r="933" spans="8:8" s="16" ht="33.0" customFormat="1">
      <c r="A933" s="86"/>
      <c r="B933" s="42" t="s">
        <v>3379</v>
      </c>
      <c r="C933" s="42" t="s">
        <v>3380</v>
      </c>
      <c r="D933" s="42" t="s">
        <v>3381</v>
      </c>
      <c r="E933" s="42" t="s">
        <v>3382</v>
      </c>
      <c r="F933" s="42" t="s">
        <v>3383</v>
      </c>
      <c r="G933" s="86"/>
      <c r="H933" s="21"/>
      <c r="I933" s="22"/>
    </row>
    <row r="934" spans="8:8" s="16" ht="17.85" customFormat="1" customHeight="1">
      <c r="A934" s="86"/>
      <c r="B934" s="42" t="s">
        <v>3384</v>
      </c>
      <c r="C934" s="42" t="s">
        <v>9877</v>
      </c>
      <c r="D934" s="42" t="s">
        <v>9880</v>
      </c>
      <c r="E934" s="42" t="s">
        <v>3387</v>
      </c>
      <c r="F934" s="42" t="s">
        <v>1122</v>
      </c>
      <c r="G934" s="86"/>
      <c r="H934" s="21"/>
      <c r="I934" s="22"/>
    </row>
    <row r="935" spans="8:8" s="16" ht="16.3" customFormat="1" customHeight="1">
      <c r="A935" s="86"/>
      <c r="B935" s="42" t="s">
        <v>9859</v>
      </c>
      <c r="C935" s="42" t="s">
        <v>9878</v>
      </c>
      <c r="D935" s="42" t="s">
        <v>9879</v>
      </c>
      <c r="E935" s="42" t="s">
        <v>9871</v>
      </c>
      <c r="F935" s="42" t="s">
        <v>2935</v>
      </c>
      <c r="G935" s="86"/>
      <c r="H935" s="21"/>
      <c r="I935" s="22"/>
    </row>
    <row r="936" spans="8:8" s="16" ht="16.7" customFormat="1" customHeight="1">
      <c r="A936" s="86"/>
      <c r="B936" s="42" t="s">
        <v>3388</v>
      </c>
      <c r="C936" s="42" t="s">
        <v>3389</v>
      </c>
      <c r="D936" s="42" t="s">
        <v>3390</v>
      </c>
      <c r="E936" s="42" t="s">
        <v>3391</v>
      </c>
      <c r="F936" s="42" t="s">
        <v>3357</v>
      </c>
      <c r="G936" s="86"/>
      <c r="H936" s="21"/>
      <c r="I936" s="22"/>
    </row>
    <row r="937" spans="8:8" s="16" ht="13.65" customFormat="1">
      <c r="A937" s="86"/>
      <c r="B937" s="42" t="s">
        <v>3392</v>
      </c>
      <c r="C937" s="42" t="s">
        <v>3393</v>
      </c>
      <c r="D937" s="42" t="s">
        <v>3394</v>
      </c>
      <c r="E937" s="42" t="s">
        <v>3395</v>
      </c>
      <c r="F937" s="42" t="s">
        <v>123</v>
      </c>
      <c r="G937" s="86"/>
      <c r="H937" s="21"/>
      <c r="I937" s="22"/>
    </row>
    <row r="938" spans="8:8" s="16" ht="16.5" customFormat="1">
      <c r="A938" s="86"/>
      <c r="B938" s="42" t="s">
        <v>3396</v>
      </c>
      <c r="C938" s="42" t="s">
        <v>3397</v>
      </c>
      <c r="D938" s="42" t="s">
        <v>3398</v>
      </c>
      <c r="E938" s="42" t="s">
        <v>3399</v>
      </c>
      <c r="F938" s="42" t="s">
        <v>1458</v>
      </c>
      <c r="G938" s="86"/>
      <c r="H938" s="21"/>
      <c r="I938" s="22"/>
    </row>
    <row r="939" spans="8:8" s="16" ht="16.5" customFormat="1">
      <c r="A939" s="86"/>
      <c r="B939" s="42" t="s">
        <v>3400</v>
      </c>
      <c r="C939" s="42" t="s">
        <v>3401</v>
      </c>
      <c r="D939" s="42" t="s">
        <v>3402</v>
      </c>
      <c r="E939" s="42" t="s">
        <v>3403</v>
      </c>
      <c r="F939" s="42" t="s">
        <v>1458</v>
      </c>
      <c r="G939" s="86"/>
      <c r="H939" s="21"/>
      <c r="I939" s="22"/>
    </row>
    <row r="940" spans="8:8" s="16" ht="16.5" customFormat="1">
      <c r="A940" s="86"/>
      <c r="B940" s="42" t="s">
        <v>3404</v>
      </c>
      <c r="C940" s="42" t="s">
        <v>3405</v>
      </c>
      <c r="D940" s="42" t="s">
        <v>3406</v>
      </c>
      <c r="E940" s="42" t="s">
        <v>3407</v>
      </c>
      <c r="F940" s="42" t="s">
        <v>123</v>
      </c>
      <c r="G940" s="86"/>
      <c r="H940" s="21"/>
      <c r="I940" s="22"/>
    </row>
    <row r="941" spans="8:8" s="16" ht="16.5" customFormat="1">
      <c r="A941" s="86"/>
      <c r="B941" s="42" t="s">
        <v>3408</v>
      </c>
      <c r="C941" s="42" t="s">
        <v>3409</v>
      </c>
      <c r="D941" s="42" t="s">
        <v>3410</v>
      </c>
      <c r="E941" s="42" t="s">
        <v>3411</v>
      </c>
      <c r="F941" s="42" t="s">
        <v>123</v>
      </c>
      <c r="G941" s="86"/>
      <c r="H941" s="21"/>
      <c r="I941" s="22"/>
    </row>
    <row r="942" spans="8:8" s="16" ht="16.5" customFormat="1">
      <c r="A942" s="86"/>
      <c r="B942" s="42" t="s">
        <v>3412</v>
      </c>
      <c r="C942" s="42" t="s">
        <v>3413</v>
      </c>
      <c r="D942" s="42" t="s">
        <v>3414</v>
      </c>
      <c r="E942" s="42" t="s">
        <v>3415</v>
      </c>
      <c r="F942" s="42" t="s">
        <v>43</v>
      </c>
      <c r="G942" s="86"/>
      <c r="H942" s="21"/>
      <c r="I942" s="22"/>
    </row>
    <row r="943" spans="8:8" s="16" ht="16.5" customFormat="1">
      <c r="A943" s="86"/>
      <c r="B943" s="42" t="s">
        <v>3416</v>
      </c>
      <c r="C943" s="42" t="s">
        <v>3417</v>
      </c>
      <c r="D943" s="42" t="s">
        <v>3418</v>
      </c>
      <c r="E943" s="42" t="s">
        <v>3419</v>
      </c>
      <c r="F943" s="42" t="s">
        <v>123</v>
      </c>
      <c r="G943" s="86"/>
      <c r="H943" s="21"/>
      <c r="I943" s="22"/>
    </row>
    <row r="944" spans="8:8" s="16" ht="104.1" customFormat="1" customHeight="1">
      <c r="A944" s="86"/>
      <c r="B944" s="42" t="s">
        <v>3420</v>
      </c>
      <c r="C944" s="42" t="s">
        <v>3421</v>
      </c>
      <c r="D944" s="42" t="s">
        <v>3422</v>
      </c>
      <c r="E944" s="42" t="s">
        <v>3423</v>
      </c>
      <c r="F944" s="42" t="s">
        <v>123</v>
      </c>
      <c r="G944" s="86"/>
      <c r="H944" s="21"/>
      <c r="I944" s="22"/>
    </row>
    <row r="945" spans="8:8" s="16" ht="16.2" customFormat="1">
      <c r="A945" s="86"/>
      <c r="B945" s="42" t="s">
        <v>3424</v>
      </c>
      <c r="C945" s="42" t="s">
        <v>3425</v>
      </c>
      <c r="D945" s="42" t="s">
        <v>3426</v>
      </c>
      <c r="E945" s="42" t="s">
        <v>9861</v>
      </c>
      <c r="F945" s="42" t="s">
        <v>123</v>
      </c>
      <c r="G945" s="86"/>
      <c r="H945" s="21"/>
      <c r="I945" s="22"/>
    </row>
    <row r="946" spans="8:8" s="16" ht="16.5" customFormat="1">
      <c r="A946" s="86"/>
      <c r="B946" s="42" t="s">
        <v>3428</v>
      </c>
      <c r="C946" s="42" t="s">
        <v>3429</v>
      </c>
      <c r="D946" s="42" t="s">
        <v>3430</v>
      </c>
      <c r="E946" s="42" t="s">
        <v>3431</v>
      </c>
      <c r="F946" s="42" t="s">
        <v>123</v>
      </c>
      <c r="G946" s="86"/>
      <c r="H946" s="21"/>
      <c r="I946" s="22"/>
    </row>
    <row r="947" spans="8:8" s="16" ht="16.5" customFormat="1">
      <c r="A947" s="86"/>
      <c r="B947" s="87" t="s">
        <v>906</v>
      </c>
      <c r="C947" s="87" t="s">
        <v>906</v>
      </c>
      <c r="D947" s="88" t="s">
        <v>3432</v>
      </c>
      <c r="E947" s="87" t="s">
        <v>906</v>
      </c>
      <c r="F947" s="87" t="s">
        <v>906</v>
      </c>
      <c r="G947" s="86"/>
      <c r="H947" s="21"/>
      <c r="I947" s="22"/>
    </row>
    <row r="948" spans="8:8" s="16" ht="16.5" customFormat="1">
      <c r="A948" s="86"/>
      <c r="B948" s="42" t="s">
        <v>3433</v>
      </c>
      <c r="C948" s="42" t="s">
        <v>3434</v>
      </c>
      <c r="D948" s="42" t="s">
        <v>3435</v>
      </c>
      <c r="E948" s="42" t="s">
        <v>3436</v>
      </c>
      <c r="F948" s="42" t="s">
        <v>3437</v>
      </c>
      <c r="G948" s="86"/>
      <c r="H948" s="21"/>
      <c r="I948" s="22"/>
    </row>
    <row r="949" spans="8:8" s="16" ht="16.5" customFormat="1">
      <c r="A949" s="86"/>
      <c r="B949" s="42" t="s">
        <v>3438</v>
      </c>
      <c r="C949" s="42" t="s">
        <v>3439</v>
      </c>
      <c r="D949" s="42" t="s">
        <v>3440</v>
      </c>
      <c r="E949" s="42" t="s">
        <v>3441</v>
      </c>
      <c r="F949" s="42" t="s">
        <v>3437</v>
      </c>
      <c r="G949" s="86"/>
      <c r="H949" s="21"/>
      <c r="I949" s="22"/>
    </row>
    <row r="950" spans="8:8" s="16" ht="16.5" customFormat="1">
      <c r="A950" s="86"/>
      <c r="B950" s="42" t="s">
        <v>3442</v>
      </c>
      <c r="C950" s="42" t="s">
        <v>3443</v>
      </c>
      <c r="D950" s="42" t="s">
        <v>3444</v>
      </c>
      <c r="E950" s="42" t="s">
        <v>3445</v>
      </c>
      <c r="F950" s="42" t="s">
        <v>43</v>
      </c>
      <c r="G950" s="86"/>
      <c r="H950" s="21"/>
      <c r="I950" s="22"/>
    </row>
    <row r="951" spans="8:8" s="16" ht="16.5" customFormat="1">
      <c r="A951" s="86"/>
      <c r="B951" s="42" t="s">
        <v>3446</v>
      </c>
      <c r="C951" s="42" t="s">
        <v>3447</v>
      </c>
      <c r="D951" s="42" t="s">
        <v>3448</v>
      </c>
      <c r="E951" s="42" t="s">
        <v>3449</v>
      </c>
      <c r="F951" s="42" t="s">
        <v>43</v>
      </c>
      <c r="G951" s="86"/>
      <c r="H951" s="21"/>
      <c r="I951" s="22"/>
    </row>
    <row r="952" spans="8:8" s="16" ht="16.5" customFormat="1">
      <c r="A952" s="86"/>
      <c r="B952" s="42" t="s">
        <v>3450</v>
      </c>
      <c r="C952" s="42" t="s">
        <v>3451</v>
      </c>
      <c r="D952" s="42" t="s">
        <v>3452</v>
      </c>
      <c r="E952" s="42" t="s">
        <v>3453</v>
      </c>
      <c r="F952" s="42" t="s">
        <v>851</v>
      </c>
      <c r="G952" s="86"/>
      <c r="H952" s="21"/>
      <c r="I952" s="22"/>
    </row>
    <row r="953" spans="8:8" s="16" ht="16.5" customFormat="1">
      <c r="A953" s="86"/>
      <c r="B953" s="87" t="s">
        <v>906</v>
      </c>
      <c r="C953" s="87" t="s">
        <v>906</v>
      </c>
      <c r="D953" s="88" t="s">
        <v>3454</v>
      </c>
      <c r="E953" s="87" t="s">
        <v>906</v>
      </c>
      <c r="F953" s="87" t="s">
        <v>906</v>
      </c>
      <c r="G953" s="86"/>
      <c r="H953" s="21"/>
      <c r="I953" s="22"/>
    </row>
    <row r="954" spans="8:8" s="16" ht="16.5" customFormat="1">
      <c r="A954" s="86"/>
      <c r="B954" s="42" t="s">
        <v>3455</v>
      </c>
      <c r="C954" s="42" t="s">
        <v>3456</v>
      </c>
      <c r="D954" s="42" t="s">
        <v>3457</v>
      </c>
      <c r="E954" s="42" t="s">
        <v>3458</v>
      </c>
      <c r="F954" s="42" t="s">
        <v>3437</v>
      </c>
      <c r="G954" s="86"/>
      <c r="H954" s="21"/>
      <c r="I954" s="22"/>
    </row>
    <row r="955" spans="8:8" s="16" ht="16.5" customFormat="1">
      <c r="A955" s="86"/>
      <c r="B955" s="42" t="s">
        <v>3459</v>
      </c>
      <c r="C955" s="42" t="s">
        <v>3460</v>
      </c>
      <c r="D955" s="42" t="s">
        <v>3461</v>
      </c>
      <c r="E955" s="42" t="s">
        <v>3462</v>
      </c>
      <c r="F955" s="42" t="s">
        <v>851</v>
      </c>
      <c r="G955" s="86"/>
      <c r="H955" s="21"/>
      <c r="I955" s="22"/>
    </row>
    <row r="956" spans="8:8" s="16" ht="16.5" customFormat="1">
      <c r="A956" s="86"/>
      <c r="B956" s="42" t="s">
        <v>3463</v>
      </c>
      <c r="C956" s="42" t="s">
        <v>3464</v>
      </c>
      <c r="D956" s="42" t="s">
        <v>3465</v>
      </c>
      <c r="E956" s="42" t="s">
        <v>3466</v>
      </c>
      <c r="F956" s="42" t="s">
        <v>3437</v>
      </c>
      <c r="G956" s="86"/>
      <c r="H956" s="21"/>
      <c r="I956" s="22"/>
    </row>
    <row r="957" spans="8:8" s="16" ht="16.5" customFormat="1">
      <c r="A957" s="86"/>
      <c r="B957" s="42" t="s">
        <v>3467</v>
      </c>
      <c r="C957" s="42" t="s">
        <v>3468</v>
      </c>
      <c r="D957" s="42" t="s">
        <v>3469</v>
      </c>
      <c r="E957" s="42" t="s">
        <v>3470</v>
      </c>
      <c r="F957" s="42" t="s">
        <v>851</v>
      </c>
      <c r="G957" s="86"/>
      <c r="H957" s="21"/>
      <c r="I957" s="22"/>
    </row>
    <row r="958" spans="8:8" s="16" ht="16.5" customFormat="1">
      <c r="A958" s="86"/>
      <c r="B958" s="87" t="s">
        <v>906</v>
      </c>
      <c r="C958" s="87" t="s">
        <v>906</v>
      </c>
      <c r="D958" s="88" t="s">
        <v>3471</v>
      </c>
      <c r="E958" s="87" t="s">
        <v>906</v>
      </c>
      <c r="F958" s="87" t="s">
        <v>906</v>
      </c>
      <c r="G958" s="86"/>
      <c r="H958" s="21"/>
      <c r="I958" s="22"/>
    </row>
    <row r="959" spans="8:8" s="16" ht="16.5" customFormat="1">
      <c r="A959" s="86"/>
      <c r="B959" s="42" t="s">
        <v>3472</v>
      </c>
      <c r="C959" s="42" t="s">
        <v>3473</v>
      </c>
      <c r="D959" s="42" t="s">
        <v>3474</v>
      </c>
      <c r="E959" s="42" t="s">
        <v>3475</v>
      </c>
      <c r="F959" s="42" t="s">
        <v>2802</v>
      </c>
      <c r="G959" s="86"/>
      <c r="H959" s="21"/>
      <c r="I959" s="22"/>
    </row>
    <row r="960" spans="8:8" s="16" ht="16.5" customFormat="1">
      <c r="A960" s="86"/>
      <c r="B960" s="42" t="s">
        <v>3476</v>
      </c>
      <c r="C960" s="42" t="s">
        <v>3477</v>
      </c>
      <c r="D960" s="42" t="s">
        <v>3478</v>
      </c>
      <c r="E960" s="42" t="s">
        <v>3479</v>
      </c>
      <c r="F960" s="42" t="s">
        <v>43</v>
      </c>
      <c r="G960" s="86"/>
      <c r="H960" s="21"/>
      <c r="I960" s="22"/>
    </row>
    <row r="961" spans="8:8" s="16" ht="16.5" customFormat="1">
      <c r="A961" s="86"/>
      <c r="B961" s="42" t="s">
        <v>3480</v>
      </c>
      <c r="C961" s="42" t="s">
        <v>3481</v>
      </c>
      <c r="D961" s="42" t="s">
        <v>3482</v>
      </c>
      <c r="E961" s="42" t="s">
        <v>3483</v>
      </c>
      <c r="F961" s="42" t="s">
        <v>869</v>
      </c>
      <c r="G961" s="86"/>
      <c r="H961" s="21"/>
      <c r="I961" s="22"/>
    </row>
    <row r="962" spans="8:8" s="16" ht="16.5" customFormat="1">
      <c r="A962" s="86"/>
      <c r="B962" s="42" t="s">
        <v>3484</v>
      </c>
      <c r="C962" s="42" t="s">
        <v>3485</v>
      </c>
      <c r="D962" s="42" t="s">
        <v>3486</v>
      </c>
      <c r="E962" s="42" t="s">
        <v>3487</v>
      </c>
      <c r="F962" s="42" t="s">
        <v>123</v>
      </c>
      <c r="G962" s="86"/>
      <c r="H962" s="21"/>
      <c r="I962" s="22"/>
    </row>
    <row r="963" spans="8:8" s="16" ht="16.5" customFormat="1">
      <c r="A963" s="86"/>
      <c r="B963" s="42" t="s">
        <v>3488</v>
      </c>
      <c r="C963" s="42" t="s">
        <v>3489</v>
      </c>
      <c r="D963" s="42" t="s">
        <v>3490</v>
      </c>
      <c r="E963" s="42" t="s">
        <v>3491</v>
      </c>
      <c r="F963" s="42" t="s">
        <v>123</v>
      </c>
      <c r="G963" s="86"/>
      <c r="H963" s="21"/>
      <c r="I963" s="22"/>
    </row>
    <row r="964" spans="8:8" s="16" ht="16.5" customFormat="1">
      <c r="A964" s="86"/>
      <c r="B964" s="42" t="s">
        <v>3492</v>
      </c>
      <c r="C964" s="42" t="s">
        <v>3493</v>
      </c>
      <c r="D964" s="42" t="s">
        <v>3494</v>
      </c>
      <c r="E964" s="42" t="s">
        <v>3495</v>
      </c>
      <c r="F964" s="42" t="s">
        <v>123</v>
      </c>
      <c r="G964" s="86"/>
      <c r="H964" s="21"/>
      <c r="I964" s="22"/>
    </row>
    <row r="965" spans="8:8" s="16" ht="16.5" customFormat="1">
      <c r="A965" s="86"/>
      <c r="B965" s="87" t="s">
        <v>906</v>
      </c>
      <c r="C965" s="87" t="s">
        <v>906</v>
      </c>
      <c r="D965" s="88" t="s">
        <v>3496</v>
      </c>
      <c r="E965" s="87" t="s">
        <v>906</v>
      </c>
      <c r="F965" s="87" t="s">
        <v>906</v>
      </c>
      <c r="G965" s="86"/>
      <c r="H965" s="21"/>
      <c r="I965" s="22"/>
    </row>
    <row r="966" spans="8:8" s="16" ht="16.5" customFormat="1">
      <c r="A966" s="86"/>
      <c r="B966" s="42" t="s">
        <v>3497</v>
      </c>
      <c r="C966" s="42" t="s">
        <v>3498</v>
      </c>
      <c r="D966" s="42" t="s">
        <v>3499</v>
      </c>
      <c r="E966" s="42" t="s">
        <v>3500</v>
      </c>
      <c r="F966" s="42" t="s">
        <v>1122</v>
      </c>
      <c r="G966" s="86"/>
      <c r="H966" s="21"/>
      <c r="I966" s="22"/>
    </row>
    <row r="967" spans="8:8" s="16" ht="16.5" customFormat="1">
      <c r="A967" s="86"/>
      <c r="B967" s="42" t="s">
        <v>3501</v>
      </c>
      <c r="C967" s="42" t="s">
        <v>3502</v>
      </c>
      <c r="D967" s="42" t="s">
        <v>3503</v>
      </c>
      <c r="E967" s="42" t="s">
        <v>3504</v>
      </c>
      <c r="F967" s="42" t="s">
        <v>1122</v>
      </c>
      <c r="G967" s="86"/>
      <c r="H967" s="21"/>
      <c r="I967" s="22"/>
    </row>
    <row r="968" spans="8:8" s="16" ht="16.5" customFormat="1">
      <c r="A968" s="86"/>
      <c r="B968" s="42" t="s">
        <v>3505</v>
      </c>
      <c r="C968" s="42" t="s">
        <v>3506</v>
      </c>
      <c r="D968" s="42" t="s">
        <v>3507</v>
      </c>
      <c r="E968" s="42" t="s">
        <v>3508</v>
      </c>
      <c r="F968" s="42" t="s">
        <v>123</v>
      </c>
      <c r="G968" s="86"/>
      <c r="H968" s="21"/>
      <c r="I968" s="22"/>
    </row>
    <row r="969" spans="8:8" s="16" ht="16.5" customFormat="1">
      <c r="A969" s="86"/>
      <c r="B969" s="42" t="s">
        <v>3509</v>
      </c>
      <c r="C969" s="42" t="s">
        <v>3510</v>
      </c>
      <c r="D969" s="42" t="s">
        <v>3511</v>
      </c>
      <c r="E969" s="42" t="s">
        <v>3512</v>
      </c>
      <c r="F969" s="42" t="s">
        <v>1122</v>
      </c>
      <c r="G969" s="86"/>
      <c r="H969" s="21"/>
      <c r="I969" s="22"/>
    </row>
    <row r="970" spans="8:8" s="16" ht="16.5" customFormat="1">
      <c r="A970" s="86"/>
      <c r="B970" s="42" t="s">
        <v>3513</v>
      </c>
      <c r="C970" s="42" t="s">
        <v>3514</v>
      </c>
      <c r="D970" s="42" t="s">
        <v>3515</v>
      </c>
      <c r="E970" s="42" t="s">
        <v>3516</v>
      </c>
      <c r="F970" s="42" t="s">
        <v>1122</v>
      </c>
      <c r="G970" s="86"/>
      <c r="H970" s="21"/>
      <c r="I970" s="22"/>
    </row>
    <row r="971" spans="8:8" s="16" ht="16.5" customFormat="1">
      <c r="A971" s="86"/>
      <c r="B971" s="87" t="s">
        <v>906</v>
      </c>
      <c r="C971" s="87" t="s">
        <v>906</v>
      </c>
      <c r="D971" s="88" t="s">
        <v>3517</v>
      </c>
      <c r="E971" s="87" t="s">
        <v>906</v>
      </c>
      <c r="F971" s="87" t="s">
        <v>906</v>
      </c>
      <c r="G971" s="86"/>
      <c r="H971" s="21"/>
      <c r="I971" s="22"/>
    </row>
    <row r="972" spans="8:8" s="16" ht="14.9" customFormat="1" customHeight="1">
      <c r="A972" s="86"/>
      <c r="B972" s="42" t="s">
        <v>3518</v>
      </c>
      <c r="C972" s="42" t="s">
        <v>3519</v>
      </c>
      <c r="D972" s="42" t="s">
        <v>3520</v>
      </c>
      <c r="E972" s="42" t="s">
        <v>3521</v>
      </c>
      <c r="F972" s="42" t="s">
        <v>869</v>
      </c>
      <c r="G972" s="86"/>
      <c r="H972" s="21"/>
      <c r="I972" s="22"/>
    </row>
    <row r="973" spans="8:8" s="16" ht="33.0" customFormat="1">
      <c r="A973" s="86"/>
      <c r="B973" s="42" t="s">
        <v>3522</v>
      </c>
      <c r="C973" s="42" t="s">
        <v>3519</v>
      </c>
      <c r="D973" s="42" t="s">
        <v>3523</v>
      </c>
      <c r="E973" s="42" t="s">
        <v>3524</v>
      </c>
      <c r="F973" s="42" t="s">
        <v>869</v>
      </c>
      <c r="G973" s="86"/>
      <c r="H973" s="21"/>
      <c r="I973" s="22"/>
    </row>
    <row r="974" spans="8:8" s="16" ht="16.5" customFormat="1">
      <c r="A974" s="86"/>
      <c r="B974" s="42" t="s">
        <v>3525</v>
      </c>
      <c r="C974" s="42" t="s">
        <v>3526</v>
      </c>
      <c r="D974" s="42" t="s">
        <v>3527</v>
      </c>
      <c r="E974" s="42" t="s">
        <v>3528</v>
      </c>
      <c r="F974" s="42" t="s">
        <v>869</v>
      </c>
      <c r="G974" s="86"/>
      <c r="H974" s="21"/>
      <c r="I974" s="22"/>
    </row>
    <row r="975" spans="8:8" s="16" ht="16.5" customFormat="1">
      <c r="A975" s="86"/>
      <c r="B975" s="42" t="s">
        <v>3529</v>
      </c>
      <c r="C975" s="42" t="s">
        <v>3530</v>
      </c>
      <c r="D975" s="42" t="s">
        <v>3531</v>
      </c>
      <c r="E975" s="42" t="s">
        <v>3532</v>
      </c>
      <c r="F975" s="42" t="s">
        <v>869</v>
      </c>
      <c r="G975" s="86"/>
      <c r="H975" s="21"/>
      <c r="I975" s="22"/>
    </row>
    <row r="976" spans="8:8" s="16" ht="16.5" customFormat="1">
      <c r="A976" s="86"/>
      <c r="B976" s="42" t="s">
        <v>3533</v>
      </c>
      <c r="C976" s="42" t="s">
        <v>3534</v>
      </c>
      <c r="D976" s="42" t="s">
        <v>3535</v>
      </c>
      <c r="E976" s="42" t="s">
        <v>3536</v>
      </c>
      <c r="F976" s="42" t="s">
        <v>869</v>
      </c>
      <c r="G976" s="86"/>
      <c r="H976" s="21"/>
      <c r="I976" s="22"/>
    </row>
    <row r="977" spans="8:8" s="16" ht="16.5" customFormat="1">
      <c r="A977" s="86"/>
      <c r="B977" s="42" t="s">
        <v>3537</v>
      </c>
      <c r="C977" s="42" t="s">
        <v>3538</v>
      </c>
      <c r="D977" s="42" t="s">
        <v>3539</v>
      </c>
      <c r="E977" s="42" t="s">
        <v>3540</v>
      </c>
      <c r="F977" s="42" t="s">
        <v>869</v>
      </c>
      <c r="G977" s="86"/>
      <c r="H977" s="21"/>
      <c r="I977" s="22"/>
    </row>
    <row r="978" spans="8:8" s="16" ht="16.5" customFormat="1">
      <c r="A978" s="86"/>
      <c r="B978" s="42" t="s">
        <v>3541</v>
      </c>
      <c r="C978" s="42" t="s">
        <v>3542</v>
      </c>
      <c r="D978" s="42" t="s">
        <v>3543</v>
      </c>
      <c r="E978" s="42" t="s">
        <v>3544</v>
      </c>
      <c r="F978" s="42" t="s">
        <v>869</v>
      </c>
      <c r="G978" s="86"/>
      <c r="H978" s="21"/>
      <c r="I978" s="22"/>
    </row>
    <row r="979" spans="8:8" s="16" ht="16.5" customFormat="1">
      <c r="A979" s="86"/>
      <c r="B979" s="87" t="s">
        <v>906</v>
      </c>
      <c r="C979" s="87" t="s">
        <v>906</v>
      </c>
      <c r="D979" s="88" t="s">
        <v>3545</v>
      </c>
      <c r="E979" s="87" t="s">
        <v>906</v>
      </c>
      <c r="F979" s="87" t="s">
        <v>906</v>
      </c>
      <c r="G979" s="86"/>
      <c r="H979" s="21"/>
      <c r="I979" s="22"/>
    </row>
    <row r="980" spans="8:8" s="16" ht="16.5" customFormat="1">
      <c r="A980" s="86"/>
      <c r="B980" s="42" t="s">
        <v>3546</v>
      </c>
      <c r="C980" s="42" t="s">
        <v>3547</v>
      </c>
      <c r="D980" s="42" t="s">
        <v>3548</v>
      </c>
      <c r="E980" s="42" t="s">
        <v>3549</v>
      </c>
      <c r="F980" s="42" t="s">
        <v>2935</v>
      </c>
      <c r="G980" s="86"/>
      <c r="H980" s="21"/>
      <c r="I980" s="22"/>
    </row>
    <row r="981" spans="8:8" s="16" ht="33.0" customFormat="1">
      <c r="A981" s="86"/>
      <c r="B981" s="42" t="s">
        <v>3550</v>
      </c>
      <c r="C981" s="42" t="s">
        <v>3551</v>
      </c>
      <c r="D981" s="42" t="s">
        <v>3552</v>
      </c>
      <c r="E981" s="42" t="s">
        <v>3553</v>
      </c>
      <c r="F981" s="42" t="s">
        <v>3554</v>
      </c>
      <c r="G981" s="86"/>
      <c r="H981" s="21"/>
      <c r="I981" s="22"/>
    </row>
    <row r="982" spans="8:8" s="16" ht="16.5" customFormat="1">
      <c r="A982" s="86"/>
      <c r="B982" s="42" t="s">
        <v>3555</v>
      </c>
      <c r="C982" s="42" t="s">
        <v>3556</v>
      </c>
      <c r="D982" s="42" t="s">
        <v>3557</v>
      </c>
      <c r="E982" s="42" t="s">
        <v>3558</v>
      </c>
      <c r="F982" s="42" t="s">
        <v>3559</v>
      </c>
      <c r="G982" s="86"/>
      <c r="H982" s="21"/>
      <c r="I982" s="22"/>
    </row>
    <row r="983" spans="8:8" s="16" ht="16.5" customFormat="1">
      <c r="A983" s="86"/>
      <c r="B983" s="87" t="s">
        <v>906</v>
      </c>
      <c r="C983" s="87" t="s">
        <v>906</v>
      </c>
      <c r="D983" s="88" t="s">
        <v>3560</v>
      </c>
      <c r="E983" s="87" t="s">
        <v>906</v>
      </c>
      <c r="F983" s="87" t="s">
        <v>906</v>
      </c>
      <c r="G983" s="86"/>
      <c r="H983" s="21"/>
      <c r="I983" s="22"/>
    </row>
    <row r="984" spans="8:8" s="16" ht="16.5" customFormat="1">
      <c r="A984" s="86"/>
      <c r="B984" s="42" t="s">
        <v>3561</v>
      </c>
      <c r="C984" s="42" t="s">
        <v>3562</v>
      </c>
      <c r="D984" s="42" t="s">
        <v>3563</v>
      </c>
      <c r="E984" s="42" t="s">
        <v>3564</v>
      </c>
      <c r="F984" s="42" t="s">
        <v>2827</v>
      </c>
      <c r="G984" s="86"/>
      <c r="H984" s="21"/>
      <c r="I984" s="22"/>
    </row>
    <row r="985" spans="8:8" s="16" ht="16.5" customFormat="1">
      <c r="A985" s="86"/>
      <c r="B985" s="42" t="s">
        <v>3565</v>
      </c>
      <c r="C985" s="42" t="s">
        <v>3566</v>
      </c>
      <c r="D985" s="42" t="s">
        <v>3563</v>
      </c>
      <c r="E985" s="42" t="s">
        <v>3567</v>
      </c>
      <c r="F985" s="42" t="s">
        <v>2827</v>
      </c>
      <c r="G985" s="86"/>
      <c r="H985" s="21"/>
      <c r="I985" s="22"/>
    </row>
    <row r="986" spans="8:8" s="16" ht="16.5" customFormat="1">
      <c r="A986" s="86"/>
      <c r="B986" s="42" t="s">
        <v>3568</v>
      </c>
      <c r="C986" s="42" t="s">
        <v>3569</v>
      </c>
      <c r="D986" s="42" t="s">
        <v>3570</v>
      </c>
      <c r="E986" s="42" t="s">
        <v>3571</v>
      </c>
      <c r="F986" s="42" t="s">
        <v>123</v>
      </c>
      <c r="G986" s="86"/>
      <c r="H986" s="21"/>
      <c r="I986" s="22"/>
    </row>
    <row r="987" spans="8:8" s="16" ht="16.5" customFormat="1">
      <c r="A987" s="86"/>
      <c r="B987" s="42"/>
      <c r="C987" s="42"/>
      <c r="D987" s="42"/>
      <c r="E987" s="42"/>
      <c r="F987" s="42"/>
      <c r="G987" s="86"/>
      <c r="H987" s="21"/>
      <c r="I987" s="22"/>
    </row>
    <row r="988" spans="8:8" s="9" ht="29.25" customFormat="1">
      <c r="A988" s="90"/>
      <c r="B988" s="91" t="s">
        <v>3572</v>
      </c>
      <c r="C988" s="91" t="s">
        <v>3573</v>
      </c>
      <c r="D988" s="91" t="s">
        <v>3574</v>
      </c>
      <c r="E988" s="91"/>
      <c r="F988" s="91"/>
      <c r="G988" s="90"/>
      <c r="H988" s="14"/>
      <c r="I988" s="15"/>
    </row>
    <row r="989" spans="8:8" s="9" ht="29.25" customFormat="1">
      <c r="A989" s="90"/>
      <c r="B989" s="91" t="s">
        <v>814</v>
      </c>
      <c r="C989" s="91" t="s">
        <v>815</v>
      </c>
      <c r="D989" s="91" t="s">
        <v>816</v>
      </c>
      <c r="E989" s="91" t="s">
        <v>817</v>
      </c>
      <c r="F989" s="91" t="s">
        <v>818</v>
      </c>
      <c r="G989" s="90"/>
      <c r="H989" s="14"/>
      <c r="I989" s="15"/>
    </row>
    <row r="990" spans="8:8" s="16" ht="16.5" customFormat="1">
      <c r="A990" s="92"/>
      <c r="B990" s="42" t="s">
        <v>3162</v>
      </c>
      <c r="C990" s="42" t="s">
        <v>1518</v>
      </c>
      <c r="D990" s="42" t="s">
        <v>3575</v>
      </c>
      <c r="E990" s="42" t="s">
        <v>3576</v>
      </c>
      <c r="F990" s="42" t="s">
        <v>3577</v>
      </c>
      <c r="G990" s="92"/>
      <c r="H990" s="21"/>
      <c r="I990" s="22"/>
    </row>
    <row r="991" spans="8:8" s="16" ht="16.5" customFormat="1">
      <c r="A991" s="92"/>
      <c r="B991" s="42" t="s">
        <v>3578</v>
      </c>
      <c r="C991" s="42" t="s">
        <v>3579</v>
      </c>
      <c r="D991" s="42" t="s">
        <v>3580</v>
      </c>
      <c r="E991" s="42" t="s">
        <v>3581</v>
      </c>
      <c r="F991" s="42" t="s">
        <v>123</v>
      </c>
      <c r="G991" s="92"/>
      <c r="H991" s="21"/>
      <c r="I991" s="22"/>
    </row>
    <row r="992" spans="8:8" s="16" ht="16.5" customFormat="1">
      <c r="A992" s="92"/>
      <c r="B992" s="42" t="s">
        <v>3582</v>
      </c>
      <c r="C992" s="42" t="s">
        <v>3583</v>
      </c>
      <c r="D992" s="42" t="s">
        <v>3584</v>
      </c>
      <c r="E992" s="42" t="s">
        <v>3585</v>
      </c>
      <c r="F992" s="42" t="s">
        <v>123</v>
      </c>
      <c r="G992" s="92"/>
      <c r="H992" s="21"/>
      <c r="I992" s="22"/>
    </row>
    <row r="993" spans="8:8" s="16" ht="16.5" customFormat="1">
      <c r="A993" s="92"/>
      <c r="B993" s="42" t="s">
        <v>3586</v>
      </c>
      <c r="C993" s="42" t="s">
        <v>3587</v>
      </c>
      <c r="D993" s="42" t="s">
        <v>3588</v>
      </c>
      <c r="E993" s="42" t="s">
        <v>3589</v>
      </c>
      <c r="F993" s="42" t="s">
        <v>123</v>
      </c>
      <c r="G993" s="92"/>
      <c r="H993" s="21"/>
      <c r="I993" s="22"/>
    </row>
    <row r="994" spans="8:8" s="16" ht="16.5" customFormat="1">
      <c r="A994" s="92"/>
      <c r="B994" s="42" t="s">
        <v>2431</v>
      </c>
      <c r="C994" s="42" t="s">
        <v>2432</v>
      </c>
      <c r="D994" s="42" t="s">
        <v>3590</v>
      </c>
      <c r="E994" s="42" t="s">
        <v>3591</v>
      </c>
      <c r="F994" s="42" t="s">
        <v>851</v>
      </c>
      <c r="G994" s="92"/>
      <c r="H994" s="21"/>
      <c r="I994" s="22"/>
    </row>
    <row r="995" spans="8:8" s="16" ht="16.5" customFormat="1">
      <c r="A995" s="92"/>
      <c r="B995" s="42" t="s">
        <v>3592</v>
      </c>
      <c r="C995" s="42" t="s">
        <v>3593</v>
      </c>
      <c r="D995" s="42" t="s">
        <v>3594</v>
      </c>
      <c r="E995" s="42" t="s">
        <v>3595</v>
      </c>
      <c r="F995" s="42" t="s">
        <v>2935</v>
      </c>
      <c r="G995" s="92"/>
      <c r="H995" s="21"/>
      <c r="I995" s="22"/>
    </row>
    <row r="996" spans="8:8" s="16" ht="16.5" customFormat="1">
      <c r="A996" s="92"/>
      <c r="B996" s="42" t="s">
        <v>3596</v>
      </c>
      <c r="C996" s="42" t="s">
        <v>3597</v>
      </c>
      <c r="D996" s="42" t="s">
        <v>3598</v>
      </c>
      <c r="E996" s="42" t="s">
        <v>3599</v>
      </c>
      <c r="F996" s="42" t="s">
        <v>43</v>
      </c>
      <c r="G996" s="92"/>
      <c r="H996" s="21"/>
      <c r="I996" s="22"/>
    </row>
    <row r="997" spans="8:8" s="16" ht="16.5" customFormat="1">
      <c r="A997" s="92"/>
      <c r="B997" s="42" t="s">
        <v>3600</v>
      </c>
      <c r="C997" s="42" t="s">
        <v>3601</v>
      </c>
      <c r="D997" s="42" t="s">
        <v>3602</v>
      </c>
      <c r="E997" s="42" t="s">
        <v>3603</v>
      </c>
      <c r="F997" s="42" t="s">
        <v>123</v>
      </c>
      <c r="G997" s="92"/>
      <c r="H997" s="21"/>
      <c r="I997" s="22"/>
    </row>
    <row r="998" spans="8:8" s="16" ht="16.5" customFormat="1">
      <c r="A998" s="92"/>
      <c r="B998" s="42" t="s">
        <v>3604</v>
      </c>
      <c r="C998" s="42" t="s">
        <v>3605</v>
      </c>
      <c r="D998" s="42" t="s">
        <v>3606</v>
      </c>
      <c r="E998" s="42" t="s">
        <v>3603</v>
      </c>
      <c r="F998" s="42" t="s">
        <v>123</v>
      </c>
      <c r="G998" s="92"/>
      <c r="H998" s="21"/>
      <c r="I998" s="22"/>
    </row>
    <row r="999" spans="8:8" s="16" ht="16.5" customFormat="1">
      <c r="A999" s="92"/>
      <c r="B999" s="42" t="s">
        <v>3607</v>
      </c>
      <c r="C999" s="42" t="s">
        <v>3608</v>
      </c>
      <c r="D999" s="42" t="s">
        <v>3609</v>
      </c>
      <c r="E999" s="42" t="s">
        <v>3610</v>
      </c>
      <c r="F999" s="42" t="s">
        <v>123</v>
      </c>
      <c r="G999" s="92"/>
      <c r="H999" s="21"/>
      <c r="I999" s="22"/>
    </row>
    <row r="1000" spans="8:8" s="16" ht="16.5" customFormat="1">
      <c r="A1000" s="92"/>
      <c r="B1000" s="42" t="s">
        <v>3611</v>
      </c>
      <c r="C1000" s="42" t="s">
        <v>3612</v>
      </c>
      <c r="D1000" s="42" t="s">
        <v>3613</v>
      </c>
      <c r="E1000" s="42" t="s">
        <v>3614</v>
      </c>
      <c r="F1000" s="42" t="s">
        <v>851</v>
      </c>
      <c r="G1000" s="92"/>
      <c r="H1000" s="21"/>
      <c r="I1000" s="22"/>
    </row>
    <row r="1001" spans="8:8" s="16" ht="16.5" customFormat="1">
      <c r="A1001" s="92"/>
      <c r="B1001" s="42" t="s">
        <v>3615</v>
      </c>
      <c r="C1001" s="42" t="s">
        <v>3616</v>
      </c>
      <c r="D1001" s="42" t="s">
        <v>3617</v>
      </c>
      <c r="E1001" s="42" t="s">
        <v>3614</v>
      </c>
      <c r="F1001" s="42" t="s">
        <v>851</v>
      </c>
      <c r="G1001" s="92"/>
      <c r="H1001" s="21"/>
      <c r="I1001" s="22"/>
    </row>
    <row r="1002" spans="8:8" s="16" ht="16.5" customFormat="1">
      <c r="A1002" s="92"/>
      <c r="B1002" s="42" t="s">
        <v>3618</v>
      </c>
      <c r="C1002" s="42" t="s">
        <v>3619</v>
      </c>
      <c r="D1002" s="42" t="s">
        <v>3620</v>
      </c>
      <c r="E1002" s="42" t="s">
        <v>3621</v>
      </c>
      <c r="F1002" s="42" t="s">
        <v>851</v>
      </c>
      <c r="G1002" s="92"/>
      <c r="H1002" s="21"/>
      <c r="I1002" s="22"/>
    </row>
    <row r="1003" spans="8:8" s="16" ht="16.5" customFormat="1">
      <c r="A1003" s="92"/>
      <c r="B1003" s="42" t="s">
        <v>3622</v>
      </c>
      <c r="C1003" s="42" t="s">
        <v>3623</v>
      </c>
      <c r="D1003" s="42" t="s">
        <v>3624</v>
      </c>
      <c r="E1003" s="42" t="s">
        <v>3621</v>
      </c>
      <c r="F1003" s="42" t="s">
        <v>851</v>
      </c>
      <c r="G1003" s="92"/>
      <c r="H1003" s="21"/>
      <c r="I1003" s="22"/>
    </row>
    <row r="1004" spans="8:8" s="16" ht="16.5" customFormat="1">
      <c r="A1004" s="92"/>
      <c r="B1004" s="42" t="s">
        <v>3625</v>
      </c>
      <c r="C1004" s="42" t="s">
        <v>3626</v>
      </c>
      <c r="D1004" s="42" t="s">
        <v>3627</v>
      </c>
      <c r="E1004" s="42" t="s">
        <v>3628</v>
      </c>
      <c r="F1004" s="42" t="s">
        <v>851</v>
      </c>
      <c r="G1004" s="92"/>
      <c r="H1004" s="21"/>
      <c r="I1004" s="22"/>
    </row>
    <row r="1005" spans="8:8" s="16" ht="16.5" customFormat="1">
      <c r="A1005" s="92"/>
      <c r="B1005" s="42" t="s">
        <v>3629</v>
      </c>
      <c r="C1005" s="42" t="s">
        <v>3630</v>
      </c>
      <c r="D1005" s="42" t="s">
        <v>3631</v>
      </c>
      <c r="E1005" s="42" t="s">
        <v>3632</v>
      </c>
      <c r="F1005" s="42" t="s">
        <v>3633</v>
      </c>
      <c r="G1005" s="92"/>
      <c r="H1005" s="21"/>
      <c r="I1005" s="22"/>
    </row>
    <row r="1006" spans="8:8" s="16" ht="16.5" customFormat="1">
      <c r="A1006" s="92"/>
      <c r="B1006" s="42" t="s">
        <v>3634</v>
      </c>
      <c r="C1006" s="42" t="s">
        <v>2537</v>
      </c>
      <c r="D1006" s="42" t="s">
        <v>3635</v>
      </c>
      <c r="E1006" s="42" t="s">
        <v>3632</v>
      </c>
      <c r="F1006" s="42" t="s">
        <v>43</v>
      </c>
      <c r="G1006" s="92"/>
      <c r="H1006" s="21"/>
      <c r="I1006" s="22"/>
    </row>
    <row r="1007" spans="8:8" s="16" ht="16.5" customFormat="1">
      <c r="A1007" s="92"/>
      <c r="B1007" s="42" t="s">
        <v>3636</v>
      </c>
      <c r="C1007" s="42" t="s">
        <v>2550</v>
      </c>
      <c r="D1007" s="42" t="s">
        <v>3637</v>
      </c>
      <c r="E1007" s="42" t="s">
        <v>3638</v>
      </c>
      <c r="F1007" s="42" t="s">
        <v>3633</v>
      </c>
      <c r="G1007" s="92"/>
      <c r="H1007" s="21"/>
      <c r="I1007" s="22"/>
    </row>
    <row r="1008" spans="8:8" s="16" ht="33.0" customFormat="1">
      <c r="A1008" s="92"/>
      <c r="B1008" s="42" t="s">
        <v>3050</v>
      </c>
      <c r="C1008" s="42" t="s">
        <v>3639</v>
      </c>
      <c r="D1008" s="42" t="s">
        <v>3640</v>
      </c>
      <c r="E1008" s="42" t="s">
        <v>3641</v>
      </c>
      <c r="F1008" s="42" t="s">
        <v>3437</v>
      </c>
      <c r="G1008" s="92"/>
      <c r="H1008" s="21"/>
      <c r="I1008" s="22"/>
    </row>
    <row r="1009" spans="8:8" s="16" ht="20.45" customFormat="1" customHeight="1">
      <c r="A1009" s="92"/>
      <c r="B1009" s="42" t="s">
        <v>3642</v>
      </c>
      <c r="C1009" s="42" t="s">
        <v>10172</v>
      </c>
      <c r="D1009" s="42" t="s">
        <v>3644</v>
      </c>
      <c r="E1009" s="42" t="s">
        <v>3645</v>
      </c>
      <c r="F1009" s="42" t="s">
        <v>43</v>
      </c>
      <c r="G1009" s="92"/>
      <c r="H1009" s="21"/>
      <c r="I1009" s="22"/>
    </row>
    <row r="1010" spans="8:8" s="16" ht="16.5" customFormat="1">
      <c r="A1010" s="92"/>
      <c r="B1010" s="42" t="s">
        <v>3646</v>
      </c>
      <c r="C1010" s="42" t="s">
        <v>3647</v>
      </c>
      <c r="D1010" s="42" t="s">
        <v>3648</v>
      </c>
      <c r="E1010" s="42" t="s">
        <v>3649</v>
      </c>
      <c r="F1010" s="42" t="s">
        <v>2935</v>
      </c>
      <c r="G1010" s="92"/>
      <c r="H1010" s="21"/>
      <c r="I1010" s="22"/>
    </row>
    <row r="1011" spans="8:8" s="16" ht="16.5" customFormat="1">
      <c r="A1011" s="92"/>
      <c r="B1011" s="42" t="s">
        <v>3650</v>
      </c>
      <c r="C1011" s="42" t="s">
        <v>3651</v>
      </c>
      <c r="D1011" s="42" t="s">
        <v>3652</v>
      </c>
      <c r="E1011" s="42" t="s">
        <v>3653</v>
      </c>
      <c r="F1011" s="42" t="s">
        <v>123</v>
      </c>
      <c r="G1011" s="92"/>
      <c r="H1011" s="21"/>
      <c r="I1011" s="22"/>
    </row>
    <row r="1012" spans="8:8" s="16" ht="16.5" customFormat="1">
      <c r="A1012" s="92"/>
      <c r="B1012" s="89" t="s">
        <v>2460</v>
      </c>
      <c r="C1012" s="89" t="s">
        <v>3654</v>
      </c>
      <c r="D1012" s="89" t="s">
        <v>3652</v>
      </c>
      <c r="E1012" s="89" t="s">
        <v>3653</v>
      </c>
      <c r="F1012" s="89" t="s">
        <v>123</v>
      </c>
      <c r="G1012" s="92"/>
      <c r="H1012" s="21"/>
      <c r="I1012" s="22"/>
    </row>
    <row r="1013" spans="8:8" s="16" ht="16.5" customFormat="1">
      <c r="A1013" s="92"/>
      <c r="B1013" s="42"/>
      <c r="C1013" s="42"/>
      <c r="D1013" s="42"/>
      <c r="E1013" s="42"/>
      <c r="F1013" s="42"/>
      <c r="G1013" s="92"/>
      <c r="H1013" s="21"/>
      <c r="I1013" s="22"/>
    </row>
    <row r="1014" spans="8:8" s="16" ht="24.0" customFormat="1">
      <c r="A1014" s="92"/>
      <c r="B1014" s="93" t="s">
        <v>3655</v>
      </c>
      <c r="C1014" s="93" t="s">
        <v>3656</v>
      </c>
      <c r="D1014" s="93" t="s">
        <v>3657</v>
      </c>
      <c r="E1014" s="94" t="s">
        <v>3658</v>
      </c>
      <c r="F1014" s="93" t="s">
        <v>43</v>
      </c>
      <c r="G1014" s="92"/>
      <c r="H1014" s="21"/>
      <c r="I1014" s="22"/>
    </row>
    <row r="1015" spans="8:8" s="16" ht="16.5" customFormat="1">
      <c r="A1015" s="92"/>
      <c r="B1015" s="42"/>
      <c r="C1015" s="42"/>
      <c r="D1015" s="42"/>
      <c r="E1015" s="42"/>
      <c r="F1015" s="42"/>
      <c r="G1015" s="92"/>
      <c r="H1015" s="21"/>
      <c r="I1015" s="22"/>
    </row>
    <row r="1016" spans="8:8" s="9" ht="29.25" customFormat="1">
      <c r="A1016" s="90"/>
      <c r="B1016" s="91" t="s">
        <v>3659</v>
      </c>
      <c r="C1016" s="91" t="s">
        <v>3573</v>
      </c>
      <c r="D1016" s="91" t="s">
        <v>3660</v>
      </c>
      <c r="E1016" s="91"/>
      <c r="F1016" s="91"/>
      <c r="G1016" s="90"/>
      <c r="H1016" s="14"/>
      <c r="I1016" s="15"/>
    </row>
    <row r="1017" spans="8:8" s="9" ht="29.25" customFormat="1">
      <c r="A1017" s="90"/>
      <c r="B1017" s="91" t="s">
        <v>814</v>
      </c>
      <c r="C1017" s="91" t="s">
        <v>815</v>
      </c>
      <c r="D1017" s="91" t="s">
        <v>816</v>
      </c>
      <c r="E1017" s="91" t="s">
        <v>817</v>
      </c>
      <c r="F1017" s="91" t="s">
        <v>818</v>
      </c>
      <c r="G1017" s="90"/>
      <c r="H1017" s="14"/>
      <c r="I1017" s="15"/>
    </row>
    <row r="1018" spans="8:8" s="16" ht="16.5" customFormat="1">
      <c r="A1018" s="92"/>
      <c r="B1018" s="42"/>
      <c r="C1018" s="42"/>
      <c r="D1018" s="42" t="s">
        <v>3661</v>
      </c>
      <c r="E1018" s="42" t="s">
        <v>3662</v>
      </c>
      <c r="F1018" s="42"/>
      <c r="G1018" s="92"/>
      <c r="H1018" s="21"/>
      <c r="I1018" s="22"/>
    </row>
    <row r="1019" spans="8:8" s="16" ht="16.5" customFormat="1">
      <c r="A1019" s="92"/>
      <c r="B1019" s="42" t="s">
        <v>2431</v>
      </c>
      <c r="C1019" s="42" t="s">
        <v>3663</v>
      </c>
      <c r="D1019" s="42" t="s">
        <v>3664</v>
      </c>
      <c r="E1019" s="42" t="s">
        <v>3665</v>
      </c>
      <c r="F1019" s="42" t="s">
        <v>851</v>
      </c>
      <c r="G1019" s="92"/>
      <c r="H1019" s="21"/>
      <c r="I1019" s="22"/>
    </row>
    <row r="1020" spans="8:8" s="16" ht="16.5" customFormat="1">
      <c r="A1020" s="92"/>
      <c r="B1020" s="42" t="s">
        <v>3596</v>
      </c>
      <c r="C1020" s="42" t="s">
        <v>3666</v>
      </c>
      <c r="D1020" s="42" t="s">
        <v>3667</v>
      </c>
      <c r="E1020" s="42" t="s">
        <v>3668</v>
      </c>
      <c r="F1020" s="42" t="s">
        <v>43</v>
      </c>
      <c r="G1020" s="92"/>
      <c r="H1020" s="21"/>
      <c r="I1020" s="22"/>
    </row>
    <row r="1021" spans="8:8" s="16" ht="16.5" customFormat="1">
      <c r="A1021" s="92"/>
      <c r="B1021" s="42" t="s">
        <v>3669</v>
      </c>
      <c r="C1021" s="42" t="s">
        <v>3670</v>
      </c>
      <c r="D1021" s="42" t="s">
        <v>3671</v>
      </c>
      <c r="E1021" s="42" t="s">
        <v>3672</v>
      </c>
      <c r="F1021" s="42" t="s">
        <v>43</v>
      </c>
      <c r="G1021" s="92"/>
      <c r="H1021" s="21"/>
      <c r="I1021" s="22"/>
    </row>
    <row r="1022" spans="8:8" s="16" ht="16.5" customFormat="1">
      <c r="A1022" s="92"/>
      <c r="B1022" s="42" t="s">
        <v>3611</v>
      </c>
      <c r="C1022" s="42" t="s">
        <v>3673</v>
      </c>
      <c r="D1022" s="42" t="s">
        <v>3674</v>
      </c>
      <c r="E1022" s="42" t="s">
        <v>3675</v>
      </c>
      <c r="F1022" s="42" t="s">
        <v>851</v>
      </c>
      <c r="G1022" s="92"/>
      <c r="H1022" s="21"/>
      <c r="I1022" s="22"/>
    </row>
    <row r="1023" spans="8:8" s="16" ht="16.5" customFormat="1">
      <c r="A1023" s="92"/>
      <c r="B1023" s="42" t="s">
        <v>3615</v>
      </c>
      <c r="C1023" s="42" t="s">
        <v>3676</v>
      </c>
      <c r="D1023" s="42" t="s">
        <v>3677</v>
      </c>
      <c r="E1023" s="42" t="s">
        <v>3678</v>
      </c>
      <c r="F1023" s="42" t="s">
        <v>851</v>
      </c>
      <c r="G1023" s="92"/>
      <c r="H1023" s="21"/>
      <c r="I1023" s="22"/>
    </row>
    <row r="1024" spans="8:8" s="16" ht="16.5" customFormat="1">
      <c r="A1024" s="92"/>
      <c r="B1024" s="42" t="s">
        <v>3618</v>
      </c>
      <c r="C1024" s="42" t="s">
        <v>3679</v>
      </c>
      <c r="D1024" s="42" t="s">
        <v>3680</v>
      </c>
      <c r="E1024" s="42" t="s">
        <v>3681</v>
      </c>
      <c r="F1024" s="42" t="s">
        <v>851</v>
      </c>
      <c r="G1024" s="92"/>
      <c r="H1024" s="21"/>
      <c r="I1024" s="22"/>
    </row>
    <row r="1025" spans="8:8" s="16" ht="16.5" customFormat="1">
      <c r="A1025" s="92"/>
      <c r="B1025" s="42" t="s">
        <v>3622</v>
      </c>
      <c r="C1025" s="42" t="s">
        <v>3682</v>
      </c>
      <c r="D1025" s="42" t="s">
        <v>3683</v>
      </c>
      <c r="E1025" s="42" t="s">
        <v>3684</v>
      </c>
      <c r="F1025" s="42" t="s">
        <v>851</v>
      </c>
      <c r="G1025" s="92"/>
      <c r="H1025" s="21"/>
      <c r="I1025" s="22"/>
    </row>
    <row r="1026" spans="8:8" s="16" ht="16.5" customFormat="1">
      <c r="A1026" s="92"/>
      <c r="B1026" s="42" t="s">
        <v>3625</v>
      </c>
      <c r="C1026" s="42" t="s">
        <v>3685</v>
      </c>
      <c r="D1026" s="42" t="s">
        <v>3627</v>
      </c>
      <c r="E1026" s="42" t="s">
        <v>3686</v>
      </c>
      <c r="F1026" s="42" t="s">
        <v>851</v>
      </c>
      <c r="G1026" s="92"/>
      <c r="H1026" s="21"/>
      <c r="I1026" s="22"/>
    </row>
    <row r="1027" spans="8:8" s="16" ht="16.5" customFormat="1">
      <c r="A1027" s="92"/>
      <c r="B1027" s="42" t="s">
        <v>3634</v>
      </c>
      <c r="C1027" s="42" t="s">
        <v>3687</v>
      </c>
      <c r="D1027" s="42" t="s">
        <v>3688</v>
      </c>
      <c r="E1027" s="42" t="s">
        <v>3689</v>
      </c>
      <c r="F1027" s="42" t="s">
        <v>851</v>
      </c>
      <c r="G1027" s="92"/>
      <c r="H1027" s="21"/>
      <c r="I1027" s="22"/>
    </row>
    <row r="1028" spans="8:8" s="16" ht="16.5" customFormat="1">
      <c r="A1028" s="92"/>
      <c r="B1028" s="42" t="s">
        <v>3636</v>
      </c>
      <c r="C1028" s="42" t="s">
        <v>3690</v>
      </c>
      <c r="D1028" s="42" t="s">
        <v>3691</v>
      </c>
      <c r="E1028" s="42" t="s">
        <v>3692</v>
      </c>
      <c r="F1028" s="42" t="s">
        <v>851</v>
      </c>
      <c r="G1028" s="92"/>
      <c r="H1028" s="21"/>
      <c r="I1028" s="22"/>
    </row>
    <row r="1029" spans="8:8" s="16" ht="16.5" customFormat="1">
      <c r="A1029" s="92"/>
      <c r="B1029" s="42" t="s">
        <v>3629</v>
      </c>
      <c r="C1029" s="42" t="s">
        <v>3693</v>
      </c>
      <c r="D1029" s="42" t="s">
        <v>3694</v>
      </c>
      <c r="E1029" s="42" t="s">
        <v>3695</v>
      </c>
      <c r="F1029" s="42" t="s">
        <v>851</v>
      </c>
      <c r="G1029" s="92"/>
      <c r="H1029" s="21"/>
      <c r="I1029" s="22"/>
    </row>
    <row r="1030" spans="8:8" s="16" ht="16.5" customFormat="1">
      <c r="A1030" s="92"/>
      <c r="B1030" s="42" t="s">
        <v>2476</v>
      </c>
      <c r="C1030" s="42" t="s">
        <v>3696</v>
      </c>
      <c r="D1030" s="42" t="s">
        <v>3697</v>
      </c>
      <c r="E1030" s="42" t="s">
        <v>3698</v>
      </c>
      <c r="F1030" s="42" t="s">
        <v>851</v>
      </c>
      <c r="G1030" s="92"/>
      <c r="H1030" s="21"/>
      <c r="I1030" s="22"/>
    </row>
    <row r="1031" spans="8:8" s="16" ht="16.5" customFormat="1">
      <c r="A1031" s="92"/>
      <c r="B1031" s="42" t="s">
        <v>2480</v>
      </c>
      <c r="C1031" s="42" t="s">
        <v>3699</v>
      </c>
      <c r="D1031" s="42" t="s">
        <v>3700</v>
      </c>
      <c r="E1031" s="42" t="s">
        <v>3701</v>
      </c>
      <c r="F1031" s="42" t="s">
        <v>851</v>
      </c>
      <c r="G1031" s="92"/>
      <c r="H1031" s="21"/>
      <c r="I1031" s="22"/>
    </row>
    <row r="1032" spans="8:8" s="16" ht="16.5" customFormat="1">
      <c r="A1032" s="92"/>
      <c r="B1032" s="42" t="s">
        <v>2492</v>
      </c>
      <c r="C1032" s="42" t="s">
        <v>3702</v>
      </c>
      <c r="D1032" s="42" t="s">
        <v>3703</v>
      </c>
      <c r="E1032" s="42" t="s">
        <v>3704</v>
      </c>
      <c r="F1032" s="42" t="s">
        <v>851</v>
      </c>
      <c r="G1032" s="92"/>
      <c r="H1032" s="21"/>
      <c r="I1032" s="22"/>
    </row>
    <row r="1033" spans="8:8" s="16" ht="16.5" customFormat="1">
      <c r="A1033" s="92"/>
      <c r="B1033" s="42" t="s">
        <v>2496</v>
      </c>
      <c r="C1033" s="42" t="s">
        <v>3705</v>
      </c>
      <c r="D1033" s="42" t="s">
        <v>3706</v>
      </c>
      <c r="E1033" s="42" t="s">
        <v>3707</v>
      </c>
      <c r="F1033" s="42" t="s">
        <v>851</v>
      </c>
      <c r="G1033" s="92"/>
      <c r="H1033" s="21"/>
      <c r="I1033" s="22"/>
    </row>
    <row r="1034" spans="8:8" s="16" ht="16.5" customFormat="1">
      <c r="A1034" s="92"/>
      <c r="B1034" s="42"/>
      <c r="C1034" s="42"/>
      <c r="D1034" s="42"/>
      <c r="E1034" s="42"/>
      <c r="F1034" s="42"/>
      <c r="G1034" s="92"/>
      <c r="H1034" s="21"/>
      <c r="I1034" s="22"/>
    </row>
    <row r="1035" spans="8:8" s="9" ht="29.25" customFormat="1">
      <c r="A1035" s="95"/>
      <c r="B1035" s="96" t="s">
        <v>3708</v>
      </c>
      <c r="C1035" s="96" t="s">
        <v>3709</v>
      </c>
      <c r="D1035" s="96" t="s">
        <v>1105</v>
      </c>
      <c r="E1035" s="96"/>
      <c r="F1035" s="96"/>
      <c r="G1035" s="95"/>
      <c r="H1035" s="14"/>
      <c r="I1035" s="15"/>
    </row>
    <row r="1036" spans="8:8" s="9" ht="29.25" customFormat="1">
      <c r="A1036" s="95"/>
      <c r="B1036" s="96" t="s">
        <v>814</v>
      </c>
      <c r="C1036" s="96" t="s">
        <v>815</v>
      </c>
      <c r="D1036" s="96" t="s">
        <v>3710</v>
      </c>
      <c r="E1036" s="96" t="s">
        <v>817</v>
      </c>
      <c r="F1036" s="96" t="s">
        <v>818</v>
      </c>
      <c r="G1036" s="95"/>
      <c r="H1036" s="14"/>
      <c r="I1036" s="15"/>
    </row>
    <row r="1037" spans="8:8" s="16" ht="16.5" customFormat="1">
      <c r="A1037" s="97"/>
      <c r="B1037" s="71" t="s">
        <v>3711</v>
      </c>
      <c r="C1037" s="42" t="s">
        <v>3712</v>
      </c>
      <c r="D1037" s="42" t="s">
        <v>3713</v>
      </c>
      <c r="E1037" s="42" t="s">
        <v>3714</v>
      </c>
      <c r="F1037" s="42" t="s">
        <v>2439</v>
      </c>
      <c r="G1037" s="97"/>
      <c r="H1037" s="21"/>
      <c r="I1037" s="22"/>
    </row>
    <row r="1038" spans="8:8" s="16" ht="16.5" customFormat="1">
      <c r="A1038" s="97"/>
      <c r="B1038" s="71" t="s">
        <v>3715</v>
      </c>
      <c r="C1038" s="42" t="s">
        <v>3716</v>
      </c>
      <c r="D1038" s="42" t="s">
        <v>3717</v>
      </c>
      <c r="E1038" s="42" t="s">
        <v>3718</v>
      </c>
      <c r="F1038" s="42" t="s">
        <v>2439</v>
      </c>
      <c r="G1038" s="97"/>
      <c r="H1038" s="21"/>
      <c r="I1038" s="22"/>
    </row>
    <row r="1039" spans="8:8" s="16" ht="16.5" customFormat="1">
      <c r="A1039" s="97"/>
      <c r="B1039" s="42" t="s">
        <v>3719</v>
      </c>
      <c r="C1039" s="42" t="s">
        <v>3720</v>
      </c>
      <c r="D1039" s="42" t="s">
        <v>3721</v>
      </c>
      <c r="E1039" s="42" t="s">
        <v>3722</v>
      </c>
      <c r="F1039" s="42" t="s">
        <v>3723</v>
      </c>
      <c r="G1039" s="97"/>
      <c r="H1039" s="21"/>
      <c r="I1039" s="22"/>
    </row>
    <row r="1040" spans="8:8" s="16" ht="16.5" customFormat="1">
      <c r="A1040" s="97"/>
      <c r="B1040" s="42" t="s">
        <v>3724</v>
      </c>
      <c r="C1040" s="42" t="s">
        <v>3725</v>
      </c>
      <c r="D1040" s="42" t="s">
        <v>3726</v>
      </c>
      <c r="E1040" s="42" t="s">
        <v>3727</v>
      </c>
      <c r="F1040" s="42" t="s">
        <v>3728</v>
      </c>
      <c r="G1040" s="97"/>
      <c r="H1040" s="21"/>
      <c r="I1040" s="22"/>
    </row>
    <row r="1041" spans="8:8" s="16" ht="33.0" customFormat="1">
      <c r="A1041" s="97"/>
      <c r="B1041" s="42" t="s">
        <v>3729</v>
      </c>
      <c r="C1041" s="42" t="s">
        <v>3730</v>
      </c>
      <c r="D1041" s="42" t="s">
        <v>3731</v>
      </c>
      <c r="E1041" s="42" t="s">
        <v>3732</v>
      </c>
      <c r="F1041" s="42" t="s">
        <v>3728</v>
      </c>
      <c r="G1041" s="97"/>
      <c r="H1041" s="21"/>
      <c r="I1041" s="22"/>
    </row>
    <row r="1042" spans="8:8" s="16" ht="16.5" customFormat="1">
      <c r="A1042" s="97"/>
      <c r="B1042" s="42" t="s">
        <v>3733</v>
      </c>
      <c r="C1042" s="42" t="s">
        <v>3716</v>
      </c>
      <c r="D1042" s="42" t="s">
        <v>3734</v>
      </c>
      <c r="E1042" s="42" t="s">
        <v>3735</v>
      </c>
      <c r="F1042" s="42" t="s">
        <v>3728</v>
      </c>
      <c r="G1042" s="97"/>
      <c r="H1042" s="21"/>
      <c r="I1042" s="22"/>
    </row>
    <row r="1043" spans="8:8" s="16" ht="16.5" customFormat="1">
      <c r="A1043" s="97"/>
      <c r="B1043" s="42" t="s">
        <v>3736</v>
      </c>
      <c r="C1043" s="42" t="s">
        <v>3737</v>
      </c>
      <c r="D1043" s="42" t="s">
        <v>3738</v>
      </c>
      <c r="E1043" s="42" t="s">
        <v>3739</v>
      </c>
      <c r="F1043" s="42" t="s">
        <v>123</v>
      </c>
      <c r="G1043" s="97"/>
      <c r="H1043" s="21"/>
      <c r="I1043" s="22"/>
    </row>
    <row r="1044" spans="8:8" s="16" ht="16.5" customFormat="1">
      <c r="A1044" s="97"/>
      <c r="B1044" s="42" t="s">
        <v>3740</v>
      </c>
      <c r="C1044" s="42" t="s">
        <v>3741</v>
      </c>
      <c r="D1044" s="42" t="s">
        <v>3742</v>
      </c>
      <c r="E1044" s="42" t="s">
        <v>3743</v>
      </c>
      <c r="F1044" s="42" t="s">
        <v>123</v>
      </c>
      <c r="G1044" s="97"/>
      <c r="H1044" s="21"/>
      <c r="I1044" s="22"/>
    </row>
    <row r="1045" spans="8:8" s="16" ht="16.5" customFormat="1">
      <c r="A1045" s="97"/>
      <c r="B1045" s="42" t="s">
        <v>3744</v>
      </c>
      <c r="C1045" s="42" t="s">
        <v>3745</v>
      </c>
      <c r="D1045" s="42" t="s">
        <v>3746</v>
      </c>
      <c r="E1045" s="42" t="s">
        <v>3747</v>
      </c>
      <c r="F1045" s="42" t="s">
        <v>123</v>
      </c>
      <c r="G1045" s="97"/>
      <c r="H1045" s="21"/>
      <c r="I1045" s="22"/>
    </row>
    <row r="1046" spans="8:8" s="16" ht="16.5" customFormat="1">
      <c r="A1046" s="97"/>
      <c r="B1046" s="42" t="s">
        <v>3748</v>
      </c>
      <c r="C1046" s="42" t="s">
        <v>3749</v>
      </c>
      <c r="D1046" s="42" t="s">
        <v>3750</v>
      </c>
      <c r="E1046" s="42" t="s">
        <v>3751</v>
      </c>
      <c r="F1046" s="42" t="s">
        <v>123</v>
      </c>
      <c r="G1046" s="97"/>
      <c r="H1046" s="21"/>
      <c r="I1046" s="22"/>
    </row>
    <row r="1047" spans="8:8" s="16" ht="20.05" customFormat="1" customHeight="1">
      <c r="A1047" s="97"/>
      <c r="B1047" s="42" t="s">
        <v>3752</v>
      </c>
      <c r="C1047" s="42" t="s">
        <v>3753</v>
      </c>
      <c r="D1047" s="42" t="s">
        <v>3754</v>
      </c>
      <c r="E1047" s="42" t="s">
        <v>3755</v>
      </c>
      <c r="F1047" s="42" t="s">
        <v>123</v>
      </c>
      <c r="G1047" s="97"/>
      <c r="H1047" s="21"/>
      <c r="I1047" s="22"/>
    </row>
    <row r="1048" spans="8:8" s="16" ht="16.5" customFormat="1">
      <c r="A1048" s="97"/>
      <c r="B1048" s="42" t="s">
        <v>3756</v>
      </c>
      <c r="C1048" s="42" t="s">
        <v>3757</v>
      </c>
      <c r="D1048" s="42" t="s">
        <v>3758</v>
      </c>
      <c r="E1048" s="42" t="s">
        <v>3722</v>
      </c>
      <c r="F1048" s="42" t="s">
        <v>123</v>
      </c>
      <c r="G1048" s="97"/>
      <c r="H1048" s="21"/>
      <c r="I1048" s="22"/>
    </row>
    <row r="1049" spans="8:8" s="16" ht="20.9" customFormat="1" customHeight="1">
      <c r="A1049" s="97"/>
      <c r="B1049" s="98" t="s">
        <v>3759</v>
      </c>
      <c r="C1049" s="98" t="s">
        <v>3760</v>
      </c>
      <c r="D1049" s="98" t="s">
        <v>9909</v>
      </c>
      <c r="E1049" s="98" t="s">
        <v>3762</v>
      </c>
      <c r="F1049" s="98" t="s">
        <v>3763</v>
      </c>
      <c r="G1049" s="97"/>
      <c r="H1049" s="21"/>
      <c r="I1049" s="22"/>
    </row>
    <row r="1050" spans="8:8" s="16" ht="16.65" customFormat="1" customHeight="1">
      <c r="A1050" s="97"/>
      <c r="B1050" s="98" t="s">
        <v>3764</v>
      </c>
      <c r="C1050" s="98" t="s">
        <v>3765</v>
      </c>
      <c r="D1050" s="98" t="s">
        <v>9908</v>
      </c>
      <c r="E1050" s="98" t="s">
        <v>3767</v>
      </c>
      <c r="F1050" s="98" t="s">
        <v>3763</v>
      </c>
      <c r="G1050" s="97"/>
      <c r="H1050" s="21"/>
      <c r="I1050" s="22"/>
    </row>
    <row r="1051" spans="8:8" s="16" ht="15.45" customFormat="1" customHeight="1">
      <c r="A1051" s="97"/>
      <c r="B1051" s="98" t="s">
        <v>3768</v>
      </c>
      <c r="C1051" s="98" t="s">
        <v>3769</v>
      </c>
      <c r="D1051" s="98" t="s">
        <v>9907</v>
      </c>
      <c r="E1051" s="98" t="s">
        <v>3771</v>
      </c>
      <c r="F1051" s="98" t="s">
        <v>3763</v>
      </c>
      <c r="G1051" s="97"/>
      <c r="H1051" s="21"/>
      <c r="I1051" s="22"/>
    </row>
    <row r="1052" spans="8:8" s="16" ht="15.95" customFormat="1" customHeight="1">
      <c r="A1052" s="97"/>
      <c r="B1052" s="98" t="s">
        <v>3772</v>
      </c>
      <c r="C1052" s="98" t="s">
        <v>3773</v>
      </c>
      <c r="D1052" s="98" t="s">
        <v>9906</v>
      </c>
      <c r="E1052" s="98" t="s">
        <v>3775</v>
      </c>
      <c r="F1052" s="98" t="s">
        <v>3763</v>
      </c>
      <c r="G1052" s="97"/>
      <c r="H1052" s="21"/>
      <c r="I1052" s="22"/>
    </row>
    <row r="1053" spans="8:8" s="16" ht="18.15" customFormat="1" customHeight="1">
      <c r="A1053" s="97"/>
      <c r="B1053" s="98" t="s">
        <v>3776</v>
      </c>
      <c r="C1053" s="98" t="s">
        <v>3777</v>
      </c>
      <c r="D1053" s="98" t="s">
        <v>9905</v>
      </c>
      <c r="E1053" s="98" t="s">
        <v>3779</v>
      </c>
      <c r="F1053" s="98" t="s">
        <v>3763</v>
      </c>
      <c r="G1053" s="97"/>
      <c r="H1053" s="21"/>
      <c r="I1053" s="22"/>
    </row>
    <row r="1054" spans="8:8" s="16" ht="19.55" customFormat="1" customHeight="1">
      <c r="A1054" s="97"/>
      <c r="B1054" s="99" t="s">
        <v>9884</v>
      </c>
      <c r="C1054" s="99" t="s">
        <v>9886</v>
      </c>
      <c r="D1054" s="99" t="s">
        <v>9887</v>
      </c>
      <c r="E1054" s="99" t="s">
        <v>9888</v>
      </c>
      <c r="F1054" s="99" t="s">
        <v>3763</v>
      </c>
      <c r="G1054" s="97"/>
      <c r="H1054" s="21"/>
      <c r="I1054" s="22"/>
    </row>
    <row r="1055" spans="8:8" s="16" ht="24.8" customFormat="1">
      <c r="A1055" s="97"/>
      <c r="B1055" s="98" t="s">
        <v>3780</v>
      </c>
      <c r="C1055" s="98" t="s">
        <v>3781</v>
      </c>
      <c r="D1055" s="98" t="s">
        <v>9910</v>
      </c>
      <c r="E1055" s="98" t="s">
        <v>3783</v>
      </c>
      <c r="F1055" s="98" t="s">
        <v>3784</v>
      </c>
      <c r="G1055" s="97"/>
      <c r="H1055" s="100"/>
      <c r="I1055" s="101"/>
    </row>
    <row r="1056" spans="8:8" s="16" ht="16.5" customFormat="1">
      <c r="A1056" s="97"/>
      <c r="B1056" s="102" t="s">
        <v>906</v>
      </c>
      <c r="C1056" s="102" t="s">
        <v>906</v>
      </c>
      <c r="D1056" s="101" t="s">
        <v>3785</v>
      </c>
      <c r="E1056" s="102" t="s">
        <v>906</v>
      </c>
      <c r="F1056" s="102" t="s">
        <v>906</v>
      </c>
      <c r="G1056" s="97"/>
      <c r="H1056" s="103" t="s">
        <v>3786</v>
      </c>
      <c r="I1056" s="101"/>
    </row>
    <row r="1057" spans="8:8" s="16" ht="16.5" customFormat="1">
      <c r="A1057" s="97"/>
      <c r="B1057" s="42" t="s">
        <v>3787</v>
      </c>
      <c r="C1057" s="42" t="s">
        <v>3788</v>
      </c>
      <c r="D1057" s="42" t="s">
        <v>3789</v>
      </c>
      <c r="E1057" s="42" t="s">
        <v>3790</v>
      </c>
      <c r="F1057" s="42" t="s">
        <v>123</v>
      </c>
      <c r="G1057" s="97"/>
      <c r="H1057" s="104" t="s">
        <v>123</v>
      </c>
      <c r="I1057" s="101"/>
    </row>
    <row r="1058" spans="8:8" s="16" ht="16.5" customFormat="1">
      <c r="A1058" s="97"/>
      <c r="B1058" s="42" t="s">
        <v>3791</v>
      </c>
      <c r="C1058" s="42" t="s">
        <v>3788</v>
      </c>
      <c r="D1058" s="42" t="s">
        <v>3792</v>
      </c>
      <c r="E1058" s="42"/>
      <c r="F1058" s="42"/>
      <c r="G1058" s="97"/>
      <c r="H1058" s="104"/>
      <c r="I1058" s="101"/>
    </row>
    <row r="1059" spans="8:8" s="16" ht="16.5" customFormat="1">
      <c r="A1059" s="97"/>
      <c r="B1059" s="42" t="s">
        <v>3793</v>
      </c>
      <c r="C1059" s="42" t="s">
        <v>3794</v>
      </c>
      <c r="D1059" s="42" t="s">
        <v>3795</v>
      </c>
      <c r="E1059" s="42"/>
      <c r="F1059" s="42"/>
      <c r="G1059" s="97"/>
      <c r="H1059" s="104"/>
      <c r="I1059" s="101"/>
    </row>
    <row r="1060" spans="8:8" s="16" ht="16.5" customFormat="1">
      <c r="A1060" s="97"/>
      <c r="B1060" s="42" t="s">
        <v>3796</v>
      </c>
      <c r="C1060" s="42" t="s">
        <v>3794</v>
      </c>
      <c r="D1060" s="42" t="s">
        <v>3792</v>
      </c>
      <c r="E1060" s="42"/>
      <c r="F1060" s="42"/>
      <c r="G1060" s="97"/>
      <c r="H1060" s="104"/>
      <c r="I1060" s="101"/>
    </row>
    <row r="1061" spans="8:8" s="16" ht="33.0" customFormat="1">
      <c r="A1061" s="97"/>
      <c r="B1061" s="42" t="s">
        <v>3797</v>
      </c>
      <c r="C1061" s="42" t="s">
        <v>3798</v>
      </c>
      <c r="D1061" s="42" t="s">
        <v>3799</v>
      </c>
      <c r="E1061" s="42" t="s">
        <v>3800</v>
      </c>
      <c r="F1061" s="42" t="s">
        <v>123</v>
      </c>
      <c r="G1061" s="97"/>
      <c r="H1061" s="104" t="s">
        <v>851</v>
      </c>
      <c r="I1061" s="101"/>
    </row>
    <row r="1062" spans="8:8" s="16" ht="16.5" customFormat="1">
      <c r="A1062" s="97"/>
      <c r="B1062" s="42" t="s">
        <v>3801</v>
      </c>
      <c r="C1062" s="42" t="s">
        <v>3802</v>
      </c>
      <c r="D1062" s="42" t="s">
        <v>3803</v>
      </c>
      <c r="E1062" s="42"/>
      <c r="F1062" s="42"/>
      <c r="G1062" s="97"/>
      <c r="H1062" s="104"/>
      <c r="I1062" s="101"/>
    </row>
    <row r="1063" spans="8:8" s="16" ht="16.5" customFormat="1">
      <c r="A1063" s="97"/>
      <c r="B1063" s="42" t="s">
        <v>3804</v>
      </c>
      <c r="C1063" s="42" t="s">
        <v>3802</v>
      </c>
      <c r="D1063" s="42" t="s">
        <v>3805</v>
      </c>
      <c r="E1063" s="42" t="s">
        <v>3806</v>
      </c>
      <c r="F1063" s="42" t="s">
        <v>123</v>
      </c>
      <c r="G1063" s="97"/>
      <c r="H1063" s="104" t="s">
        <v>123</v>
      </c>
      <c r="I1063" s="101"/>
    </row>
    <row r="1064" spans="8:8" s="16" ht="16.5" customFormat="1">
      <c r="A1064" s="97"/>
      <c r="B1064" s="42" t="s">
        <v>3807</v>
      </c>
      <c r="C1064" s="42" t="s">
        <v>3808</v>
      </c>
      <c r="D1064" s="42" t="s">
        <v>3809</v>
      </c>
      <c r="E1064" s="42" t="s">
        <v>3810</v>
      </c>
      <c r="F1064" s="42" t="s">
        <v>123</v>
      </c>
      <c r="G1064" s="97"/>
      <c r="H1064" s="104" t="s">
        <v>123</v>
      </c>
      <c r="I1064" s="101"/>
    </row>
    <row r="1065" spans="8:8" s="16" ht="16.5" customFormat="1">
      <c r="A1065" s="97"/>
      <c r="B1065" s="42" t="s">
        <v>3811</v>
      </c>
      <c r="C1065" s="42" t="s">
        <v>3812</v>
      </c>
      <c r="D1065" s="42" t="s">
        <v>3813</v>
      </c>
      <c r="E1065" s="42" t="s">
        <v>3814</v>
      </c>
      <c r="F1065" s="42" t="s">
        <v>123</v>
      </c>
      <c r="G1065" s="97"/>
      <c r="H1065" s="104" t="s">
        <v>123</v>
      </c>
      <c r="I1065" s="101"/>
    </row>
    <row r="1066" spans="8:8" s="16" ht="16.5" customFormat="1">
      <c r="A1066" s="97"/>
      <c r="B1066" s="42" t="s">
        <v>3815</v>
      </c>
      <c r="C1066" s="42" t="s">
        <v>3816</v>
      </c>
      <c r="D1066" s="42" t="s">
        <v>3817</v>
      </c>
      <c r="E1066" s="42" t="s">
        <v>3818</v>
      </c>
      <c r="F1066" s="42" t="s">
        <v>123</v>
      </c>
      <c r="G1066" s="97"/>
      <c r="H1066" s="104" t="s">
        <v>123</v>
      </c>
      <c r="I1066" s="101"/>
    </row>
    <row r="1067" spans="8:8" s="16" ht="15.9" customFormat="1">
      <c r="A1067" s="97"/>
      <c r="B1067" s="42" t="s">
        <v>9881</v>
      </c>
      <c r="C1067" s="42" t="s">
        <v>3816</v>
      </c>
      <c r="D1067" s="42" t="s">
        <v>9882</v>
      </c>
      <c r="E1067" s="42" t="s">
        <v>9883</v>
      </c>
      <c r="F1067" s="42" t="s">
        <v>123</v>
      </c>
      <c r="G1067" s="97"/>
      <c r="H1067" s="104" t="s">
        <v>123</v>
      </c>
      <c r="I1067" s="101"/>
    </row>
    <row r="1068" spans="8:8" s="16" ht="16.5" customFormat="1">
      <c r="A1068" s="97"/>
      <c r="B1068" s="42" t="s">
        <v>3819</v>
      </c>
      <c r="C1068" s="42" t="s">
        <v>3820</v>
      </c>
      <c r="D1068" s="42" t="s">
        <v>3821</v>
      </c>
      <c r="E1068" s="42" t="s">
        <v>3822</v>
      </c>
      <c r="F1068" s="42" t="s">
        <v>123</v>
      </c>
      <c r="G1068" s="97"/>
      <c r="H1068" s="104" t="s">
        <v>123</v>
      </c>
      <c r="I1068" s="101"/>
    </row>
    <row r="1069" spans="8:8" s="16" ht="21.15" customFormat="1" customHeight="1">
      <c r="A1069" s="97"/>
      <c r="B1069" s="42" t="s">
        <v>3823</v>
      </c>
      <c r="C1069" s="42" t="s">
        <v>3820</v>
      </c>
      <c r="D1069" s="42" t="s">
        <v>3792</v>
      </c>
      <c r="E1069" s="42" t="s">
        <v>3824</v>
      </c>
      <c r="F1069" s="42" t="s">
        <v>123</v>
      </c>
      <c r="G1069" s="97"/>
      <c r="H1069" s="104" t="s">
        <v>123</v>
      </c>
      <c r="I1069" s="101"/>
    </row>
    <row r="1070" spans="8:8" s="16" ht="16.5" customFormat="1">
      <c r="A1070" s="97"/>
      <c r="B1070" s="42" t="s">
        <v>3825</v>
      </c>
      <c r="C1070" s="42" t="s">
        <v>3826</v>
      </c>
      <c r="D1070" s="42" t="s">
        <v>3827</v>
      </c>
      <c r="E1070" s="42" t="s">
        <v>3828</v>
      </c>
      <c r="F1070" s="42" t="s">
        <v>123</v>
      </c>
      <c r="G1070" s="97"/>
      <c r="H1070" s="104" t="s">
        <v>123</v>
      </c>
      <c r="I1070" s="101"/>
    </row>
    <row r="1071" spans="8:8" s="16" ht="16.5" customFormat="1">
      <c r="A1071" s="97"/>
      <c r="B1071" s="42" t="s">
        <v>3829</v>
      </c>
      <c r="C1071" s="42" t="s">
        <v>3830</v>
      </c>
      <c r="D1071" s="42" t="s">
        <v>3831</v>
      </c>
      <c r="E1071" s="42" t="s">
        <v>3832</v>
      </c>
      <c r="F1071" s="42" t="s">
        <v>123</v>
      </c>
      <c r="G1071" s="97"/>
      <c r="H1071" s="104" t="s">
        <v>123</v>
      </c>
      <c r="I1071" s="101"/>
    </row>
    <row r="1072" spans="8:8" s="16" ht="33.0" customFormat="1">
      <c r="A1072" s="97"/>
      <c r="B1072" s="42" t="s">
        <v>3833</v>
      </c>
      <c r="C1072" s="42" t="s">
        <v>3834</v>
      </c>
      <c r="D1072" s="42" t="s">
        <v>3835</v>
      </c>
      <c r="E1072" s="42" t="s">
        <v>3836</v>
      </c>
      <c r="F1072" s="42" t="s">
        <v>123</v>
      </c>
      <c r="G1072" s="97"/>
      <c r="H1072" s="104" t="s">
        <v>123</v>
      </c>
      <c r="I1072" s="101"/>
    </row>
    <row r="1073" spans="8:8" s="16" ht="16.5" customFormat="1">
      <c r="A1073" s="97"/>
      <c r="B1073" s="42" t="s">
        <v>3837</v>
      </c>
      <c r="C1073" s="42" t="s">
        <v>3838</v>
      </c>
      <c r="D1073" s="42" t="s">
        <v>3839</v>
      </c>
      <c r="E1073" s="42" t="s">
        <v>3840</v>
      </c>
      <c r="F1073" s="42" t="s">
        <v>123</v>
      </c>
      <c r="G1073" s="97"/>
      <c r="H1073" s="104" t="s">
        <v>123</v>
      </c>
      <c r="I1073" s="101"/>
    </row>
    <row r="1074" spans="8:8" s="16" ht="16.5" customFormat="1">
      <c r="A1074" s="97"/>
      <c r="B1074" s="42" t="s">
        <v>3841</v>
      </c>
      <c r="C1074" s="42" t="s">
        <v>3842</v>
      </c>
      <c r="D1074" s="42" t="s">
        <v>3843</v>
      </c>
      <c r="E1074" s="42" t="s">
        <v>3844</v>
      </c>
      <c r="F1074" s="42" t="s">
        <v>123</v>
      </c>
      <c r="G1074" s="97"/>
      <c r="H1074" s="104" t="s">
        <v>851</v>
      </c>
      <c r="I1074" s="101"/>
    </row>
    <row r="1075" spans="8:8" s="16" ht="16.5" customFormat="1">
      <c r="A1075" s="97"/>
      <c r="B1075" s="102" t="s">
        <v>906</v>
      </c>
      <c r="C1075" s="102" t="s">
        <v>906</v>
      </c>
      <c r="D1075" s="101" t="s">
        <v>3845</v>
      </c>
      <c r="E1075" s="102" t="s">
        <v>906</v>
      </c>
      <c r="F1075" s="102" t="s">
        <v>906</v>
      </c>
      <c r="G1075" s="97"/>
      <c r="H1075" s="103" t="s">
        <v>906</v>
      </c>
      <c r="I1075" s="101"/>
    </row>
    <row r="1076" spans="8:8" s="16" ht="16.5" customFormat="1">
      <c r="A1076" s="97"/>
      <c r="B1076" s="42" t="s">
        <v>3846</v>
      </c>
      <c r="C1076" s="42" t="s">
        <v>3847</v>
      </c>
      <c r="D1076" s="42" t="s">
        <v>3848</v>
      </c>
      <c r="E1076" s="42" t="s">
        <v>3849</v>
      </c>
      <c r="F1076" s="42" t="s">
        <v>123</v>
      </c>
      <c r="G1076" s="97"/>
      <c r="H1076" s="104" t="s">
        <v>3850</v>
      </c>
      <c r="I1076" s="101"/>
    </row>
    <row r="1077" spans="8:8" s="16" ht="16.5" customFormat="1">
      <c r="A1077" s="97"/>
      <c r="B1077" s="42" t="s">
        <v>3851</v>
      </c>
      <c r="C1077" s="42" t="s">
        <v>3852</v>
      </c>
      <c r="D1077" s="42" t="s">
        <v>3853</v>
      </c>
      <c r="E1077" s="42" t="s">
        <v>3854</v>
      </c>
      <c r="F1077" s="42" t="s">
        <v>123</v>
      </c>
      <c r="G1077" s="97"/>
      <c r="H1077" s="104" t="s">
        <v>3850</v>
      </c>
      <c r="I1077" s="101"/>
    </row>
    <row r="1078" spans="8:8" s="16" ht="16.5" customFormat="1">
      <c r="A1078" s="97"/>
      <c r="B1078" s="42" t="s">
        <v>3855</v>
      </c>
      <c r="C1078" s="42" t="s">
        <v>3856</v>
      </c>
      <c r="D1078" s="42" t="s">
        <v>3857</v>
      </c>
      <c r="E1078" s="42" t="s">
        <v>3858</v>
      </c>
      <c r="F1078" s="42" t="s">
        <v>123</v>
      </c>
      <c r="G1078" s="97"/>
      <c r="H1078" s="104" t="s">
        <v>3850</v>
      </c>
      <c r="I1078" s="101"/>
    </row>
    <row r="1079" spans="8:8" s="16" ht="16.5" customFormat="1">
      <c r="A1079" s="97"/>
      <c r="B1079" s="42" t="s">
        <v>3859</v>
      </c>
      <c r="C1079" s="42" t="s">
        <v>3860</v>
      </c>
      <c r="D1079" s="42" t="s">
        <v>3861</v>
      </c>
      <c r="E1079" s="42" t="s">
        <v>3862</v>
      </c>
      <c r="F1079" s="42" t="s">
        <v>123</v>
      </c>
      <c r="G1079" s="97"/>
      <c r="H1079" s="104" t="s">
        <v>3863</v>
      </c>
      <c r="I1079" s="101"/>
    </row>
    <row r="1080" spans="8:8" s="16" ht="16.5" customFormat="1">
      <c r="A1080" s="97"/>
      <c r="B1080" s="42" t="s">
        <v>3864</v>
      </c>
      <c r="C1080" s="42" t="s">
        <v>3865</v>
      </c>
      <c r="D1080" s="42" t="s">
        <v>3866</v>
      </c>
      <c r="E1080" s="42" t="s">
        <v>3867</v>
      </c>
      <c r="F1080" s="42" t="s">
        <v>123</v>
      </c>
      <c r="G1080" s="97"/>
      <c r="H1080" s="104" t="s">
        <v>43</v>
      </c>
      <c r="I1080" s="101"/>
    </row>
    <row r="1081" spans="8:8" s="16" ht="16.5" customFormat="1">
      <c r="A1081" s="97"/>
      <c r="B1081" s="42" t="s">
        <v>3868</v>
      </c>
      <c r="C1081" s="42" t="s">
        <v>3869</v>
      </c>
      <c r="D1081" s="42" t="s">
        <v>3870</v>
      </c>
      <c r="E1081" s="42" t="s">
        <v>3871</v>
      </c>
      <c r="F1081" s="42" t="s">
        <v>123</v>
      </c>
      <c r="G1081" s="97"/>
      <c r="H1081" s="104" t="s">
        <v>851</v>
      </c>
      <c r="I1081" s="101"/>
    </row>
    <row r="1082" spans="8:8" s="16" ht="16.5" customFormat="1">
      <c r="A1082" s="97"/>
      <c r="B1082" s="42" t="s">
        <v>3872</v>
      </c>
      <c r="C1082" s="42" t="s">
        <v>3873</v>
      </c>
      <c r="D1082" s="42" t="s">
        <v>3874</v>
      </c>
      <c r="E1082" s="42" t="s">
        <v>3875</v>
      </c>
      <c r="F1082" s="42" t="s">
        <v>123</v>
      </c>
      <c r="G1082" s="97"/>
      <c r="H1082" s="104" t="s">
        <v>43</v>
      </c>
      <c r="I1082" s="101"/>
    </row>
    <row r="1083" spans="8:8" s="16" ht="16.5" customFormat="1">
      <c r="A1083" s="97"/>
      <c r="B1083" s="42" t="s">
        <v>3876</v>
      </c>
      <c r="C1083" s="42" t="s">
        <v>3877</v>
      </c>
      <c r="D1083" s="42" t="s">
        <v>3877</v>
      </c>
      <c r="E1083" s="42" t="s">
        <v>3878</v>
      </c>
      <c r="F1083" s="42" t="s">
        <v>123</v>
      </c>
      <c r="G1083" s="97"/>
      <c r="H1083" s="104" t="s">
        <v>43</v>
      </c>
      <c r="I1083" s="101"/>
    </row>
    <row r="1084" spans="8:8" s="16" ht="16.5" customFormat="1">
      <c r="A1084" s="97"/>
      <c r="B1084" s="42" t="s">
        <v>3879</v>
      </c>
      <c r="C1084" s="42" t="s">
        <v>3880</v>
      </c>
      <c r="D1084" s="42" t="s">
        <v>3880</v>
      </c>
      <c r="E1084" s="42" t="s">
        <v>3881</v>
      </c>
      <c r="F1084" s="42" t="s">
        <v>123</v>
      </c>
      <c r="G1084" s="97"/>
      <c r="H1084" s="104" t="s">
        <v>43</v>
      </c>
      <c r="I1084" s="101"/>
    </row>
    <row r="1085" spans="8:8" s="16" ht="16.5" customFormat="1">
      <c r="A1085" s="97"/>
      <c r="B1085" s="42" t="s">
        <v>3882</v>
      </c>
      <c r="C1085" s="42" t="s">
        <v>3883</v>
      </c>
      <c r="D1085" s="42" t="s">
        <v>3883</v>
      </c>
      <c r="E1085" s="42" t="s">
        <v>3884</v>
      </c>
      <c r="F1085" s="42" t="s">
        <v>123</v>
      </c>
      <c r="G1085" s="97"/>
      <c r="H1085" s="104" t="s">
        <v>123</v>
      </c>
      <c r="I1085" s="101"/>
    </row>
    <row r="1086" spans="8:8" s="16" ht="16.5" customFormat="1">
      <c r="A1086" s="97"/>
      <c r="B1086" s="42" t="s">
        <v>3885</v>
      </c>
      <c r="C1086" s="42" t="s">
        <v>3886</v>
      </c>
      <c r="D1086" s="42" t="s">
        <v>3887</v>
      </c>
      <c r="E1086" s="42" t="s">
        <v>3888</v>
      </c>
      <c r="F1086" s="42" t="s">
        <v>123</v>
      </c>
      <c r="G1086" s="97"/>
      <c r="H1086" s="104" t="s">
        <v>123</v>
      </c>
      <c r="I1086" s="101"/>
    </row>
    <row r="1087" spans="8:8" s="16" ht="16.5" customFormat="1">
      <c r="A1087" s="97"/>
      <c r="B1087" s="42" t="s">
        <v>3889</v>
      </c>
      <c r="C1087" s="42" t="s">
        <v>3890</v>
      </c>
      <c r="D1087" s="42" t="s">
        <v>3891</v>
      </c>
      <c r="E1087" s="42" t="s">
        <v>3892</v>
      </c>
      <c r="F1087" s="42" t="s">
        <v>123</v>
      </c>
      <c r="G1087" s="97"/>
      <c r="H1087" s="104" t="s">
        <v>43</v>
      </c>
      <c r="I1087" s="101"/>
    </row>
    <row r="1088" spans="8:8" s="16" ht="16.5" customFormat="1">
      <c r="A1088" s="97"/>
      <c r="B1088" s="42" t="s">
        <v>3893</v>
      </c>
      <c r="C1088" s="42" t="s">
        <v>3894</v>
      </c>
      <c r="D1088" s="42" t="s">
        <v>3895</v>
      </c>
      <c r="E1088" s="42" t="s">
        <v>3896</v>
      </c>
      <c r="F1088" s="42" t="s">
        <v>123</v>
      </c>
      <c r="G1088" s="97"/>
      <c r="H1088" s="104" t="s">
        <v>851</v>
      </c>
      <c r="I1088" s="101"/>
    </row>
    <row r="1089" spans="8:8" s="16" ht="16.5" customFormat="1">
      <c r="A1089" s="97"/>
      <c r="B1089" s="42" t="s">
        <v>3897</v>
      </c>
      <c r="C1089" s="42" t="s">
        <v>3898</v>
      </c>
      <c r="D1089" s="42" t="s">
        <v>3899</v>
      </c>
      <c r="E1089" s="42" t="s">
        <v>3900</v>
      </c>
      <c r="F1089" s="42" t="s">
        <v>123</v>
      </c>
      <c r="G1089" s="97"/>
      <c r="H1089" s="104" t="s">
        <v>851</v>
      </c>
      <c r="I1089" s="101"/>
    </row>
    <row r="1090" spans="8:8" s="16" ht="16.5" customFormat="1">
      <c r="A1090" s="97"/>
      <c r="B1090" s="42" t="s">
        <v>3901</v>
      </c>
      <c r="C1090" s="42" t="s">
        <v>3902</v>
      </c>
      <c r="D1090" s="42" t="s">
        <v>3903</v>
      </c>
      <c r="E1090" s="42" t="s">
        <v>3904</v>
      </c>
      <c r="F1090" s="42" t="s">
        <v>123</v>
      </c>
      <c r="G1090" s="97"/>
      <c r="H1090" s="104" t="s">
        <v>123</v>
      </c>
      <c r="I1090" s="101"/>
    </row>
    <row r="1091" spans="8:8" s="16" ht="16.5" customFormat="1">
      <c r="A1091" s="97"/>
      <c r="B1091" s="42" t="s">
        <v>3905</v>
      </c>
      <c r="C1091" s="42" t="s">
        <v>3906</v>
      </c>
      <c r="D1091" s="42" t="s">
        <v>3907</v>
      </c>
      <c r="E1091" s="42" t="s">
        <v>3908</v>
      </c>
      <c r="F1091" s="42" t="s">
        <v>123</v>
      </c>
      <c r="G1091" s="97"/>
      <c r="H1091" s="104" t="s">
        <v>123</v>
      </c>
      <c r="I1091" s="101"/>
    </row>
    <row r="1092" spans="8:8" s="16" ht="16.5" customFormat="1">
      <c r="A1092" s="97"/>
      <c r="B1092" s="42" t="s">
        <v>3909</v>
      </c>
      <c r="C1092" s="42" t="s">
        <v>3910</v>
      </c>
      <c r="D1092" s="42" t="s">
        <v>3911</v>
      </c>
      <c r="E1092" s="42" t="s">
        <v>3912</v>
      </c>
      <c r="F1092" s="42" t="s">
        <v>123</v>
      </c>
      <c r="G1092" s="97"/>
      <c r="H1092" s="104" t="s">
        <v>851</v>
      </c>
      <c r="I1092" s="101"/>
    </row>
    <row r="1093" spans="8:8" s="16" ht="16.5" customFormat="1">
      <c r="A1093" s="97"/>
      <c r="B1093" s="42" t="s">
        <v>3913</v>
      </c>
      <c r="C1093" s="42" t="s">
        <v>3914</v>
      </c>
      <c r="D1093" s="42" t="s">
        <v>3915</v>
      </c>
      <c r="E1093" s="42" t="s">
        <v>3916</v>
      </c>
      <c r="F1093" s="42" t="s">
        <v>123</v>
      </c>
      <c r="G1093" s="97"/>
      <c r="H1093" s="104" t="s">
        <v>43</v>
      </c>
      <c r="I1093" s="101"/>
    </row>
    <row r="1094" spans="8:8" s="16" ht="15.75" customFormat="1">
      <c r="A1094" s="97"/>
      <c r="B1094" s="42" t="s">
        <v>3917</v>
      </c>
      <c r="C1094" s="42" t="s">
        <v>3918</v>
      </c>
      <c r="D1094" s="42" t="s">
        <v>10091</v>
      </c>
      <c r="E1094" s="42" t="s">
        <v>3920</v>
      </c>
      <c r="F1094" s="42" t="s">
        <v>123</v>
      </c>
      <c r="G1094" s="97"/>
      <c r="H1094" s="104" t="s">
        <v>43</v>
      </c>
      <c r="I1094" s="101"/>
    </row>
    <row r="1095" spans="8:8" s="16" ht="16.5" customFormat="1">
      <c r="A1095" s="97"/>
      <c r="B1095" s="42" t="s">
        <v>3921</v>
      </c>
      <c r="C1095" s="42" t="s">
        <v>3922</v>
      </c>
      <c r="D1095" s="42" t="s">
        <v>3923</v>
      </c>
      <c r="E1095" s="42" t="s">
        <v>3924</v>
      </c>
      <c r="F1095" s="42" t="s">
        <v>123</v>
      </c>
      <c r="G1095" s="97"/>
      <c r="H1095" s="104" t="s">
        <v>43</v>
      </c>
      <c r="I1095" s="101"/>
    </row>
    <row r="1096" spans="8:8" s="16" ht="16.5" customFormat="1">
      <c r="A1096" s="97"/>
      <c r="B1096" s="42" t="s">
        <v>3925</v>
      </c>
      <c r="C1096" s="42" t="s">
        <v>3926</v>
      </c>
      <c r="D1096" s="42" t="s">
        <v>3927</v>
      </c>
      <c r="E1096" s="42" t="s">
        <v>3928</v>
      </c>
      <c r="F1096" s="42" t="s">
        <v>123</v>
      </c>
      <c r="G1096" s="97"/>
      <c r="H1096" s="104" t="s">
        <v>3929</v>
      </c>
      <c r="I1096" s="101"/>
    </row>
    <row r="1097" spans="8:8" s="16" ht="16.5" customFormat="1">
      <c r="A1097" s="97"/>
      <c r="B1097" s="42" t="s">
        <v>3930</v>
      </c>
      <c r="C1097" s="42" t="s">
        <v>3931</v>
      </c>
      <c r="D1097" s="42" t="s">
        <v>3932</v>
      </c>
      <c r="E1097" s="42" t="s">
        <v>3933</v>
      </c>
      <c r="F1097" s="42" t="s">
        <v>123</v>
      </c>
      <c r="G1097" s="97"/>
      <c r="H1097" s="104" t="s">
        <v>869</v>
      </c>
      <c r="I1097" s="101"/>
    </row>
    <row r="1098" spans="8:8" s="16" ht="16.5" customFormat="1">
      <c r="A1098" s="97"/>
      <c r="B1098" s="42" t="s">
        <v>3934</v>
      </c>
      <c r="C1098" s="42" t="s">
        <v>3935</v>
      </c>
      <c r="D1098" s="42" t="s">
        <v>3936</v>
      </c>
      <c r="E1098" s="42" t="s">
        <v>3937</v>
      </c>
      <c r="F1098" s="42" t="s">
        <v>123</v>
      </c>
      <c r="G1098" s="97"/>
      <c r="H1098" s="104" t="s">
        <v>869</v>
      </c>
      <c r="I1098" s="101"/>
    </row>
    <row r="1099" spans="8:8" s="16" ht="16.5" customFormat="1">
      <c r="A1099" s="97"/>
      <c r="B1099" s="42" t="s">
        <v>3938</v>
      </c>
      <c r="C1099" s="42" t="s">
        <v>3939</v>
      </c>
      <c r="D1099" s="42" t="s">
        <v>3940</v>
      </c>
      <c r="E1099" s="42" t="s">
        <v>3941</v>
      </c>
      <c r="F1099" s="42" t="s">
        <v>123</v>
      </c>
      <c r="G1099" s="97"/>
      <c r="H1099" s="104" t="s">
        <v>851</v>
      </c>
      <c r="I1099" s="101"/>
    </row>
    <row r="1100" spans="8:8" s="16" ht="16.5" customFormat="1">
      <c r="A1100" s="97"/>
      <c r="B1100" s="42" t="s">
        <v>3942</v>
      </c>
      <c r="C1100" s="42" t="s">
        <v>3943</v>
      </c>
      <c r="D1100" s="42" t="s">
        <v>3944</v>
      </c>
      <c r="E1100" s="42" t="s">
        <v>3945</v>
      </c>
      <c r="F1100" s="42" t="s">
        <v>123</v>
      </c>
      <c r="G1100" s="97"/>
      <c r="H1100" s="104" t="s">
        <v>851</v>
      </c>
      <c r="I1100" s="101"/>
    </row>
    <row r="1101" spans="8:8" s="16" ht="16.5" customFormat="1">
      <c r="A1101" s="97"/>
      <c r="B1101" s="42" t="s">
        <v>3946</v>
      </c>
      <c r="C1101" s="42" t="s">
        <v>3947</v>
      </c>
      <c r="D1101" s="42" t="s">
        <v>3948</v>
      </c>
      <c r="E1101" s="42" t="s">
        <v>3949</v>
      </c>
      <c r="F1101" s="42" t="s">
        <v>123</v>
      </c>
      <c r="G1101" s="97"/>
      <c r="H1101" s="104" t="s">
        <v>43</v>
      </c>
      <c r="I1101" s="101"/>
    </row>
    <row r="1102" spans="8:8" s="16" ht="16.5" customFormat="1">
      <c r="A1102" s="97"/>
      <c r="B1102" s="102" t="s">
        <v>906</v>
      </c>
      <c r="C1102" s="102" t="s">
        <v>906</v>
      </c>
      <c r="D1102" s="101" t="s">
        <v>3950</v>
      </c>
      <c r="E1102" s="102" t="s">
        <v>906</v>
      </c>
      <c r="F1102" s="102" t="s">
        <v>906</v>
      </c>
      <c r="G1102" s="97"/>
      <c r="H1102" s="103" t="s">
        <v>906</v>
      </c>
      <c r="I1102" s="101"/>
    </row>
    <row r="1103" spans="8:8" s="16" ht="16.5" customFormat="1">
      <c r="A1103" s="97"/>
      <c r="B1103" s="42" t="s">
        <v>3951</v>
      </c>
      <c r="C1103" s="42" t="s">
        <v>3952</v>
      </c>
      <c r="D1103" s="42" t="s">
        <v>3953</v>
      </c>
      <c r="E1103" s="42" t="s">
        <v>3954</v>
      </c>
      <c r="F1103" s="42" t="s">
        <v>123</v>
      </c>
      <c r="G1103" s="97"/>
      <c r="H1103" s="104" t="s">
        <v>123</v>
      </c>
      <c r="I1103" s="101"/>
    </row>
    <row r="1104" spans="8:8" s="16" ht="16.5" customFormat="1">
      <c r="A1104" s="97"/>
      <c r="B1104" s="42" t="s">
        <v>3955</v>
      </c>
      <c r="C1104" s="42" t="s">
        <v>3956</v>
      </c>
      <c r="D1104" s="42" t="s">
        <v>3957</v>
      </c>
      <c r="E1104" s="42" t="s">
        <v>3958</v>
      </c>
      <c r="F1104" s="42" t="s">
        <v>123</v>
      </c>
      <c r="G1104" s="97"/>
      <c r="H1104" s="104" t="s">
        <v>123</v>
      </c>
      <c r="I1104" s="101"/>
    </row>
    <row r="1105" spans="8:8" s="16" ht="16.5" customFormat="1">
      <c r="A1105" s="97"/>
      <c r="B1105" s="42" t="s">
        <v>3959</v>
      </c>
      <c r="C1105" s="42" t="s">
        <v>3956</v>
      </c>
      <c r="D1105" s="42" t="s">
        <v>3960</v>
      </c>
      <c r="E1105" s="42" t="s">
        <v>3961</v>
      </c>
      <c r="F1105" s="42" t="s">
        <v>123</v>
      </c>
      <c r="G1105" s="97"/>
      <c r="H1105" s="104" t="s">
        <v>123</v>
      </c>
      <c r="I1105" s="101"/>
    </row>
    <row r="1106" spans="8:8" s="16" ht="16.5" customFormat="1">
      <c r="A1106" s="97"/>
      <c r="B1106" s="42" t="s">
        <v>3962</v>
      </c>
      <c r="C1106" s="42" t="s">
        <v>3963</v>
      </c>
      <c r="D1106" s="42" t="s">
        <v>3964</v>
      </c>
      <c r="E1106" s="42" t="s">
        <v>3965</v>
      </c>
      <c r="F1106" s="42" t="s">
        <v>123</v>
      </c>
      <c r="G1106" s="97"/>
      <c r="H1106" s="104" t="s">
        <v>123</v>
      </c>
      <c r="I1106" s="101"/>
    </row>
    <row r="1107" spans="8:8" s="16" ht="16.5" customFormat="1">
      <c r="A1107" s="97"/>
      <c r="B1107" s="42" t="s">
        <v>3966</v>
      </c>
      <c r="C1107" s="42" t="s">
        <v>3967</v>
      </c>
      <c r="D1107" s="42" t="s">
        <v>3968</v>
      </c>
      <c r="E1107" s="42" t="s">
        <v>3969</v>
      </c>
      <c r="F1107" s="42" t="s">
        <v>123</v>
      </c>
      <c r="G1107" s="97"/>
      <c r="H1107" s="104" t="s">
        <v>43</v>
      </c>
      <c r="I1107" s="101"/>
    </row>
    <row r="1108" spans="8:8" s="16" ht="16.5" customFormat="1">
      <c r="A1108" s="97"/>
      <c r="B1108" s="42" t="s">
        <v>3970</v>
      </c>
      <c r="C1108" s="42" t="s">
        <v>3971</v>
      </c>
      <c r="D1108" s="42" t="s">
        <v>3972</v>
      </c>
      <c r="E1108" s="42" t="s">
        <v>3973</v>
      </c>
      <c r="F1108" s="42" t="s">
        <v>123</v>
      </c>
      <c r="G1108" s="97"/>
      <c r="H1108" s="104" t="s">
        <v>123</v>
      </c>
      <c r="I1108" s="101"/>
    </row>
    <row r="1109" spans="8:8" s="16" ht="16.5" customFormat="1">
      <c r="A1109" s="97"/>
      <c r="B1109" s="42" t="s">
        <v>3974</v>
      </c>
      <c r="C1109" s="42" t="s">
        <v>3975</v>
      </c>
      <c r="D1109" s="42" t="s">
        <v>3976</v>
      </c>
      <c r="E1109" s="42" t="s">
        <v>3977</v>
      </c>
      <c r="F1109" s="42" t="s">
        <v>123</v>
      </c>
      <c r="G1109" s="97"/>
      <c r="H1109" s="104" t="s">
        <v>123</v>
      </c>
      <c r="I1109" s="101"/>
    </row>
    <row r="1110" spans="8:8" s="16" ht="16.5" customFormat="1">
      <c r="A1110" s="97"/>
      <c r="B1110" s="42" t="s">
        <v>3978</v>
      </c>
      <c r="C1110" s="42" t="s">
        <v>3979</v>
      </c>
      <c r="D1110" s="42" t="s">
        <v>3980</v>
      </c>
      <c r="E1110" s="42" t="s">
        <v>3981</v>
      </c>
      <c r="F1110" s="42" t="s">
        <v>123</v>
      </c>
      <c r="G1110" s="97"/>
      <c r="H1110" s="104" t="s">
        <v>123</v>
      </c>
      <c r="I1110" s="101"/>
    </row>
    <row r="1111" spans="8:8" s="16" ht="16.5" customFormat="1">
      <c r="A1111" s="97"/>
      <c r="B1111" s="42" t="s">
        <v>3986</v>
      </c>
      <c r="C1111" s="42" t="s">
        <v>3987</v>
      </c>
      <c r="D1111" s="42" t="s">
        <v>3988</v>
      </c>
      <c r="E1111" s="42" t="s">
        <v>3989</v>
      </c>
      <c r="F1111" s="42" t="s">
        <v>123</v>
      </c>
      <c r="G1111" s="97"/>
      <c r="H1111" s="104" t="s">
        <v>123</v>
      </c>
      <c r="I1111" s="101"/>
    </row>
    <row r="1112" spans="8:8" s="16" ht="16.5" customFormat="1">
      <c r="A1112" s="97"/>
      <c r="B1112" s="42" t="s">
        <v>3990</v>
      </c>
      <c r="C1112" s="42" t="s">
        <v>3991</v>
      </c>
      <c r="D1112" s="42" t="s">
        <v>3992</v>
      </c>
      <c r="E1112" s="42" t="s">
        <v>3993</v>
      </c>
      <c r="F1112" s="42" t="s">
        <v>123</v>
      </c>
      <c r="G1112" s="97"/>
      <c r="H1112" s="104" t="s">
        <v>123</v>
      </c>
      <c r="I1112" s="101"/>
    </row>
    <row r="1113" spans="8:8" s="16" ht="16.5" customFormat="1">
      <c r="A1113" s="97"/>
      <c r="B1113" s="42" t="s">
        <v>3994</v>
      </c>
      <c r="C1113" s="42" t="s">
        <v>3995</v>
      </c>
      <c r="D1113" s="42" t="s">
        <v>3996</v>
      </c>
      <c r="E1113" s="42" t="s">
        <v>3997</v>
      </c>
      <c r="F1113" s="42" t="s">
        <v>123</v>
      </c>
      <c r="G1113" s="97"/>
      <c r="H1113" s="104" t="s">
        <v>123</v>
      </c>
      <c r="I1113" s="101"/>
    </row>
    <row r="1114" spans="8:8" s="16" ht="16.5" customFormat="1">
      <c r="A1114" s="97"/>
      <c r="B1114" s="42" t="s">
        <v>3998</v>
      </c>
      <c r="C1114" s="42" t="s">
        <v>3999</v>
      </c>
      <c r="D1114" s="42" t="s">
        <v>4000</v>
      </c>
      <c r="E1114" s="42" t="s">
        <v>4001</v>
      </c>
      <c r="F1114" s="42" t="s">
        <v>123</v>
      </c>
      <c r="G1114" s="97"/>
      <c r="H1114" s="104" t="s">
        <v>123</v>
      </c>
      <c r="I1114" s="101"/>
    </row>
    <row r="1115" spans="8:8" s="16" ht="16.5" customFormat="1">
      <c r="A1115" s="97"/>
      <c r="B1115" s="42" t="s">
        <v>4002</v>
      </c>
      <c r="C1115" s="42" t="s">
        <v>4003</v>
      </c>
      <c r="D1115" s="42" t="s">
        <v>4004</v>
      </c>
      <c r="E1115" s="42" t="s">
        <v>4005</v>
      </c>
      <c r="F1115" s="42" t="s">
        <v>123</v>
      </c>
      <c r="G1115" s="97"/>
      <c r="H1115" s="104" t="s">
        <v>4006</v>
      </c>
      <c r="I1115" s="101"/>
    </row>
    <row r="1116" spans="8:8" s="16" ht="16.5" customFormat="1">
      <c r="A1116" s="97"/>
      <c r="B1116" s="42" t="s">
        <v>4007</v>
      </c>
      <c r="C1116" s="42" t="s">
        <v>4008</v>
      </c>
      <c r="D1116" s="42" t="s">
        <v>4009</v>
      </c>
      <c r="E1116" s="42" t="s">
        <v>4010</v>
      </c>
      <c r="F1116" s="42" t="s">
        <v>123</v>
      </c>
      <c r="G1116" s="97"/>
      <c r="H1116" s="104" t="s">
        <v>4006</v>
      </c>
      <c r="I1116" s="101"/>
    </row>
    <row r="1117" spans="8:8" s="16" ht="16.5" customFormat="1">
      <c r="A1117" s="97"/>
      <c r="B1117" s="42" t="s">
        <v>4011</v>
      </c>
      <c r="C1117" s="42" t="s">
        <v>4012</v>
      </c>
      <c r="D1117" s="42" t="s">
        <v>4013</v>
      </c>
      <c r="E1117" s="42" t="s">
        <v>4014</v>
      </c>
      <c r="F1117" s="42" t="s">
        <v>123</v>
      </c>
      <c r="G1117" s="97"/>
      <c r="H1117" s="104" t="s">
        <v>4006</v>
      </c>
      <c r="I1117" s="101"/>
    </row>
    <row r="1118" spans="8:8" s="16" ht="16.5" customFormat="1">
      <c r="A1118" s="97"/>
      <c r="B1118" s="42" t="s">
        <v>4015</v>
      </c>
      <c r="C1118" s="42" t="s">
        <v>4016</v>
      </c>
      <c r="D1118" s="42" t="s">
        <v>4017</v>
      </c>
      <c r="E1118" s="42" t="s">
        <v>4018</v>
      </c>
      <c r="F1118" s="42" t="s">
        <v>123</v>
      </c>
      <c r="G1118" s="97"/>
      <c r="H1118" s="104" t="s">
        <v>123</v>
      </c>
      <c r="I1118" s="101"/>
    </row>
    <row r="1119" spans="8:8" s="16" ht="33.0" customFormat="1">
      <c r="A1119" s="97"/>
      <c r="B1119" s="42" t="s">
        <v>4019</v>
      </c>
      <c r="C1119" s="42" t="s">
        <v>4020</v>
      </c>
      <c r="D1119" s="42" t="s">
        <v>4021</v>
      </c>
      <c r="E1119" s="42" t="s">
        <v>4022</v>
      </c>
      <c r="F1119" s="42" t="s">
        <v>123</v>
      </c>
      <c r="G1119" s="97"/>
      <c r="H1119" s="104" t="s">
        <v>43</v>
      </c>
      <c r="I1119" s="101"/>
    </row>
    <row r="1120" spans="8:8" s="16" ht="29.6" customFormat="1" customHeight="1">
      <c r="A1120" s="97"/>
      <c r="B1120" s="42" t="s">
        <v>9920</v>
      </c>
      <c r="C1120" s="42" t="s">
        <v>9921</v>
      </c>
      <c r="D1120" s="42" t="s">
        <v>9922</v>
      </c>
      <c r="E1120" s="42" t="s">
        <v>9923</v>
      </c>
      <c r="F1120" s="42" t="s">
        <v>123</v>
      </c>
      <c r="G1120" s="97"/>
      <c r="H1120" s="104" t="s">
        <v>43</v>
      </c>
      <c r="I1120" s="101"/>
    </row>
    <row r="1121" spans="8:8" s="16" ht="49.5" customFormat="1">
      <c r="A1121" s="97"/>
      <c r="B1121" s="42" t="s">
        <v>4023</v>
      </c>
      <c r="C1121" s="42" t="s">
        <v>4024</v>
      </c>
      <c r="D1121" s="42" t="s">
        <v>4025</v>
      </c>
      <c r="E1121" s="42" t="s">
        <v>4026</v>
      </c>
      <c r="F1121" s="42" t="s">
        <v>123</v>
      </c>
      <c r="G1121" s="97"/>
      <c r="H1121" s="104" t="s">
        <v>43</v>
      </c>
      <c r="I1121" s="101"/>
    </row>
    <row r="1122" spans="8:8" s="16" ht="49.5" customFormat="1">
      <c r="A1122" s="97"/>
      <c r="B1122" s="42" t="s">
        <v>4027</v>
      </c>
      <c r="C1122" s="42" t="s">
        <v>4028</v>
      </c>
      <c r="D1122" s="42" t="s">
        <v>4029</v>
      </c>
      <c r="E1122" s="42" t="s">
        <v>4030</v>
      </c>
      <c r="F1122" s="42" t="s">
        <v>123</v>
      </c>
      <c r="G1122" s="97"/>
      <c r="H1122" s="104" t="s">
        <v>43</v>
      </c>
      <c r="I1122" s="101"/>
    </row>
    <row r="1123" spans="8:8" s="16" ht="49.5" customFormat="1">
      <c r="A1123" s="97"/>
      <c r="B1123" s="42" t="s">
        <v>4031</v>
      </c>
      <c r="C1123" s="42" t="s">
        <v>4032</v>
      </c>
      <c r="D1123" s="42" t="s">
        <v>4033</v>
      </c>
      <c r="E1123" s="42" t="s">
        <v>4034</v>
      </c>
      <c r="F1123" s="42" t="s">
        <v>123</v>
      </c>
      <c r="G1123" s="97"/>
      <c r="H1123" s="104" t="s">
        <v>43</v>
      </c>
      <c r="I1123" s="101"/>
    </row>
    <row r="1124" spans="8:8" s="16" ht="16.5" customFormat="1">
      <c r="A1124" s="97"/>
      <c r="B1124" s="42" t="s">
        <v>4035</v>
      </c>
      <c r="C1124" s="42" t="s">
        <v>4036</v>
      </c>
      <c r="D1124" s="42" t="s">
        <v>4037</v>
      </c>
      <c r="E1124" s="42" t="s">
        <v>4038</v>
      </c>
      <c r="F1124" s="42" t="s">
        <v>123</v>
      </c>
      <c r="G1124" s="97"/>
      <c r="H1124" s="104" t="s">
        <v>43</v>
      </c>
      <c r="I1124" s="101"/>
    </row>
    <row r="1125" spans="8:8" s="16" ht="16.5" customFormat="1">
      <c r="A1125" s="97"/>
      <c r="B1125" s="42" t="s">
        <v>4039</v>
      </c>
      <c r="C1125" s="42" t="s">
        <v>4040</v>
      </c>
      <c r="D1125" s="42" t="s">
        <v>4041</v>
      </c>
      <c r="E1125" s="42" t="s">
        <v>4042</v>
      </c>
      <c r="F1125" s="42" t="s">
        <v>123</v>
      </c>
      <c r="G1125" s="97"/>
      <c r="H1125" s="104" t="s">
        <v>43</v>
      </c>
      <c r="I1125" s="101"/>
    </row>
    <row r="1126" spans="8:8" s="16" ht="16.5" customFormat="1">
      <c r="A1126" s="97"/>
      <c r="B1126" s="42" t="s">
        <v>4043</v>
      </c>
      <c r="C1126" s="42" t="s">
        <v>4044</v>
      </c>
      <c r="D1126" s="42" t="s">
        <v>4045</v>
      </c>
      <c r="E1126" s="42" t="s">
        <v>4046</v>
      </c>
      <c r="F1126" s="42" t="s">
        <v>123</v>
      </c>
      <c r="G1126" s="97"/>
      <c r="H1126" s="104" t="s">
        <v>123</v>
      </c>
      <c r="I1126" s="101"/>
    </row>
    <row r="1127" spans="8:8" s="16" ht="16.5" customFormat="1">
      <c r="A1127" s="97"/>
      <c r="B1127" s="42" t="s">
        <v>4047</v>
      </c>
      <c r="C1127" s="42" t="s">
        <v>4048</v>
      </c>
      <c r="D1127" s="42" t="s">
        <v>4049</v>
      </c>
      <c r="E1127" s="42" t="s">
        <v>4050</v>
      </c>
      <c r="F1127" s="42" t="s">
        <v>123</v>
      </c>
      <c r="G1127" s="97"/>
      <c r="H1127" s="104" t="s">
        <v>123</v>
      </c>
      <c r="I1127" s="101"/>
    </row>
    <row r="1128" spans="8:8" s="16" ht="16.5" customFormat="1">
      <c r="A1128" s="97"/>
      <c r="B1128" s="42" t="s">
        <v>4051</v>
      </c>
      <c r="C1128" s="42" t="s">
        <v>4052</v>
      </c>
      <c r="D1128" s="42" t="s">
        <v>4053</v>
      </c>
      <c r="E1128" s="42" t="s">
        <v>4054</v>
      </c>
      <c r="F1128" s="42" t="s">
        <v>123</v>
      </c>
      <c r="G1128" s="97"/>
      <c r="H1128" s="104" t="s">
        <v>123</v>
      </c>
      <c r="I1128" s="101"/>
    </row>
    <row r="1129" spans="8:8" s="16" ht="16.5" customFormat="1">
      <c r="A1129" s="97"/>
      <c r="B1129" s="42" t="s">
        <v>4055</v>
      </c>
      <c r="C1129" s="42" t="s">
        <v>4056</v>
      </c>
      <c r="D1129" s="42" t="s">
        <v>4057</v>
      </c>
      <c r="E1129" s="42" t="s">
        <v>4058</v>
      </c>
      <c r="F1129" s="42" t="s">
        <v>123</v>
      </c>
      <c r="G1129" s="97"/>
      <c r="H1129" s="104" t="s">
        <v>851</v>
      </c>
      <c r="I1129" s="101"/>
    </row>
    <row r="1130" spans="8:8" s="16" ht="16.5" customFormat="1">
      <c r="A1130" s="97"/>
      <c r="B1130" s="42" t="s">
        <v>4059</v>
      </c>
      <c r="C1130" s="42" t="s">
        <v>4060</v>
      </c>
      <c r="D1130" s="42" t="s">
        <v>4061</v>
      </c>
      <c r="E1130" s="42" t="s">
        <v>4062</v>
      </c>
      <c r="F1130" s="42" t="s">
        <v>123</v>
      </c>
      <c r="G1130" s="97"/>
      <c r="H1130" s="104" t="s">
        <v>851</v>
      </c>
      <c r="I1130" s="101"/>
    </row>
    <row r="1131" spans="8:8" s="16" ht="16.5" customFormat="1">
      <c r="A1131" s="97"/>
      <c r="B1131" s="42" t="s">
        <v>4063</v>
      </c>
      <c r="C1131" s="42" t="s">
        <v>4064</v>
      </c>
      <c r="D1131" s="42" t="s">
        <v>4065</v>
      </c>
      <c r="E1131" s="42" t="s">
        <v>4066</v>
      </c>
      <c r="F1131" s="42" t="s">
        <v>123</v>
      </c>
      <c r="G1131" s="97"/>
      <c r="H1131" s="104" t="s">
        <v>123</v>
      </c>
      <c r="I1131" s="101"/>
    </row>
    <row r="1132" spans="8:8" s="16" ht="16.5" customFormat="1">
      <c r="A1132" s="97"/>
      <c r="B1132" s="42" t="s">
        <v>4067</v>
      </c>
      <c r="C1132" s="42" t="s">
        <v>4068</v>
      </c>
      <c r="D1132" s="42" t="s">
        <v>4069</v>
      </c>
      <c r="E1132" s="42" t="s">
        <v>4070</v>
      </c>
      <c r="F1132" s="42" t="s">
        <v>123</v>
      </c>
      <c r="G1132" s="97"/>
      <c r="H1132" s="104" t="s">
        <v>123</v>
      </c>
      <c r="I1132" s="101"/>
    </row>
    <row r="1133" spans="8:8" s="16" ht="125.3" customFormat="1" customHeight="1">
      <c r="A1133" s="97"/>
      <c r="B1133" s="42" t="s">
        <v>4071</v>
      </c>
      <c r="C1133" s="42" t="s">
        <v>4072</v>
      </c>
      <c r="D1133" s="42" t="s">
        <v>4073</v>
      </c>
      <c r="E1133" s="42" t="s">
        <v>4074</v>
      </c>
      <c r="F1133" s="42" t="s">
        <v>123</v>
      </c>
      <c r="G1133" s="97"/>
      <c r="H1133" s="104" t="s">
        <v>4075</v>
      </c>
      <c r="I1133" s="101"/>
    </row>
    <row r="1134" spans="8:8" s="16" ht="21.1" customFormat="1" customHeight="1">
      <c r="A1134" s="97"/>
      <c r="B1134" s="42" t="s">
        <v>4076</v>
      </c>
      <c r="C1134" s="42" t="s">
        <v>4077</v>
      </c>
      <c r="D1134" s="42" t="s">
        <v>4078</v>
      </c>
      <c r="E1134" s="42" t="s">
        <v>4079</v>
      </c>
      <c r="F1134" s="42" t="s">
        <v>123</v>
      </c>
      <c r="G1134" s="97"/>
      <c r="H1134" s="104" t="s">
        <v>4080</v>
      </c>
      <c r="I1134" s="101"/>
    </row>
    <row r="1135" spans="8:8" s="16" ht="16.5" customFormat="1">
      <c r="A1135" s="97"/>
      <c r="B1135" s="42" t="s">
        <v>4081</v>
      </c>
      <c r="C1135" s="42" t="s">
        <v>4082</v>
      </c>
      <c r="D1135" s="42" t="s">
        <v>4083</v>
      </c>
      <c r="E1135" s="42" t="s">
        <v>4084</v>
      </c>
      <c r="F1135" s="42" t="s">
        <v>123</v>
      </c>
      <c r="G1135" s="97"/>
      <c r="H1135" s="104" t="s">
        <v>4075</v>
      </c>
      <c r="I1135" s="101"/>
    </row>
    <row r="1136" spans="8:8" s="16" ht="33.0" customFormat="1">
      <c r="A1136" s="97"/>
      <c r="B1136" s="42" t="s">
        <v>4085</v>
      </c>
      <c r="C1136" s="42" t="s">
        <v>4086</v>
      </c>
      <c r="D1136" s="42" t="s">
        <v>4083</v>
      </c>
      <c r="E1136" s="42" t="s">
        <v>4087</v>
      </c>
      <c r="F1136" s="42" t="s">
        <v>123</v>
      </c>
      <c r="G1136" s="97"/>
      <c r="H1136" s="104" t="s">
        <v>4088</v>
      </c>
      <c r="I1136" s="101"/>
    </row>
    <row r="1137" spans="8:8" s="16" ht="22.25" customFormat="1" customHeight="1">
      <c r="A1137" s="97"/>
      <c r="B1137" s="42" t="s">
        <v>4089</v>
      </c>
      <c r="C1137" s="42" t="s">
        <v>4090</v>
      </c>
      <c r="D1137" s="42" t="s">
        <v>4091</v>
      </c>
      <c r="E1137" s="42" t="s">
        <v>4092</v>
      </c>
      <c r="F1137" s="42" t="s">
        <v>123</v>
      </c>
      <c r="G1137" s="97"/>
      <c r="H1137" s="104" t="s">
        <v>43</v>
      </c>
      <c r="I1137" s="101"/>
    </row>
    <row r="1138" spans="8:8" s="16" ht="21.1" customFormat="1" customHeight="1">
      <c r="A1138" s="97"/>
      <c r="B1138" s="42" t="s">
        <v>4093</v>
      </c>
      <c r="C1138" s="42" t="s">
        <v>4094</v>
      </c>
      <c r="D1138" s="42" t="s">
        <v>4091</v>
      </c>
      <c r="E1138" s="42" t="s">
        <v>4095</v>
      </c>
      <c r="F1138" s="42" t="s">
        <v>123</v>
      </c>
      <c r="G1138" s="97"/>
      <c r="H1138" s="104" t="s">
        <v>43</v>
      </c>
      <c r="I1138" s="101"/>
    </row>
    <row r="1139" spans="8:8" s="16" ht="20.25" customFormat="1" customHeight="1">
      <c r="A1139" s="97"/>
      <c r="B1139" s="42" t="s">
        <v>4096</v>
      </c>
      <c r="C1139" s="42" t="s">
        <v>4097</v>
      </c>
      <c r="D1139" s="42" t="s">
        <v>4098</v>
      </c>
      <c r="E1139" s="42" t="s">
        <v>4099</v>
      </c>
      <c r="F1139" s="42" t="s">
        <v>123</v>
      </c>
      <c r="G1139" s="97"/>
      <c r="H1139" s="104" t="s">
        <v>4100</v>
      </c>
      <c r="I1139" s="101"/>
    </row>
    <row r="1140" spans="8:8" s="16" ht="19.65" customFormat="1" customHeight="1">
      <c r="A1140" s="97"/>
      <c r="B1140" s="42" t="s">
        <v>4101</v>
      </c>
      <c r="C1140" s="42" t="s">
        <v>10217</v>
      </c>
      <c r="D1140" s="42" t="s">
        <v>4103</v>
      </c>
      <c r="E1140" s="42" t="s">
        <v>4104</v>
      </c>
      <c r="F1140" s="42" t="s">
        <v>123</v>
      </c>
      <c r="G1140" s="97"/>
      <c r="H1140" s="104" t="s">
        <v>4105</v>
      </c>
      <c r="I1140" s="101"/>
    </row>
    <row r="1141" spans="8:8" s="16" ht="16.5" customFormat="1">
      <c r="A1141" s="97"/>
      <c r="B1141" s="42" t="s">
        <v>4106</v>
      </c>
      <c r="C1141" s="42" t="s">
        <v>4107</v>
      </c>
      <c r="D1141" s="42" t="s">
        <v>4108</v>
      </c>
      <c r="E1141" s="42" t="s">
        <v>4109</v>
      </c>
      <c r="F1141" s="42" t="s">
        <v>123</v>
      </c>
      <c r="G1141" s="97"/>
      <c r="H1141" s="104" t="s">
        <v>43</v>
      </c>
      <c r="I1141" s="101"/>
    </row>
    <row r="1142" spans="8:8" s="16" ht="16.5" customFormat="1">
      <c r="A1142" s="97"/>
      <c r="B1142" s="42" t="s">
        <v>4110</v>
      </c>
      <c r="C1142" s="42" t="s">
        <v>4111</v>
      </c>
      <c r="D1142" s="42" t="s">
        <v>4112</v>
      </c>
      <c r="E1142" s="42" t="s">
        <v>4113</v>
      </c>
      <c r="F1142" s="42" t="s">
        <v>123</v>
      </c>
      <c r="G1142" s="97"/>
      <c r="H1142" s="104" t="s">
        <v>851</v>
      </c>
      <c r="I1142" s="101"/>
    </row>
    <row r="1143" spans="8:8" s="16" ht="19.35" customFormat="1" customHeight="1">
      <c r="A1143" s="97"/>
      <c r="B1143" s="42" t="s">
        <v>4114</v>
      </c>
      <c r="C1143" s="42" t="s">
        <v>9856</v>
      </c>
      <c r="D1143" s="42" t="s">
        <v>4119</v>
      </c>
      <c r="E1143" s="42" t="s">
        <v>9857</v>
      </c>
      <c r="F1143" s="42" t="s">
        <v>123</v>
      </c>
      <c r="G1143" s="97"/>
      <c r="H1143" s="104" t="s">
        <v>123</v>
      </c>
      <c r="I1143" s="101"/>
    </row>
    <row r="1144" spans="8:8" s="16" ht="21.0" customFormat="1" customHeight="1">
      <c r="A1144" s="97"/>
      <c r="B1144" s="42" t="s">
        <v>3811</v>
      </c>
      <c r="C1144" s="42" t="s">
        <v>4118</v>
      </c>
      <c r="D1144" s="42" t="s">
        <v>4119</v>
      </c>
      <c r="E1144" s="42" t="s">
        <v>3814</v>
      </c>
      <c r="F1144" s="42" t="s">
        <v>123</v>
      </c>
      <c r="G1144" s="97"/>
      <c r="H1144" s="104" t="s">
        <v>123</v>
      </c>
      <c r="I1144" s="101"/>
    </row>
    <row r="1145" spans="8:8" s="16" ht="33.0" customFormat="1">
      <c r="A1145" s="97"/>
      <c r="B1145" s="42" t="s">
        <v>4120</v>
      </c>
      <c r="C1145" s="42" t="s">
        <v>4121</v>
      </c>
      <c r="D1145" s="42" t="s">
        <v>4122</v>
      </c>
      <c r="E1145" s="42" t="s">
        <v>4123</v>
      </c>
      <c r="F1145" s="42" t="s">
        <v>123</v>
      </c>
      <c r="G1145" s="97"/>
      <c r="H1145" s="104" t="s">
        <v>43</v>
      </c>
      <c r="I1145" s="101"/>
    </row>
    <row r="1146" spans="8:8" s="16" ht="16.5" customFormat="1">
      <c r="A1146" s="97"/>
      <c r="B1146" s="42" t="s">
        <v>4124</v>
      </c>
      <c r="C1146" s="42" t="s">
        <v>4125</v>
      </c>
      <c r="D1146" s="42" t="s">
        <v>4126</v>
      </c>
      <c r="E1146" s="42" t="s">
        <v>4127</v>
      </c>
      <c r="F1146" s="42" t="s">
        <v>123</v>
      </c>
      <c r="G1146" s="97"/>
      <c r="H1146" s="104" t="s">
        <v>4128</v>
      </c>
      <c r="I1146" s="101"/>
    </row>
    <row r="1147" spans="8:8" s="16" ht="16.5" customFormat="1">
      <c r="A1147" s="97"/>
      <c r="B1147" s="42" t="s">
        <v>4129</v>
      </c>
      <c r="C1147" s="42" t="s">
        <v>4130</v>
      </c>
      <c r="D1147" s="42" t="s">
        <v>4130</v>
      </c>
      <c r="E1147" s="42" t="s">
        <v>4131</v>
      </c>
      <c r="F1147" s="42" t="s">
        <v>123</v>
      </c>
      <c r="G1147" s="97"/>
      <c r="H1147" s="104" t="s">
        <v>851</v>
      </c>
      <c r="I1147" s="101"/>
    </row>
    <row r="1148" spans="8:8" s="16" ht="16.5" customFormat="1">
      <c r="A1148" s="97"/>
      <c r="B1148" s="42" t="s">
        <v>4132</v>
      </c>
      <c r="C1148" s="42" t="s">
        <v>4133</v>
      </c>
      <c r="D1148" s="42" t="s">
        <v>4133</v>
      </c>
      <c r="E1148" s="42" t="s">
        <v>4134</v>
      </c>
      <c r="F1148" s="42" t="s">
        <v>123</v>
      </c>
      <c r="G1148" s="97"/>
      <c r="H1148" s="104" t="s">
        <v>123</v>
      </c>
      <c r="I1148" s="101"/>
    </row>
    <row r="1149" spans="8:8" s="16" ht="16.5" customFormat="1">
      <c r="A1149" s="97"/>
      <c r="B1149" s="42" t="s">
        <v>4135</v>
      </c>
      <c r="C1149" s="42" t="s">
        <v>4136</v>
      </c>
      <c r="D1149" s="42" t="s">
        <v>4137</v>
      </c>
      <c r="E1149" s="42" t="s">
        <v>4138</v>
      </c>
      <c r="F1149" s="42" t="s">
        <v>123</v>
      </c>
      <c r="G1149" s="97"/>
      <c r="H1149" s="104" t="s">
        <v>123</v>
      </c>
      <c r="I1149" s="101"/>
    </row>
    <row r="1150" spans="8:8" s="16" ht="16.5" customFormat="1">
      <c r="A1150" s="97"/>
      <c r="B1150" s="42" t="s">
        <v>4139</v>
      </c>
      <c r="C1150" s="42" t="s">
        <v>4140</v>
      </c>
      <c r="D1150" s="42" t="s">
        <v>4141</v>
      </c>
      <c r="E1150" s="42" t="s">
        <v>4142</v>
      </c>
      <c r="F1150" s="42" t="s">
        <v>123</v>
      </c>
      <c r="G1150" s="97"/>
      <c r="H1150" s="104" t="s">
        <v>43</v>
      </c>
      <c r="I1150" s="101"/>
    </row>
    <row r="1151" spans="8:8" s="16" ht="16.5" customFormat="1">
      <c r="A1151" s="97"/>
      <c r="B1151" s="42" t="s">
        <v>4143</v>
      </c>
      <c r="C1151" s="42" t="s">
        <v>4144</v>
      </c>
      <c r="D1151" s="42" t="s">
        <v>4144</v>
      </c>
      <c r="E1151" s="42" t="s">
        <v>4145</v>
      </c>
      <c r="F1151" s="42" t="s">
        <v>123</v>
      </c>
      <c r="G1151" s="97"/>
      <c r="H1151" s="104" t="s">
        <v>123</v>
      </c>
      <c r="I1151" s="101"/>
    </row>
    <row r="1152" spans="8:8" s="16" ht="18.7" customFormat="1" customHeight="1">
      <c r="A1152" s="97"/>
      <c r="B1152" s="102" t="s">
        <v>906</v>
      </c>
      <c r="C1152" s="102" t="s">
        <v>906</v>
      </c>
      <c r="D1152" s="101" t="s">
        <v>4146</v>
      </c>
      <c r="E1152" s="102" t="s">
        <v>906</v>
      </c>
      <c r="F1152" s="102" t="s">
        <v>906</v>
      </c>
      <c r="G1152" s="97"/>
      <c r="H1152" s="103"/>
      <c r="I1152" s="101"/>
    </row>
    <row r="1153" spans="8:8" s="16" ht="98.95" customFormat="1" customHeight="1">
      <c r="A1153" s="97"/>
      <c r="B1153" s="42" t="s">
        <v>4147</v>
      </c>
      <c r="C1153" s="42" t="s">
        <v>4148</v>
      </c>
      <c r="D1153" s="42" t="s">
        <v>9858</v>
      </c>
      <c r="E1153" s="42" t="s">
        <v>4150</v>
      </c>
      <c r="F1153" s="42" t="s">
        <v>4151</v>
      </c>
      <c r="G1153" s="97"/>
    </row>
    <row r="1154" spans="8:8" s="16" ht="115.25" customFormat="1" customHeight="1">
      <c r="A1154" s="97"/>
      <c r="B1154" s="42" t="s">
        <v>4152</v>
      </c>
      <c r="C1154" s="42" t="s">
        <v>4153</v>
      </c>
      <c r="D1154" s="42" t="s">
        <v>4154</v>
      </c>
      <c r="E1154" s="42" t="s">
        <v>4155</v>
      </c>
      <c r="F1154" s="42" t="s">
        <v>4151</v>
      </c>
      <c r="G1154" s="97"/>
    </row>
    <row r="1155" spans="8:8" s="16" ht="25.1" customFormat="1" customHeight="1">
      <c r="A1155" s="97"/>
      <c r="B1155" s="42" t="s">
        <v>4156</v>
      </c>
      <c r="C1155" s="42" t="s">
        <v>4157</v>
      </c>
      <c r="D1155" s="42" t="s">
        <v>4158</v>
      </c>
      <c r="E1155" s="42" t="s">
        <v>10175</v>
      </c>
      <c r="F1155" s="42" t="s">
        <v>2802</v>
      </c>
      <c r="G1155" s="97"/>
    </row>
    <row r="1156" spans="8:8" s="16" ht="22.2" customFormat="1">
      <c r="A1156" s="97"/>
      <c r="B1156" s="42" t="s">
        <v>4160</v>
      </c>
      <c r="C1156" s="42" t="s">
        <v>4161</v>
      </c>
      <c r="D1156" s="42" t="s">
        <v>4162</v>
      </c>
      <c r="E1156" s="42" t="s">
        <v>10173</v>
      </c>
      <c r="F1156" s="42" t="s">
        <v>2802</v>
      </c>
      <c r="G1156" s="97"/>
    </row>
    <row r="1157" spans="8:8" s="16" ht="33.0" customFormat="1">
      <c r="A1157" s="97"/>
      <c r="B1157" s="42" t="s">
        <v>4164</v>
      </c>
      <c r="C1157" s="42" t="s">
        <v>1091</v>
      </c>
      <c r="D1157" s="42" t="s">
        <v>4165</v>
      </c>
      <c r="E1157" s="42" t="s">
        <v>4166</v>
      </c>
      <c r="F1157" s="42" t="s">
        <v>2802</v>
      </c>
      <c r="G1157" s="97"/>
    </row>
    <row r="1158" spans="8:8" s="16" ht="16.5" customFormat="1">
      <c r="A1158" s="97"/>
      <c r="B1158" s="42" t="s">
        <v>4167</v>
      </c>
      <c r="C1158" s="42" t="s">
        <v>4168</v>
      </c>
      <c r="D1158" s="42" t="s">
        <v>4169</v>
      </c>
      <c r="E1158" s="42" t="s">
        <v>4170</v>
      </c>
      <c r="F1158" s="42" t="s">
        <v>2802</v>
      </c>
      <c r="G1158" s="97"/>
    </row>
    <row r="1159" spans="8:8" s="16" ht="33.0" customFormat="1">
      <c r="A1159" s="97"/>
      <c r="B1159" s="42" t="s">
        <v>4171</v>
      </c>
      <c r="C1159" s="42" t="s">
        <v>4172</v>
      </c>
      <c r="D1159" s="42" t="s">
        <v>4173</v>
      </c>
      <c r="E1159" s="42" t="s">
        <v>4174</v>
      </c>
      <c r="F1159" s="42" t="s">
        <v>2802</v>
      </c>
      <c r="G1159" s="97"/>
    </row>
    <row r="1160" spans="8:8" s="16" ht="33.0" customFormat="1">
      <c r="A1160" s="97"/>
      <c r="B1160" s="42" t="s">
        <v>4175</v>
      </c>
      <c r="C1160" s="42" t="s">
        <v>4176</v>
      </c>
      <c r="D1160" s="42" t="s">
        <v>4177</v>
      </c>
      <c r="E1160" s="42" t="s">
        <v>4178</v>
      </c>
      <c r="F1160" s="42" t="s">
        <v>2802</v>
      </c>
      <c r="G1160" s="97"/>
    </row>
    <row r="1161" spans="8:8" s="16" ht="33.0" customFormat="1">
      <c r="A1161" s="97"/>
      <c r="B1161" s="42" t="s">
        <v>4179</v>
      </c>
      <c r="C1161" s="42" t="s">
        <v>4180</v>
      </c>
      <c r="D1161" s="42" t="s">
        <v>4181</v>
      </c>
      <c r="E1161" s="42" t="s">
        <v>4182</v>
      </c>
      <c r="F1161" s="42" t="s">
        <v>2802</v>
      </c>
      <c r="G1161" s="97"/>
    </row>
    <row r="1162" spans="8:8" s="16" ht="16.5" customFormat="1">
      <c r="A1162" s="97"/>
      <c r="B1162" s="42" t="s">
        <v>4183</v>
      </c>
      <c r="C1162" s="42" t="s">
        <v>4184</v>
      </c>
      <c r="D1162" s="42" t="s">
        <v>4185</v>
      </c>
      <c r="E1162" s="42" t="s">
        <v>4186</v>
      </c>
      <c r="F1162" s="42" t="s">
        <v>2802</v>
      </c>
      <c r="G1162" s="97"/>
    </row>
    <row r="1163" spans="8:8" s="16" ht="16.5" customFormat="1">
      <c r="A1163" s="97"/>
      <c r="B1163" s="42" t="s">
        <v>4187</v>
      </c>
      <c r="C1163" s="42" t="s">
        <v>4188</v>
      </c>
      <c r="D1163" s="42" t="s">
        <v>4189</v>
      </c>
      <c r="E1163" s="42" t="s">
        <v>4190</v>
      </c>
      <c r="F1163" s="42" t="s">
        <v>2802</v>
      </c>
      <c r="G1163" s="97"/>
    </row>
    <row r="1164" spans="8:8" s="16" ht="33.0" customFormat="1">
      <c r="A1164" s="97"/>
      <c r="B1164" s="42" t="s">
        <v>4191</v>
      </c>
      <c r="C1164" s="42" t="s">
        <v>4192</v>
      </c>
      <c r="D1164" s="42" t="s">
        <v>4193</v>
      </c>
      <c r="E1164" s="42" t="s">
        <v>4194</v>
      </c>
      <c r="F1164" s="42" t="s">
        <v>2802</v>
      </c>
      <c r="G1164" s="97"/>
    </row>
    <row r="1165" spans="8:8" s="16" ht="16.5" customFormat="1">
      <c r="A1165" s="97"/>
      <c r="B1165" s="42" t="s">
        <v>4195</v>
      </c>
      <c r="C1165" s="42" t="s">
        <v>4196</v>
      </c>
      <c r="D1165" s="42" t="s">
        <v>4197</v>
      </c>
      <c r="E1165" s="42" t="s">
        <v>4198</v>
      </c>
      <c r="F1165" s="42" t="s">
        <v>4199</v>
      </c>
      <c r="G1165" s="97"/>
    </row>
    <row r="1166" spans="8:8" s="16" ht="16.5" customFormat="1">
      <c r="A1166" s="97"/>
      <c r="B1166" s="42" t="s">
        <v>4200</v>
      </c>
      <c r="C1166" s="42" t="s">
        <v>4201</v>
      </c>
      <c r="D1166" s="42" t="s">
        <v>4202</v>
      </c>
      <c r="E1166" s="42" t="s">
        <v>4203</v>
      </c>
      <c r="F1166" s="42" t="s">
        <v>4199</v>
      </c>
      <c r="G1166" s="97"/>
    </row>
    <row r="1167" spans="8:8" s="16" ht="16.5" customFormat="1">
      <c r="A1167" s="97"/>
      <c r="B1167" s="102" t="s">
        <v>906</v>
      </c>
      <c r="C1167" s="102" t="s">
        <v>906</v>
      </c>
      <c r="D1167" s="101" t="s">
        <v>4204</v>
      </c>
      <c r="E1167" s="102" t="s">
        <v>906</v>
      </c>
      <c r="F1167" s="103" t="s">
        <v>906</v>
      </c>
      <c r="G1167" s="101"/>
    </row>
    <row r="1168" spans="8:8" s="16" ht="16.5" customFormat="1">
      <c r="A1168" s="97"/>
      <c r="B1168" s="42" t="s">
        <v>4205</v>
      </c>
      <c r="C1168" s="42" t="s">
        <v>4206</v>
      </c>
      <c r="D1168" s="42" t="s">
        <v>4207</v>
      </c>
      <c r="E1168" s="42" t="s">
        <v>4208</v>
      </c>
      <c r="F1168" s="104" t="s">
        <v>4209</v>
      </c>
      <c r="G1168" s="101"/>
    </row>
    <row r="1169" spans="8:8" s="16" ht="16.5" customFormat="1">
      <c r="A1169" s="97"/>
      <c r="B1169" s="42" t="s">
        <v>4210</v>
      </c>
      <c r="C1169" s="42" t="s">
        <v>4211</v>
      </c>
      <c r="D1169" s="42" t="s">
        <v>4212</v>
      </c>
      <c r="E1169" s="42" t="s">
        <v>4213</v>
      </c>
      <c r="F1169" s="104" t="s">
        <v>4209</v>
      </c>
      <c r="G1169" s="101"/>
    </row>
    <row r="1170" spans="8:8" s="16" ht="36.45" customFormat="1" customHeight="1">
      <c r="A1170" s="97"/>
      <c r="B1170" s="42" t="s">
        <v>4214</v>
      </c>
      <c r="C1170" s="42" t="s">
        <v>4215</v>
      </c>
      <c r="D1170" s="42" t="s">
        <v>4216</v>
      </c>
      <c r="E1170" s="42" t="s">
        <v>4217</v>
      </c>
      <c r="F1170" s="104" t="s">
        <v>4209</v>
      </c>
      <c r="G1170" s="101"/>
    </row>
    <row r="1171" spans="8:8" s="16" ht="36.05" customFormat="1" customHeight="1">
      <c r="A1171" s="97"/>
      <c r="B1171" s="42"/>
      <c r="C1171" s="42" t="s">
        <v>4219</v>
      </c>
      <c r="D1171" s="42" t="s">
        <v>4220</v>
      </c>
      <c r="E1171" s="42" t="s">
        <v>4221</v>
      </c>
      <c r="F1171" s="104" t="s">
        <v>4209</v>
      </c>
      <c r="G1171" s="101"/>
    </row>
    <row r="1172" spans="8:8" s="16" ht="16.5" customFormat="1">
      <c r="A1172" s="97"/>
      <c r="B1172" s="102" t="s">
        <v>906</v>
      </c>
      <c r="C1172" s="102" t="s">
        <v>906</v>
      </c>
      <c r="D1172" s="101" t="s">
        <v>4222</v>
      </c>
      <c r="E1172" s="102" t="s">
        <v>906</v>
      </c>
      <c r="F1172" s="103" t="s">
        <v>906</v>
      </c>
      <c r="G1172" s="101"/>
    </row>
    <row r="1173" spans="8:8" s="16" ht="33.0" customFormat="1">
      <c r="A1173" s="97"/>
      <c r="B1173" s="42" t="s">
        <v>4223</v>
      </c>
      <c r="C1173" s="42" t="s">
        <v>4224</v>
      </c>
      <c r="D1173" s="42" t="s">
        <v>4225</v>
      </c>
      <c r="E1173" s="42" t="s">
        <v>4226</v>
      </c>
      <c r="F1173" s="104" t="s">
        <v>851</v>
      </c>
      <c r="G1173" s="101"/>
    </row>
    <row r="1174" spans="8:8" s="16" ht="49.5" customFormat="1">
      <c r="A1174" s="97"/>
      <c r="B1174" s="42" t="s">
        <v>4227</v>
      </c>
      <c r="C1174" s="42" t="s">
        <v>4228</v>
      </c>
      <c r="D1174" s="42" t="s">
        <v>4229</v>
      </c>
      <c r="E1174" s="42" t="s">
        <v>4230</v>
      </c>
      <c r="F1174" s="104" t="s">
        <v>851</v>
      </c>
      <c r="G1174" s="101"/>
    </row>
    <row r="1175" spans="8:8" s="16" ht="16.15" customFormat="1">
      <c r="A1175" s="97"/>
      <c r="B1175" s="42" t="s">
        <v>4231</v>
      </c>
      <c r="C1175" s="42" t="s">
        <v>4232</v>
      </c>
      <c r="D1175" s="42" t="s">
        <v>4233</v>
      </c>
      <c r="E1175" s="42" t="s">
        <v>4234</v>
      </c>
      <c r="F1175" s="104" t="s">
        <v>851</v>
      </c>
      <c r="G1175" s="101"/>
    </row>
    <row r="1176" spans="8:8" s="16" ht="16.15" customFormat="1">
      <c r="A1176" s="97"/>
      <c r="B1176" s="42" t="s">
        <v>4235</v>
      </c>
      <c r="C1176" s="42" t="s">
        <v>4236</v>
      </c>
      <c r="D1176" s="42" t="s">
        <v>4237</v>
      </c>
      <c r="E1176" s="42" t="s">
        <v>4238</v>
      </c>
      <c r="F1176" s="104" t="s">
        <v>851</v>
      </c>
      <c r="G1176" s="101"/>
    </row>
    <row r="1177" spans="8:8" s="16" ht="16.15" customFormat="1">
      <c r="A1177" s="97"/>
      <c r="B1177" s="42" t="s">
        <v>4239</v>
      </c>
      <c r="C1177" s="42" t="s">
        <v>4240</v>
      </c>
      <c r="D1177" s="42" t="s">
        <v>4241</v>
      </c>
      <c r="E1177" s="42" t="s">
        <v>4242</v>
      </c>
      <c r="F1177" s="104" t="s">
        <v>123</v>
      </c>
      <c r="G1177" s="101"/>
    </row>
    <row r="1178" spans="8:8" s="16" ht="30.95" customFormat="1" customHeight="1">
      <c r="A1178" s="97"/>
      <c r="B1178" s="98" t="s">
        <v>9899</v>
      </c>
      <c r="C1178" s="98" t="s">
        <v>4244</v>
      </c>
      <c r="D1178" s="98" t="s">
        <v>9889</v>
      </c>
      <c r="E1178" s="98" t="s">
        <v>9896</v>
      </c>
      <c r="F1178" s="105" t="s">
        <v>851</v>
      </c>
      <c r="G1178" s="101"/>
    </row>
    <row r="1179" spans="8:8" s="16" ht="16.15" customFormat="1">
      <c r="A1179" s="97"/>
      <c r="B1179" s="42" t="s">
        <v>4247</v>
      </c>
      <c r="C1179" s="42" t="s">
        <v>4248</v>
      </c>
      <c r="D1179" s="42" t="s">
        <v>4249</v>
      </c>
      <c r="E1179" s="42" t="s">
        <v>4250</v>
      </c>
      <c r="F1179" s="104" t="s">
        <v>4251</v>
      </c>
      <c r="G1179" s="101"/>
    </row>
    <row r="1180" spans="8:8" s="16" ht="16.15" customFormat="1">
      <c r="A1180" s="97"/>
      <c r="B1180" s="42" t="s">
        <v>4252</v>
      </c>
      <c r="C1180" s="42" t="s">
        <v>4253</v>
      </c>
      <c r="D1180" s="42" t="s">
        <v>4254</v>
      </c>
      <c r="E1180" s="42" t="s">
        <v>4255</v>
      </c>
      <c r="F1180" s="104" t="s">
        <v>4105</v>
      </c>
      <c r="G1180" s="101"/>
    </row>
    <row r="1181" spans="8:8" s="16" ht="16.15" customFormat="1">
      <c r="A1181" s="97"/>
      <c r="B1181" s="42" t="s">
        <v>4256</v>
      </c>
      <c r="C1181" s="42" t="s">
        <v>4257</v>
      </c>
      <c r="D1181" s="42" t="s">
        <v>4258</v>
      </c>
      <c r="E1181" s="42" t="s">
        <v>4259</v>
      </c>
      <c r="F1181" s="104" t="s">
        <v>4260</v>
      </c>
      <c r="G1181" s="101"/>
    </row>
    <row r="1182" spans="8:8" s="16" ht="16.15" customFormat="1">
      <c r="A1182" s="97"/>
      <c r="B1182" s="42" t="s">
        <v>4261</v>
      </c>
      <c r="C1182" s="42" t="s">
        <v>4262</v>
      </c>
      <c r="D1182" s="42" t="s">
        <v>4263</v>
      </c>
      <c r="E1182" s="42" t="s">
        <v>4264</v>
      </c>
      <c r="F1182" s="104" t="s">
        <v>869</v>
      </c>
      <c r="G1182" s="101"/>
    </row>
    <row r="1183" spans="8:8" s="16" ht="33.0" customFormat="1">
      <c r="A1183" s="97"/>
      <c r="B1183" s="42" t="s">
        <v>4265</v>
      </c>
      <c r="C1183" s="42" t="s">
        <v>4266</v>
      </c>
      <c r="D1183" s="42" t="s">
        <v>4267</v>
      </c>
      <c r="E1183" s="42" t="s">
        <v>4268</v>
      </c>
      <c r="F1183" s="104" t="s">
        <v>869</v>
      </c>
      <c r="G1183" s="101"/>
    </row>
    <row r="1184" spans="8:8" s="16" ht="16.15" customFormat="1">
      <c r="A1184" s="97"/>
      <c r="B1184" s="42" t="s">
        <v>4269</v>
      </c>
      <c r="C1184" s="42" t="s">
        <v>4270</v>
      </c>
      <c r="D1184" s="42" t="s">
        <v>4271</v>
      </c>
      <c r="E1184" s="42" t="s">
        <v>4272</v>
      </c>
      <c r="F1184" s="104" t="s">
        <v>43</v>
      </c>
      <c r="G1184" s="101"/>
    </row>
    <row r="1185" spans="8:8" s="16" ht="16.15" customFormat="1">
      <c r="A1185" s="97"/>
      <c r="B1185" s="42" t="s">
        <v>4273</v>
      </c>
      <c r="C1185" s="42" t="s">
        <v>4274</v>
      </c>
      <c r="D1185" s="42" t="s">
        <v>4275</v>
      </c>
      <c r="E1185" s="42" t="s">
        <v>4276</v>
      </c>
      <c r="F1185" s="104" t="s">
        <v>851</v>
      </c>
      <c r="G1185" s="101"/>
    </row>
    <row r="1186" spans="8:8" s="16" ht="17.15" customFormat="1" customHeight="1">
      <c r="A1186" s="97"/>
      <c r="B1186" s="99" t="s">
        <v>9911</v>
      </c>
      <c r="C1186" s="99" t="s">
        <v>4274</v>
      </c>
      <c r="D1186" s="99" t="s">
        <v>9912</v>
      </c>
      <c r="E1186" s="99" t="s">
        <v>9931</v>
      </c>
      <c r="F1186" s="106" t="s">
        <v>851</v>
      </c>
      <c r="G1186" s="101"/>
    </row>
    <row r="1187" spans="8:8" s="16" ht="16.15" customFormat="1">
      <c r="A1187" s="97"/>
      <c r="B1187" s="42" t="s">
        <v>4277</v>
      </c>
      <c r="C1187" s="42" t="s">
        <v>4278</v>
      </c>
      <c r="D1187" s="42" t="s">
        <v>4279</v>
      </c>
      <c r="E1187" s="42" t="s">
        <v>4280</v>
      </c>
      <c r="F1187" s="104" t="s">
        <v>851</v>
      </c>
      <c r="G1187" s="101"/>
    </row>
    <row r="1188" spans="8:8" s="16" ht="16.15" customFormat="1">
      <c r="A1188" s="97"/>
      <c r="B1188" s="42" t="s">
        <v>4281</v>
      </c>
      <c r="C1188" s="42" t="s">
        <v>4282</v>
      </c>
      <c r="D1188" s="42" t="s">
        <v>4283</v>
      </c>
      <c r="E1188" s="42" t="s">
        <v>4284</v>
      </c>
      <c r="F1188" s="104" t="s">
        <v>851</v>
      </c>
      <c r="G1188" s="101"/>
    </row>
    <row r="1189" spans="8:8" s="16" ht="30.1" customFormat="1" customHeight="1">
      <c r="A1189" s="97"/>
      <c r="B1189" s="98" t="s">
        <v>4285</v>
      </c>
      <c r="C1189" s="98" t="s">
        <v>4286</v>
      </c>
      <c r="D1189" s="98" t="s">
        <v>9890</v>
      </c>
      <c r="E1189" s="98" t="s">
        <v>9897</v>
      </c>
      <c r="F1189" s="105" t="s">
        <v>851</v>
      </c>
      <c r="G1189" s="101"/>
    </row>
    <row r="1190" spans="8:8" s="16" ht="29.65" customFormat="1" customHeight="1">
      <c r="A1190" s="97"/>
      <c r="B1190" s="98" t="s">
        <v>4289</v>
      </c>
      <c r="C1190" s="98" t="s">
        <v>4290</v>
      </c>
      <c r="D1190" s="98" t="s">
        <v>9891</v>
      </c>
      <c r="E1190" s="98" t="s">
        <v>9898</v>
      </c>
      <c r="F1190" s="105" t="s">
        <v>851</v>
      </c>
      <c r="G1190" s="101"/>
    </row>
    <row r="1191" spans="8:8" s="16" ht="21.5" customFormat="1" customHeight="1">
      <c r="A1191" s="97"/>
      <c r="B1191" s="42" t="s">
        <v>4293</v>
      </c>
      <c r="C1191" s="42" t="s">
        <v>4294</v>
      </c>
      <c r="D1191" s="42" t="s">
        <v>4295</v>
      </c>
      <c r="E1191" s="42" t="s">
        <v>4296</v>
      </c>
      <c r="F1191" s="104" t="s">
        <v>43</v>
      </c>
      <c r="G1191" s="101"/>
    </row>
    <row r="1192" spans="8:8" s="16" ht="16.15" customFormat="1">
      <c r="A1192" s="97"/>
      <c r="B1192" s="42" t="s">
        <v>4297</v>
      </c>
      <c r="C1192" s="42" t="s">
        <v>4298</v>
      </c>
      <c r="D1192" s="42" t="s">
        <v>4299</v>
      </c>
      <c r="E1192" s="42" t="s">
        <v>4300</v>
      </c>
      <c r="F1192" s="104" t="s">
        <v>869</v>
      </c>
      <c r="G1192" s="101"/>
    </row>
    <row r="1193" spans="8:8" s="16" ht="16.15" customFormat="1">
      <c r="A1193" s="97"/>
      <c r="B1193" s="42" t="s">
        <v>4301</v>
      </c>
      <c r="C1193" s="42" t="s">
        <v>4302</v>
      </c>
      <c r="D1193" s="42" t="s">
        <v>4303</v>
      </c>
      <c r="E1193" s="42" t="s">
        <v>4304</v>
      </c>
      <c r="F1193" s="104" t="s">
        <v>869</v>
      </c>
      <c r="G1193" s="101"/>
    </row>
    <row r="1194" spans="8:8" s="16" ht="16.15" customFormat="1">
      <c r="A1194" s="97"/>
      <c r="B1194" s="42" t="s">
        <v>4305</v>
      </c>
      <c r="C1194" s="42" t="s">
        <v>4306</v>
      </c>
      <c r="D1194" s="42" t="s">
        <v>4307</v>
      </c>
      <c r="E1194" s="42" t="s">
        <v>4308</v>
      </c>
      <c r="F1194" s="104" t="s">
        <v>851</v>
      </c>
      <c r="G1194" s="101"/>
    </row>
    <row r="1195" spans="8:8" s="16" ht="16.15" customFormat="1">
      <c r="A1195" s="97"/>
      <c r="B1195" s="42" t="s">
        <v>4309</v>
      </c>
      <c r="C1195" s="42" t="s">
        <v>4310</v>
      </c>
      <c r="D1195" s="42" t="s">
        <v>4311</v>
      </c>
      <c r="E1195" s="42" t="s">
        <v>4312</v>
      </c>
      <c r="F1195" s="104" t="s">
        <v>851</v>
      </c>
      <c r="G1195" s="101"/>
    </row>
    <row r="1196" spans="8:8" s="16" ht="16.15" customFormat="1">
      <c r="A1196" s="97"/>
      <c r="B1196" s="42" t="s">
        <v>4313</v>
      </c>
      <c r="C1196" s="42" t="s">
        <v>4314</v>
      </c>
      <c r="D1196" s="42" t="s">
        <v>4315</v>
      </c>
      <c r="E1196" s="42" t="s">
        <v>4316</v>
      </c>
      <c r="F1196" s="104" t="b">
        <v>1</v>
      </c>
      <c r="G1196" s="101"/>
    </row>
    <row r="1197" spans="8:8" s="16" ht="16.15" customFormat="1">
      <c r="A1197" s="97"/>
      <c r="B1197" s="42" t="s">
        <v>4317</v>
      </c>
      <c r="C1197" s="42" t="s">
        <v>4318</v>
      </c>
      <c r="D1197" s="42" t="s">
        <v>4319</v>
      </c>
      <c r="E1197" s="42" t="s">
        <v>4320</v>
      </c>
      <c r="F1197" s="104" t="b">
        <v>0</v>
      </c>
      <c r="G1197" s="101"/>
    </row>
    <row r="1198" spans="8:8" s="16" ht="16.15" customFormat="1">
      <c r="A1198" s="97"/>
      <c r="B1198" s="42" t="s">
        <v>4321</v>
      </c>
      <c r="C1198" s="42" t="s">
        <v>4322</v>
      </c>
      <c r="D1198" s="42" t="s">
        <v>4323</v>
      </c>
      <c r="E1198" s="42" t="s">
        <v>4324</v>
      </c>
      <c r="F1198" s="104" t="s">
        <v>4325</v>
      </c>
      <c r="G1198" s="101"/>
    </row>
    <row r="1199" spans="8:8" s="16" ht="16.15" customFormat="1">
      <c r="A1199" s="97"/>
      <c r="B1199" s="42"/>
      <c r="C1199" s="42"/>
      <c r="D1199" s="42"/>
      <c r="E1199" s="42"/>
      <c r="F1199" s="104"/>
      <c r="G1199" s="101"/>
    </row>
    <row r="1200" spans="8:8" s="9" ht="29.25" customFormat="1">
      <c r="A1200" s="107"/>
      <c r="B1200" s="108" t="s">
        <v>4326</v>
      </c>
      <c r="C1200" s="108" t="s">
        <v>812</v>
      </c>
      <c r="D1200" s="108" t="s">
        <v>4327</v>
      </c>
      <c r="E1200" s="108" t="s">
        <v>4328</v>
      </c>
      <c r="F1200" s="109"/>
      <c r="G1200" s="108"/>
    </row>
    <row r="1201" spans="8:8" s="9" ht="29.25" customFormat="1">
      <c r="A1201" s="107"/>
      <c r="B1201" s="108" t="s">
        <v>814</v>
      </c>
      <c r="C1201" s="108" t="s">
        <v>815</v>
      </c>
      <c r="D1201" s="108" t="s">
        <v>816</v>
      </c>
      <c r="E1201" s="108" t="s">
        <v>817</v>
      </c>
      <c r="F1201" s="108" t="s">
        <v>818</v>
      </c>
      <c r="G1201" s="107"/>
      <c r="H1201" s="14"/>
      <c r="I1201" s="15"/>
    </row>
    <row r="1202" spans="8:8" s="16" ht="16.5" customFormat="1">
      <c r="A1202" s="110"/>
      <c r="B1202" s="24" t="s">
        <v>4329</v>
      </c>
      <c r="C1202" s="24" t="s">
        <v>4330</v>
      </c>
      <c r="D1202" s="24" t="s">
        <v>4331</v>
      </c>
      <c r="E1202" s="24" t="s">
        <v>4332</v>
      </c>
      <c r="F1202" s="24" t="s">
        <v>19</v>
      </c>
      <c r="G1202" s="110"/>
    </row>
    <row r="1203" spans="8:8" s="16" ht="16.5" customFormat="1">
      <c r="A1203" s="110"/>
      <c r="B1203" s="24" t="s">
        <v>4333</v>
      </c>
      <c r="C1203" s="24" t="s">
        <v>4334</v>
      </c>
      <c r="D1203" s="24" t="s">
        <v>4335</v>
      </c>
      <c r="E1203" s="24" t="s">
        <v>4336</v>
      </c>
      <c r="F1203" s="24" t="s">
        <v>4337</v>
      </c>
      <c r="G1203" s="110"/>
    </row>
    <row r="1204" spans="8:8" s="16" ht="16.5" customFormat="1">
      <c r="A1204" s="110"/>
      <c r="B1204" s="24" t="s">
        <v>4338</v>
      </c>
      <c r="C1204" s="24" t="s">
        <v>4339</v>
      </c>
      <c r="D1204" s="24" t="s">
        <v>4340</v>
      </c>
      <c r="E1204" s="24" t="s">
        <v>4341</v>
      </c>
      <c r="F1204" s="24" t="s">
        <v>4342</v>
      </c>
      <c r="G1204" s="110"/>
    </row>
    <row r="1205" spans="8:8" s="16" ht="16.5" customFormat="1">
      <c r="A1205" s="110"/>
      <c r="B1205" s="24" t="s">
        <v>4343</v>
      </c>
      <c r="C1205" s="24" t="s">
        <v>4344</v>
      </c>
      <c r="D1205" s="24" t="s">
        <v>4345</v>
      </c>
      <c r="E1205" s="24" t="s">
        <v>4346</v>
      </c>
      <c r="F1205" s="24" t="s">
        <v>33</v>
      </c>
      <c r="G1205" s="110"/>
    </row>
    <row r="1206" spans="8:8" s="16" ht="16.5" customFormat="1">
      <c r="A1206" s="110"/>
      <c r="B1206" s="24" t="s">
        <v>4347</v>
      </c>
      <c r="C1206" s="24" t="s">
        <v>4344</v>
      </c>
      <c r="D1206" s="24" t="s">
        <v>4345</v>
      </c>
      <c r="E1206" s="24" t="s">
        <v>4348</v>
      </c>
      <c r="F1206" s="24" t="s">
        <v>33</v>
      </c>
      <c r="G1206" s="110"/>
    </row>
    <row r="1207" spans="8:8" s="16" ht="16.5" customFormat="1">
      <c r="A1207" s="110"/>
      <c r="B1207" s="24" t="s">
        <v>4349</v>
      </c>
      <c r="C1207" s="24" t="s">
        <v>4350</v>
      </c>
      <c r="D1207" s="24" t="s">
        <v>4350</v>
      </c>
      <c r="E1207" s="24" t="s">
        <v>4351</v>
      </c>
      <c r="F1207" s="24" t="s">
        <v>33</v>
      </c>
      <c r="G1207" s="110"/>
    </row>
    <row r="1208" spans="8:8" s="16" ht="16.5" customFormat="1">
      <c r="A1208" s="110"/>
      <c r="B1208" s="24" t="s">
        <v>4352</v>
      </c>
      <c r="C1208" s="24" t="s">
        <v>4353</v>
      </c>
      <c r="D1208" s="24" t="s">
        <v>4354</v>
      </c>
      <c r="E1208" s="24" t="s">
        <v>4355</v>
      </c>
      <c r="F1208" s="24" t="s">
        <v>61</v>
      </c>
      <c r="G1208" s="110"/>
    </row>
    <row r="1209" spans="8:8" s="16" ht="16.5" customFormat="1">
      <c r="A1209" s="110"/>
      <c r="B1209" s="24" t="s">
        <v>4356</v>
      </c>
      <c r="C1209" s="24" t="s">
        <v>4357</v>
      </c>
      <c r="D1209" s="24" t="s">
        <v>4357</v>
      </c>
      <c r="E1209" s="24" t="s">
        <v>4358</v>
      </c>
      <c r="F1209" s="24" t="s">
        <v>61</v>
      </c>
      <c r="G1209" s="110"/>
    </row>
    <row r="1210" spans="8:8" s="16" ht="16.5" customFormat="1">
      <c r="A1210" s="110"/>
      <c r="B1210" s="24" t="s">
        <v>4359</v>
      </c>
      <c r="C1210" s="24" t="s">
        <v>4360</v>
      </c>
      <c r="D1210" s="24" t="s">
        <v>4361</v>
      </c>
      <c r="E1210" s="24" t="s">
        <v>4362</v>
      </c>
      <c r="F1210" s="35" t="s">
        <v>43</v>
      </c>
      <c r="G1210" s="110"/>
    </row>
    <row r="1211" spans="8:8" s="16" ht="16.5" customFormat="1">
      <c r="A1211" s="110"/>
      <c r="B1211" s="24" t="s">
        <v>4363</v>
      </c>
      <c r="C1211" s="24" t="s">
        <v>4364</v>
      </c>
      <c r="D1211" s="24" t="s">
        <v>4365</v>
      </c>
      <c r="E1211" s="24" t="s">
        <v>4366</v>
      </c>
      <c r="F1211" s="35" t="s">
        <v>43</v>
      </c>
      <c r="G1211" s="110"/>
    </row>
    <row r="1212" spans="8:8" s="16" ht="14.4" customFormat="1">
      <c r="A1212" s="110"/>
      <c r="B1212" s="24" t="s">
        <v>4367</v>
      </c>
      <c r="C1212" s="35" t="s">
        <v>10220</v>
      </c>
      <c r="D1212" s="35" t="s">
        <v>10221</v>
      </c>
      <c r="E1212" s="24" t="s">
        <v>4370</v>
      </c>
      <c r="F1212" s="24" t="s">
        <v>61</v>
      </c>
      <c r="G1212" s="110"/>
    </row>
    <row r="1213" spans="8:8" s="16" ht="16.5" customFormat="1">
      <c r="A1213" s="110"/>
      <c r="B1213" s="24" t="s">
        <v>4371</v>
      </c>
      <c r="C1213" s="24" t="s">
        <v>4372</v>
      </c>
      <c r="D1213" s="24" t="s">
        <v>4373</v>
      </c>
      <c r="E1213" s="24" t="s">
        <v>4374</v>
      </c>
      <c r="F1213" s="24" t="s">
        <v>170</v>
      </c>
      <c r="G1213" s="110"/>
    </row>
    <row r="1214" spans="8:8" s="16" ht="16.5" customFormat="1">
      <c r="A1214" s="110"/>
      <c r="B1214" s="24" t="s">
        <v>4375</v>
      </c>
      <c r="C1214" s="24" t="s">
        <v>4376</v>
      </c>
      <c r="D1214" s="24" t="s">
        <v>4377</v>
      </c>
      <c r="E1214" s="24" t="s">
        <v>4378</v>
      </c>
      <c r="F1214" s="24" t="s">
        <v>170</v>
      </c>
      <c r="G1214" s="110"/>
    </row>
    <row r="1215" spans="8:8" s="16" ht="16.5" customFormat="1">
      <c r="A1215" s="110"/>
      <c r="B1215" s="24" t="s">
        <v>4379</v>
      </c>
      <c r="C1215" s="24" t="s">
        <v>4380</v>
      </c>
      <c r="D1215" s="24" t="s">
        <v>4381</v>
      </c>
      <c r="E1215" s="24" t="s">
        <v>4382</v>
      </c>
      <c r="F1215" s="24" t="s">
        <v>61</v>
      </c>
      <c r="G1215" s="110"/>
    </row>
    <row r="1216" spans="8:8" s="16" ht="16.5" customFormat="1">
      <c r="A1216" s="110"/>
      <c r="B1216" s="24" t="s">
        <v>4383</v>
      </c>
      <c r="C1216" s="24" t="s">
        <v>4384</v>
      </c>
      <c r="D1216" s="24" t="s">
        <v>4385</v>
      </c>
      <c r="E1216" s="24" t="s">
        <v>4386</v>
      </c>
      <c r="F1216" s="24" t="s">
        <v>61</v>
      </c>
      <c r="G1216" s="110"/>
    </row>
    <row r="1217" spans="8:8" s="16" ht="16.5" customFormat="1">
      <c r="A1217" s="110"/>
      <c r="B1217" s="42"/>
      <c r="C1217" s="42"/>
      <c r="D1217" s="42"/>
      <c r="E1217" s="42"/>
      <c r="F1217" s="42"/>
      <c r="G1217" s="110"/>
      <c r="H1217" s="21"/>
      <c r="I1217" s="22"/>
    </row>
    <row r="1218" spans="8:8" s="9" ht="29.25" customFormat="1">
      <c r="A1218" s="111"/>
      <c r="B1218" s="112" t="s">
        <v>4387</v>
      </c>
      <c r="C1218" s="112" t="s">
        <v>4388</v>
      </c>
      <c r="D1218" s="112" t="s">
        <v>4389</v>
      </c>
      <c r="E1218" s="112"/>
      <c r="F1218" s="112"/>
      <c r="G1218" s="111"/>
      <c r="H1218" s="14"/>
      <c r="I1218" s="15"/>
    </row>
    <row r="1219" spans="8:8" s="9" ht="29.25" customFormat="1">
      <c r="A1219" s="111"/>
      <c r="B1219" s="112" t="s">
        <v>814</v>
      </c>
      <c r="C1219" s="112" t="s">
        <v>815</v>
      </c>
      <c r="D1219" s="112" t="s">
        <v>4390</v>
      </c>
      <c r="E1219" s="112" t="s">
        <v>817</v>
      </c>
      <c r="F1219" s="112" t="s">
        <v>818</v>
      </c>
      <c r="G1219" s="111"/>
      <c r="H1219" s="14"/>
      <c r="I1219" s="15"/>
    </row>
    <row r="1220" spans="8:8" s="16" ht="16.5" customFormat="1">
      <c r="A1220" s="113"/>
      <c r="B1220" s="42" t="s">
        <v>4391</v>
      </c>
      <c r="C1220" s="42" t="s">
        <v>4392</v>
      </c>
      <c r="D1220" s="42" t="s">
        <v>4393</v>
      </c>
      <c r="E1220" s="42" t="s">
        <v>4391</v>
      </c>
      <c r="F1220" s="42" t="s">
        <v>4388</v>
      </c>
      <c r="G1220" s="113"/>
      <c r="H1220" s="21"/>
      <c r="I1220" s="22"/>
    </row>
    <row r="1221" spans="8:8" s="16" ht="16.5" customFormat="1">
      <c r="A1221" s="113"/>
      <c r="B1221" s="42" t="s">
        <v>4394</v>
      </c>
      <c r="C1221" s="42" t="s">
        <v>4395</v>
      </c>
      <c r="D1221" s="42" t="s">
        <v>4396</v>
      </c>
      <c r="E1221" s="42" t="s">
        <v>4394</v>
      </c>
      <c r="F1221" s="42" t="s">
        <v>4388</v>
      </c>
      <c r="G1221" s="113"/>
      <c r="H1221" s="21"/>
      <c r="I1221" s="22"/>
    </row>
    <row r="1222" spans="8:8" s="16" ht="16.5" customFormat="1">
      <c r="A1222" s="113"/>
      <c r="B1222" s="42" t="s">
        <v>4397</v>
      </c>
      <c r="C1222" s="42" t="s">
        <v>4398</v>
      </c>
      <c r="D1222" s="42" t="s">
        <v>4399</v>
      </c>
      <c r="E1222" s="42" t="s">
        <v>4397</v>
      </c>
      <c r="F1222" s="42" t="s">
        <v>4388</v>
      </c>
      <c r="G1222" s="113"/>
      <c r="H1222" s="21"/>
      <c r="I1222" s="22"/>
    </row>
    <row r="1223" spans="8:8" s="16" ht="16.5" customFormat="1">
      <c r="A1223" s="113"/>
      <c r="B1223" s="42" t="s">
        <v>4400</v>
      </c>
      <c r="C1223" s="42" t="s">
        <v>4401</v>
      </c>
      <c r="D1223" s="42" t="s">
        <v>4402</v>
      </c>
      <c r="E1223" s="42" t="s">
        <v>4403</v>
      </c>
      <c r="F1223" s="42" t="s">
        <v>4388</v>
      </c>
      <c r="G1223" s="113"/>
      <c r="H1223" s="21"/>
      <c r="I1223" s="22"/>
    </row>
    <row r="1224" spans="8:8" s="16" ht="16.5" customFormat="1">
      <c r="A1224" s="113"/>
      <c r="B1224" s="42" t="s">
        <v>4404</v>
      </c>
      <c r="C1224" s="42" t="s">
        <v>4405</v>
      </c>
      <c r="D1224" s="42" t="s">
        <v>4406</v>
      </c>
      <c r="E1224" s="42" t="s">
        <v>4407</v>
      </c>
      <c r="F1224" s="42" t="s">
        <v>43</v>
      </c>
      <c r="G1224" s="113"/>
      <c r="H1224" s="21"/>
      <c r="I1224" s="22"/>
    </row>
    <row r="1225" spans="8:8" s="16" ht="16.5" customFormat="1">
      <c r="A1225" s="113"/>
      <c r="B1225" s="42" t="s">
        <v>4408</v>
      </c>
      <c r="C1225" s="42" t="s">
        <v>4409</v>
      </c>
      <c r="D1225" s="42" t="s">
        <v>4410</v>
      </c>
      <c r="E1225" s="42" t="s">
        <v>4411</v>
      </c>
      <c r="F1225" s="42" t="s">
        <v>43</v>
      </c>
      <c r="G1225" s="113"/>
      <c r="H1225" s="21"/>
      <c r="I1225" s="22"/>
    </row>
    <row r="1226" spans="8:8" s="16" ht="16.5" customFormat="1">
      <c r="A1226" s="113"/>
      <c r="B1226" s="42" t="s">
        <v>4412</v>
      </c>
      <c r="C1226" s="42" t="s">
        <v>4413</v>
      </c>
      <c r="D1226" s="42" t="s">
        <v>4414</v>
      </c>
      <c r="E1226" s="42" t="s">
        <v>4415</v>
      </c>
      <c r="F1226" s="42" t="s">
        <v>43</v>
      </c>
      <c r="G1226" s="113"/>
      <c r="H1226" s="21"/>
      <c r="I1226" s="22"/>
    </row>
    <row r="1227" spans="8:8" s="16" ht="16.5" customFormat="1">
      <c r="A1227" s="113"/>
      <c r="B1227" s="42" t="s">
        <v>4416</v>
      </c>
      <c r="C1227" s="42" t="s">
        <v>4417</v>
      </c>
      <c r="D1227" s="42" t="s">
        <v>4418</v>
      </c>
      <c r="E1227" s="42" t="s">
        <v>4419</v>
      </c>
      <c r="F1227" s="42" t="s">
        <v>43</v>
      </c>
      <c r="G1227" s="113"/>
      <c r="H1227" s="21"/>
      <c r="I1227" s="22"/>
    </row>
    <row r="1228" spans="8:8" s="16" ht="16.5" customFormat="1">
      <c r="A1228" s="113"/>
      <c r="B1228" s="42" t="s">
        <v>4420</v>
      </c>
      <c r="C1228" s="42" t="s">
        <v>4421</v>
      </c>
      <c r="D1228" s="42" t="s">
        <v>4422</v>
      </c>
      <c r="E1228" s="42" t="s">
        <v>4423</v>
      </c>
      <c r="F1228" s="42" t="s">
        <v>43</v>
      </c>
      <c r="G1228" s="113"/>
      <c r="H1228" s="21"/>
      <c r="I1228" s="22"/>
    </row>
    <row r="1229" spans="8:8" s="16" ht="16.5" customFormat="1">
      <c r="A1229" s="113"/>
      <c r="B1229" s="42" t="s">
        <v>4424</v>
      </c>
      <c r="C1229" s="42" t="s">
        <v>4424</v>
      </c>
      <c r="D1229" s="42" t="s">
        <v>4425</v>
      </c>
      <c r="E1229" s="42" t="s">
        <v>4426</v>
      </c>
      <c r="F1229" s="42" t="s">
        <v>4388</v>
      </c>
      <c r="G1229" s="113"/>
      <c r="H1229" s="21"/>
      <c r="I1229" s="22"/>
    </row>
    <row r="1230" spans="8:8" s="16" ht="16.5" customFormat="1">
      <c r="A1230" s="113"/>
      <c r="B1230" s="42"/>
      <c r="C1230" s="42"/>
      <c r="D1230" s="42"/>
      <c r="E1230" s="42"/>
      <c r="F1230" s="42"/>
      <c r="G1230" s="113"/>
      <c r="H1230" s="21"/>
      <c r="I1230" s="22"/>
    </row>
    <row r="1231" spans="8:8" s="9" ht="29.25" customFormat="1">
      <c r="A1231" s="114"/>
      <c r="B1231" s="115" t="s">
        <v>4427</v>
      </c>
      <c r="C1231" s="115" t="s">
        <v>812</v>
      </c>
      <c r="D1231" s="115" t="s">
        <v>4428</v>
      </c>
      <c r="E1231" s="115" t="s">
        <v>4429</v>
      </c>
      <c r="F1231" s="115"/>
      <c r="G1231" s="114"/>
      <c r="H1231" s="14"/>
      <c r="I1231" s="15"/>
    </row>
    <row r="1232" spans="8:8" s="9" ht="29.25" customFormat="1">
      <c r="A1232" s="114"/>
      <c r="B1232" s="115" t="s">
        <v>814</v>
      </c>
      <c r="C1232" s="115" t="s">
        <v>815</v>
      </c>
      <c r="D1232" s="115" t="s">
        <v>816</v>
      </c>
      <c r="E1232" s="115" t="s">
        <v>817</v>
      </c>
      <c r="F1232" s="115" t="s">
        <v>818</v>
      </c>
      <c r="G1232" s="114"/>
      <c r="H1232" s="14"/>
      <c r="I1232" s="15"/>
    </row>
    <row r="1233" spans="8:8" s="16" ht="16.5" customFormat="1">
      <c r="A1233" s="116"/>
      <c r="B1233" s="42" t="s">
        <v>4430</v>
      </c>
      <c r="C1233" s="42" t="s">
        <v>4431</v>
      </c>
      <c r="D1233" s="42" t="s">
        <v>4432</v>
      </c>
      <c r="E1233" s="42" t="s">
        <v>4433</v>
      </c>
      <c r="F1233" s="42" t="s">
        <v>123</v>
      </c>
      <c r="G1233" s="116"/>
      <c r="H1233" s="21"/>
      <c r="I1233" s="22"/>
    </row>
    <row r="1234" spans="8:8" s="16" ht="16.5" customFormat="1">
      <c r="A1234" s="116"/>
      <c r="B1234" s="42" t="s">
        <v>4434</v>
      </c>
      <c r="C1234" s="42" t="s">
        <v>4435</v>
      </c>
      <c r="D1234" s="42" t="s">
        <v>4436</v>
      </c>
      <c r="E1234" s="42" t="s">
        <v>4437</v>
      </c>
      <c r="F1234" s="42" t="s">
        <v>869</v>
      </c>
      <c r="G1234" s="116"/>
      <c r="H1234" s="21"/>
      <c r="I1234" s="22"/>
    </row>
    <row r="1235" spans="8:8" s="16" ht="16.5" customFormat="1">
      <c r="A1235" s="116"/>
      <c r="B1235" s="42" t="s">
        <v>4438</v>
      </c>
      <c r="C1235" s="42" t="s">
        <v>4439</v>
      </c>
      <c r="D1235" s="42" t="s">
        <v>4440</v>
      </c>
      <c r="E1235" s="42" t="s">
        <v>4441</v>
      </c>
      <c r="F1235" s="42" t="s">
        <v>869</v>
      </c>
      <c r="G1235" s="116"/>
      <c r="H1235" s="21"/>
      <c r="I1235" s="22"/>
    </row>
    <row r="1236" spans="8:8" s="16" ht="16.5" customFormat="1">
      <c r="A1236" s="116"/>
      <c r="B1236" s="42" t="s">
        <v>2164</v>
      </c>
      <c r="C1236" s="42" t="s">
        <v>1799</v>
      </c>
      <c r="D1236" s="42" t="s">
        <v>4442</v>
      </c>
      <c r="E1236" s="42" t="s">
        <v>2304</v>
      </c>
      <c r="F1236" s="42" t="s">
        <v>123</v>
      </c>
      <c r="G1236" s="116"/>
      <c r="H1236" s="21"/>
      <c r="I1236" s="22"/>
    </row>
    <row r="1237" spans="8:8" s="16" ht="16.5" customFormat="1">
      <c r="A1237" s="116"/>
      <c r="B1237" s="42" t="s">
        <v>2451</v>
      </c>
      <c r="C1237" s="42" t="s">
        <v>2452</v>
      </c>
      <c r="D1237" s="42" t="s">
        <v>4443</v>
      </c>
      <c r="E1237" s="42" t="s">
        <v>4444</v>
      </c>
      <c r="F1237" s="42" t="s">
        <v>851</v>
      </c>
      <c r="G1237" s="116"/>
      <c r="H1237" s="21"/>
      <c r="I1237" s="22"/>
    </row>
    <row r="1238" spans="8:8" s="16" ht="16.5" customFormat="1">
      <c r="A1238" s="116"/>
      <c r="B1238" s="42" t="s">
        <v>4445</v>
      </c>
      <c r="C1238" s="42" t="s">
        <v>4446</v>
      </c>
      <c r="D1238" s="42" t="s">
        <v>4447</v>
      </c>
      <c r="E1238" s="42" t="s">
        <v>4448</v>
      </c>
      <c r="F1238" s="42" t="s">
        <v>1444</v>
      </c>
      <c r="G1238" s="116"/>
      <c r="H1238" s="21"/>
      <c r="I1238" s="22"/>
    </row>
    <row r="1239" spans="8:8" s="16" ht="16.5" customFormat="1">
      <c r="A1239" s="116"/>
      <c r="B1239" s="42" t="s">
        <v>4449</v>
      </c>
      <c r="C1239" s="42" t="s">
        <v>4450</v>
      </c>
      <c r="D1239" s="42" t="s">
        <v>4451</v>
      </c>
      <c r="E1239" s="42" t="s">
        <v>4452</v>
      </c>
      <c r="F1239" s="42" t="s">
        <v>123</v>
      </c>
      <c r="G1239" s="116"/>
      <c r="H1239" s="21"/>
      <c r="I1239" s="22"/>
    </row>
    <row r="1240" spans="8:8" s="16" ht="16.5" customFormat="1">
      <c r="A1240" s="116"/>
      <c r="B1240" s="42" t="s">
        <v>4453</v>
      </c>
      <c r="C1240" s="42" t="s">
        <v>4454</v>
      </c>
      <c r="D1240" s="42" t="s">
        <v>4455</v>
      </c>
      <c r="E1240" s="42" t="s">
        <v>4456</v>
      </c>
      <c r="F1240" s="42" t="s">
        <v>123</v>
      </c>
      <c r="G1240" s="116"/>
      <c r="H1240" s="21"/>
      <c r="I1240" s="22"/>
    </row>
    <row r="1241" spans="8:8" s="16" ht="16.5" customFormat="1">
      <c r="A1241" s="116"/>
      <c r="B1241" s="42" t="s">
        <v>4457</v>
      </c>
      <c r="C1241" s="42" t="s">
        <v>4458</v>
      </c>
      <c r="D1241" s="42" t="s">
        <v>4459</v>
      </c>
      <c r="E1241" s="42" t="s">
        <v>4460</v>
      </c>
      <c r="F1241" s="42" t="s">
        <v>123</v>
      </c>
      <c r="G1241" s="116"/>
      <c r="H1241" s="21"/>
      <c r="I1241" s="22"/>
    </row>
    <row r="1242" spans="8:8" s="16" ht="16.5" customFormat="1">
      <c r="A1242" s="116"/>
      <c r="B1242" s="42" t="s">
        <v>2782</v>
      </c>
      <c r="C1242" s="42" t="s">
        <v>2783</v>
      </c>
      <c r="D1242" s="42" t="s">
        <v>4461</v>
      </c>
      <c r="E1242" s="42" t="s">
        <v>4462</v>
      </c>
      <c r="F1242" s="42" t="s">
        <v>819</v>
      </c>
      <c r="G1242" s="116"/>
      <c r="H1242" s="21"/>
      <c r="I1242" s="22"/>
    </row>
    <row r="1243" spans="8:8" s="16" ht="16.5" customFormat="1">
      <c r="A1243" s="116"/>
      <c r="B1243" s="42" t="s">
        <v>4463</v>
      </c>
      <c r="C1243" s="42" t="s">
        <v>4464</v>
      </c>
      <c r="D1243" s="42" t="s">
        <v>4465</v>
      </c>
      <c r="E1243" s="42" t="s">
        <v>4466</v>
      </c>
      <c r="F1243" s="42" t="s">
        <v>123</v>
      </c>
      <c r="G1243" s="116"/>
      <c r="H1243" s="21"/>
      <c r="I1243" s="22"/>
    </row>
    <row r="1244" spans="8:8" s="16" ht="16.5" customFormat="1">
      <c r="A1244" s="116"/>
      <c r="B1244" s="42" t="s">
        <v>4467</v>
      </c>
      <c r="C1244" s="42" t="s">
        <v>4468</v>
      </c>
      <c r="D1244" s="42" t="s">
        <v>2437</v>
      </c>
      <c r="E1244" s="42" t="s">
        <v>4469</v>
      </c>
      <c r="F1244" s="42" t="s">
        <v>123</v>
      </c>
      <c r="G1244" s="116"/>
      <c r="H1244" s="21"/>
      <c r="I1244" s="22"/>
    </row>
    <row r="1245" spans="8:8" s="16" ht="16.5" customFormat="1">
      <c r="A1245" s="116"/>
      <c r="B1245" s="42" t="s">
        <v>4470</v>
      </c>
      <c r="C1245" s="42" t="s">
        <v>4471</v>
      </c>
      <c r="D1245" s="42" t="s">
        <v>4459</v>
      </c>
      <c r="E1245" s="42" t="s">
        <v>4472</v>
      </c>
      <c r="F1245" s="42" t="s">
        <v>123</v>
      </c>
      <c r="G1245" s="116"/>
      <c r="H1245" s="21"/>
      <c r="I1245" s="22"/>
    </row>
    <row r="1246" spans="8:8" s="16" ht="16.5" customFormat="1">
      <c r="A1246" s="116"/>
      <c r="B1246" s="42" t="s">
        <v>4473</v>
      </c>
      <c r="C1246" s="42" t="s">
        <v>4474</v>
      </c>
      <c r="D1246" s="42" t="s">
        <v>4475</v>
      </c>
      <c r="E1246" s="42" t="s">
        <v>4476</v>
      </c>
      <c r="F1246" s="42" t="s">
        <v>3850</v>
      </c>
      <c r="G1246" s="116"/>
      <c r="H1246" s="21"/>
      <c r="I1246" s="22"/>
    </row>
    <row r="1247" spans="8:8" s="16" ht="16.5" customFormat="1">
      <c r="A1247" s="116"/>
      <c r="B1247" s="42" t="s">
        <v>4477</v>
      </c>
      <c r="C1247" s="42" t="s">
        <v>4478</v>
      </c>
      <c r="D1247" s="42" t="s">
        <v>4479</v>
      </c>
      <c r="E1247" s="42" t="s">
        <v>4480</v>
      </c>
      <c r="F1247" s="42" t="s">
        <v>869</v>
      </c>
      <c r="G1247" s="116"/>
      <c r="H1247" s="21"/>
      <c r="I1247" s="22"/>
    </row>
    <row r="1248" spans="8:8" s="16" ht="16.5" customFormat="1">
      <c r="A1248" s="116"/>
      <c r="B1248" s="42" t="s">
        <v>4481</v>
      </c>
      <c r="C1248" s="42" t="s">
        <v>4482</v>
      </c>
      <c r="D1248" s="42" t="s">
        <v>4483</v>
      </c>
      <c r="E1248" s="42" t="s">
        <v>4484</v>
      </c>
      <c r="F1248" s="42" t="s">
        <v>869</v>
      </c>
      <c r="G1248" s="116"/>
      <c r="H1248" s="21"/>
      <c r="I1248" s="22"/>
    </row>
    <row r="1249" spans="8:8" s="16" ht="16.5" customFormat="1">
      <c r="A1249" s="116"/>
      <c r="B1249" s="42" t="s">
        <v>4485</v>
      </c>
      <c r="C1249" s="42" t="s">
        <v>4486</v>
      </c>
      <c r="D1249" s="42" t="s">
        <v>4487</v>
      </c>
      <c r="E1249" s="42" t="s">
        <v>4488</v>
      </c>
      <c r="F1249" s="42" t="s">
        <v>123</v>
      </c>
      <c r="G1249" s="116"/>
      <c r="H1249" s="21"/>
      <c r="I1249" s="22"/>
    </row>
    <row r="1250" spans="8:8" s="16" ht="16.5" customFormat="1">
      <c r="A1250" s="116"/>
      <c r="B1250" s="42" t="s">
        <v>4489</v>
      </c>
      <c r="C1250" s="42" t="s">
        <v>4490</v>
      </c>
      <c r="D1250" s="42" t="s">
        <v>4491</v>
      </c>
      <c r="E1250" s="42" t="s">
        <v>4492</v>
      </c>
      <c r="F1250" s="42" t="s">
        <v>123</v>
      </c>
      <c r="G1250" s="116"/>
      <c r="H1250" s="21"/>
      <c r="I1250" s="22"/>
    </row>
    <row r="1251" spans="8:8" s="16" ht="16.5" customFormat="1">
      <c r="A1251" s="116"/>
      <c r="B1251" s="42" t="s">
        <v>4493</v>
      </c>
      <c r="C1251" s="42" t="s">
        <v>4494</v>
      </c>
      <c r="D1251" s="42" t="s">
        <v>4495</v>
      </c>
      <c r="E1251" s="42" t="s">
        <v>4496</v>
      </c>
      <c r="F1251" s="42" t="s">
        <v>123</v>
      </c>
      <c r="G1251" s="116"/>
      <c r="H1251" s="21"/>
      <c r="I1251" s="22"/>
    </row>
    <row r="1252" spans="8:8" s="16" ht="16.5" customFormat="1">
      <c r="A1252" s="116"/>
      <c r="B1252" s="42" t="s">
        <v>4497</v>
      </c>
      <c r="C1252" s="42" t="s">
        <v>4498</v>
      </c>
      <c r="D1252" s="42" t="s">
        <v>4499</v>
      </c>
      <c r="E1252" s="42" t="s">
        <v>4500</v>
      </c>
      <c r="F1252" s="42" t="s">
        <v>4501</v>
      </c>
      <c r="G1252" s="116"/>
      <c r="H1252" s="21"/>
      <c r="I1252" s="22"/>
    </row>
    <row r="1253" spans="8:8" s="16" ht="16.5" customFormat="1">
      <c r="A1253" s="116"/>
      <c r="B1253" s="42" t="s">
        <v>4502</v>
      </c>
      <c r="C1253" s="42" t="s">
        <v>4503</v>
      </c>
      <c r="D1253" s="42" t="s">
        <v>4504</v>
      </c>
      <c r="E1253" s="42" t="s">
        <v>4505</v>
      </c>
      <c r="F1253" s="42" t="s">
        <v>123</v>
      </c>
      <c r="G1253" s="116"/>
      <c r="H1253" s="21"/>
      <c r="I1253" s="22"/>
    </row>
    <row r="1254" spans="8:8" s="16" ht="16.5" customFormat="1">
      <c r="A1254" s="116"/>
      <c r="B1254" s="42" t="s">
        <v>4506</v>
      </c>
      <c r="C1254" s="42" t="s">
        <v>4507</v>
      </c>
      <c r="D1254" s="42" t="s">
        <v>4508</v>
      </c>
      <c r="E1254" s="42" t="s">
        <v>4509</v>
      </c>
      <c r="F1254" s="42" t="s">
        <v>4510</v>
      </c>
      <c r="G1254" s="116"/>
      <c r="H1254" s="21"/>
      <c r="I1254" s="22"/>
    </row>
    <row r="1255" spans="8:8" s="16" ht="16.5" customFormat="1">
      <c r="A1255" s="116"/>
      <c r="B1255" s="42" t="s">
        <v>4511</v>
      </c>
      <c r="C1255" s="42" t="s">
        <v>4512</v>
      </c>
      <c r="D1255" s="42" t="s">
        <v>4513</v>
      </c>
      <c r="E1255" s="42" t="s">
        <v>4514</v>
      </c>
      <c r="F1255" s="42" t="s">
        <v>3850</v>
      </c>
      <c r="G1255" s="116"/>
      <c r="H1255" s="21"/>
      <c r="I1255" s="22"/>
    </row>
    <row r="1256" spans="8:8" s="16" ht="16.5" customFormat="1">
      <c r="A1256" s="116"/>
      <c r="B1256" s="42" t="s">
        <v>4515</v>
      </c>
      <c r="C1256" s="42" t="s">
        <v>4516</v>
      </c>
      <c r="D1256" s="42" t="s">
        <v>4517</v>
      </c>
      <c r="E1256" s="42" t="s">
        <v>4518</v>
      </c>
      <c r="F1256" s="42" t="s">
        <v>43</v>
      </c>
      <c r="G1256" s="116"/>
      <c r="H1256" s="21"/>
      <c r="I1256" s="22"/>
    </row>
    <row r="1257" spans="8:8" s="16" ht="16.5" customFormat="1">
      <c r="A1257" s="116"/>
      <c r="B1257" s="42" t="s">
        <v>4519</v>
      </c>
      <c r="C1257" s="42" t="s">
        <v>4520</v>
      </c>
      <c r="D1257" s="42" t="s">
        <v>4521</v>
      </c>
      <c r="E1257" s="42" t="s">
        <v>4522</v>
      </c>
      <c r="F1257" s="42" t="s">
        <v>123</v>
      </c>
      <c r="G1257" s="116"/>
      <c r="H1257" s="21"/>
      <c r="I1257" s="22"/>
    </row>
    <row r="1258" spans="8:8" s="16" ht="16.5" customFormat="1">
      <c r="A1258" s="116"/>
      <c r="B1258" s="42" t="s">
        <v>4523</v>
      </c>
      <c r="C1258" s="42" t="s">
        <v>4524</v>
      </c>
      <c r="D1258" s="42" t="s">
        <v>4525</v>
      </c>
      <c r="E1258" s="42" t="s">
        <v>4526</v>
      </c>
      <c r="F1258" s="42" t="s">
        <v>869</v>
      </c>
      <c r="G1258" s="116"/>
      <c r="H1258" s="21"/>
      <c r="I1258" s="22"/>
    </row>
    <row r="1259" spans="8:8" s="16" ht="16.5" customFormat="1">
      <c r="A1259" s="116"/>
      <c r="B1259" s="42" t="s">
        <v>4527</v>
      </c>
      <c r="C1259" s="42" t="s">
        <v>4528</v>
      </c>
      <c r="D1259" s="42" t="s">
        <v>4529</v>
      </c>
      <c r="E1259" s="42" t="s">
        <v>4530</v>
      </c>
      <c r="F1259" s="42" t="s">
        <v>869</v>
      </c>
      <c r="G1259" s="116"/>
      <c r="H1259" s="21"/>
      <c r="I1259" s="22"/>
    </row>
    <row r="1260" spans="8:8" s="16" ht="16.5" customFormat="1">
      <c r="A1260" s="116"/>
      <c r="B1260" s="42"/>
      <c r="C1260" s="42"/>
      <c r="D1260" s="42"/>
      <c r="E1260" s="42"/>
      <c r="F1260" s="42"/>
      <c r="G1260" s="116"/>
      <c r="H1260" s="21"/>
      <c r="I1260" s="22"/>
    </row>
    <row r="1261" spans="8:8" s="9" ht="29.25" customFormat="1">
      <c r="A1261" s="114"/>
      <c r="B1261" s="115" t="s">
        <v>4531</v>
      </c>
      <c r="C1261" s="115" t="s">
        <v>812</v>
      </c>
      <c r="D1261" s="115" t="s">
        <v>4532</v>
      </c>
      <c r="E1261" s="115" t="s">
        <v>4533</v>
      </c>
      <c r="F1261" s="115"/>
      <c r="G1261" s="114"/>
      <c r="H1261" s="14"/>
      <c r="I1261" s="15"/>
    </row>
    <row r="1262" spans="8:8" s="9" ht="29.25" customFormat="1">
      <c r="A1262" s="114"/>
      <c r="B1262" s="115" t="s">
        <v>814</v>
      </c>
      <c r="C1262" s="115" t="s">
        <v>815</v>
      </c>
      <c r="D1262" s="115" t="s">
        <v>816</v>
      </c>
      <c r="E1262" s="115" t="s">
        <v>817</v>
      </c>
      <c r="F1262" s="115" t="s">
        <v>818</v>
      </c>
      <c r="G1262" s="114"/>
      <c r="H1262" s="14"/>
      <c r="I1262" s="15"/>
    </row>
    <row r="1263" spans="8:8" s="16" ht="16.5" customFormat="1">
      <c r="A1263" s="116"/>
      <c r="B1263" s="42" t="s">
        <v>4430</v>
      </c>
      <c r="C1263" s="42" t="s">
        <v>4431</v>
      </c>
      <c r="D1263" s="42" t="s">
        <v>4534</v>
      </c>
      <c r="E1263" s="42" t="s">
        <v>4433</v>
      </c>
      <c r="F1263" s="42" t="s">
        <v>123</v>
      </c>
      <c r="G1263" s="116"/>
      <c r="H1263" s="21"/>
      <c r="I1263" s="22"/>
    </row>
    <row r="1264" spans="8:8" s="16" ht="16.5" customFormat="1">
      <c r="A1264" s="116"/>
      <c r="B1264" s="42" t="s">
        <v>4434</v>
      </c>
      <c r="C1264" s="42" t="s">
        <v>4435</v>
      </c>
      <c r="D1264" s="42" t="s">
        <v>4535</v>
      </c>
      <c r="E1264" s="42" t="s">
        <v>4536</v>
      </c>
      <c r="F1264" s="42" t="s">
        <v>869</v>
      </c>
      <c r="G1264" s="116"/>
      <c r="H1264" s="21"/>
      <c r="I1264" s="22"/>
    </row>
    <row r="1265" spans="8:8" s="16" ht="16.5" customFormat="1">
      <c r="A1265" s="116"/>
      <c r="B1265" s="42" t="s">
        <v>4438</v>
      </c>
      <c r="C1265" s="42" t="s">
        <v>4439</v>
      </c>
      <c r="D1265" s="42" t="s">
        <v>4440</v>
      </c>
      <c r="E1265" s="42" t="s">
        <v>4537</v>
      </c>
      <c r="F1265" s="42" t="s">
        <v>869</v>
      </c>
      <c r="G1265" s="116"/>
      <c r="H1265" s="21"/>
      <c r="I1265" s="22"/>
    </row>
    <row r="1266" spans="8:8" s="16" ht="16.5" customFormat="1">
      <c r="A1266" s="116"/>
      <c r="B1266" s="42" t="s">
        <v>2164</v>
      </c>
      <c r="C1266" s="42" t="s">
        <v>1799</v>
      </c>
      <c r="D1266" s="42" t="s">
        <v>4538</v>
      </c>
      <c r="E1266" s="42" t="s">
        <v>2304</v>
      </c>
      <c r="F1266" s="42" t="s">
        <v>123</v>
      </c>
      <c r="G1266" s="116"/>
      <c r="H1266" s="21"/>
      <c r="I1266" s="22"/>
    </row>
    <row r="1267" spans="8:8" s="16" ht="20.55" customFormat="1" customHeight="1">
      <c r="A1267" s="116"/>
      <c r="B1267" s="42" t="s">
        <v>4539</v>
      </c>
      <c r="C1267" s="42" t="s">
        <v>4540</v>
      </c>
      <c r="D1267" s="42" t="s">
        <v>4541</v>
      </c>
      <c r="E1267" s="42" t="s">
        <v>4542</v>
      </c>
      <c r="F1267" s="42" t="s">
        <v>3850</v>
      </c>
      <c r="G1267" s="116"/>
      <c r="H1267" s="21"/>
      <c r="I1267" s="22"/>
    </row>
    <row r="1268" spans="8:8" s="16" ht="16.5" customFormat="1">
      <c r="A1268" s="116"/>
      <c r="B1268" s="42" t="s">
        <v>4449</v>
      </c>
      <c r="C1268" s="42" t="s">
        <v>4450</v>
      </c>
      <c r="D1268" s="42" t="s">
        <v>4451</v>
      </c>
      <c r="E1268" s="42" t="s">
        <v>4452</v>
      </c>
      <c r="F1268" s="42" t="s">
        <v>123</v>
      </c>
      <c r="G1268" s="116"/>
      <c r="H1268" s="21"/>
      <c r="I1268" s="22"/>
    </row>
    <row r="1269" spans="8:8" s="16" ht="16.5" customFormat="1">
      <c r="A1269" s="116"/>
      <c r="B1269" s="42" t="s">
        <v>4457</v>
      </c>
      <c r="C1269" s="42" t="s">
        <v>4458</v>
      </c>
      <c r="D1269" s="42" t="s">
        <v>4459</v>
      </c>
      <c r="E1269" s="42" t="s">
        <v>4460</v>
      </c>
      <c r="F1269" s="42" t="s">
        <v>123</v>
      </c>
      <c r="G1269" s="116"/>
      <c r="H1269" s="21"/>
      <c r="I1269" s="22"/>
    </row>
    <row r="1270" spans="8:8" s="16" ht="16.5" customFormat="1">
      <c r="A1270" s="116"/>
      <c r="B1270" s="42" t="s">
        <v>2782</v>
      </c>
      <c r="C1270" s="42" t="s">
        <v>2783</v>
      </c>
      <c r="D1270" s="42" t="s">
        <v>4461</v>
      </c>
      <c r="E1270" s="42" t="s">
        <v>4462</v>
      </c>
      <c r="F1270" s="42" t="s">
        <v>819</v>
      </c>
      <c r="G1270" s="116"/>
      <c r="H1270" s="21"/>
      <c r="I1270" s="22"/>
    </row>
    <row r="1271" spans="8:8" s="16" ht="16.5" customFormat="1">
      <c r="A1271" s="116"/>
      <c r="B1271" s="42" t="s">
        <v>4463</v>
      </c>
      <c r="C1271" s="42" t="s">
        <v>4464</v>
      </c>
      <c r="D1271" s="42" t="s">
        <v>4465</v>
      </c>
      <c r="E1271" s="42" t="s">
        <v>4466</v>
      </c>
      <c r="F1271" s="42" t="s">
        <v>123</v>
      </c>
      <c r="G1271" s="116"/>
      <c r="H1271" s="21"/>
      <c r="I1271" s="22"/>
    </row>
    <row r="1272" spans="8:8" s="16" ht="16.5" customFormat="1">
      <c r="A1272" s="116"/>
      <c r="B1272" s="42" t="s">
        <v>4467</v>
      </c>
      <c r="C1272" s="42" t="s">
        <v>4468</v>
      </c>
      <c r="D1272" s="42" t="s">
        <v>2437</v>
      </c>
      <c r="E1272" s="42" t="s">
        <v>4469</v>
      </c>
      <c r="F1272" s="42" t="s">
        <v>123</v>
      </c>
      <c r="G1272" s="116"/>
      <c r="H1272" s="21"/>
      <c r="I1272" s="22"/>
    </row>
    <row r="1273" spans="8:8" s="16" ht="16.5" customFormat="1">
      <c r="A1273" s="116"/>
      <c r="B1273" s="42" t="s">
        <v>4470</v>
      </c>
      <c r="C1273" s="42" t="s">
        <v>4471</v>
      </c>
      <c r="D1273" s="42" t="s">
        <v>4459</v>
      </c>
      <c r="E1273" s="42" t="s">
        <v>4472</v>
      </c>
      <c r="F1273" s="42" t="s">
        <v>123</v>
      </c>
      <c r="G1273" s="116"/>
      <c r="H1273" s="21"/>
      <c r="I1273" s="22"/>
    </row>
    <row r="1274" spans="8:8" s="16" ht="16.5" customFormat="1">
      <c r="A1274" s="116"/>
      <c r="B1274" s="42" t="s">
        <v>4473</v>
      </c>
      <c r="C1274" s="42" t="s">
        <v>4474</v>
      </c>
      <c r="D1274" s="42" t="s">
        <v>4475</v>
      </c>
      <c r="E1274" s="42" t="s">
        <v>4476</v>
      </c>
      <c r="F1274" s="42" t="s">
        <v>3850</v>
      </c>
      <c r="G1274" s="116"/>
      <c r="H1274" s="21"/>
      <c r="I1274" s="22"/>
    </row>
    <row r="1275" spans="8:8" s="16" ht="16.5" customFormat="1">
      <c r="A1275" s="116"/>
      <c r="B1275" s="42" t="s">
        <v>4477</v>
      </c>
      <c r="C1275" s="42" t="s">
        <v>4478</v>
      </c>
      <c r="D1275" s="42" t="s">
        <v>4479</v>
      </c>
      <c r="E1275" s="42" t="s">
        <v>4480</v>
      </c>
      <c r="F1275" s="42" t="s">
        <v>869</v>
      </c>
      <c r="G1275" s="116"/>
      <c r="H1275" s="21"/>
      <c r="I1275" s="22"/>
    </row>
    <row r="1276" spans="8:8" s="16" ht="16.5" customFormat="1">
      <c r="A1276" s="116"/>
      <c r="B1276" s="42" t="s">
        <v>4481</v>
      </c>
      <c r="C1276" s="42" t="s">
        <v>4482</v>
      </c>
      <c r="D1276" s="42" t="s">
        <v>4483</v>
      </c>
      <c r="E1276" s="42" t="s">
        <v>4484</v>
      </c>
      <c r="F1276" s="42" t="s">
        <v>869</v>
      </c>
      <c r="G1276" s="116"/>
      <c r="H1276" s="21"/>
      <c r="I1276" s="22"/>
    </row>
    <row r="1277" spans="8:8" s="16" ht="16.5" customFormat="1">
      <c r="A1277" s="116"/>
      <c r="B1277" s="42" t="s">
        <v>4485</v>
      </c>
      <c r="C1277" s="42" t="s">
        <v>4486</v>
      </c>
      <c r="D1277" s="42" t="s">
        <v>4487</v>
      </c>
      <c r="E1277" s="42" t="s">
        <v>4488</v>
      </c>
      <c r="F1277" s="42" t="s">
        <v>123</v>
      </c>
      <c r="G1277" s="116"/>
      <c r="H1277" s="21"/>
      <c r="I1277" s="22"/>
    </row>
    <row r="1278" spans="8:8" s="16" ht="16.5" customFormat="1">
      <c r="A1278" s="116"/>
      <c r="B1278" s="42" t="s">
        <v>4489</v>
      </c>
      <c r="C1278" s="42" t="s">
        <v>4490</v>
      </c>
      <c r="D1278" s="42" t="s">
        <v>4491</v>
      </c>
      <c r="E1278" s="42" t="s">
        <v>4492</v>
      </c>
      <c r="F1278" s="42" t="s">
        <v>123</v>
      </c>
      <c r="G1278" s="116"/>
      <c r="H1278" s="21"/>
      <c r="I1278" s="22"/>
    </row>
    <row r="1279" spans="8:8" s="16" ht="16.5" customFormat="1">
      <c r="A1279" s="116"/>
      <c r="B1279" s="42" t="s">
        <v>4493</v>
      </c>
      <c r="C1279" s="42" t="s">
        <v>4494</v>
      </c>
      <c r="D1279" s="42" t="s">
        <v>4495</v>
      </c>
      <c r="E1279" s="42" t="s">
        <v>4496</v>
      </c>
      <c r="F1279" s="42" t="s">
        <v>123</v>
      </c>
      <c r="G1279" s="116"/>
      <c r="H1279" s="21"/>
      <c r="I1279" s="22"/>
    </row>
    <row r="1280" spans="8:8" s="16" ht="16.5" customFormat="1">
      <c r="A1280" s="116"/>
      <c r="B1280" s="42" t="s">
        <v>4497</v>
      </c>
      <c r="C1280" s="42" t="s">
        <v>4498</v>
      </c>
      <c r="D1280" s="42" t="s">
        <v>4499</v>
      </c>
      <c r="E1280" s="42" t="s">
        <v>4543</v>
      </c>
      <c r="F1280" s="42" t="s">
        <v>4501</v>
      </c>
      <c r="G1280" s="116"/>
      <c r="H1280" s="21"/>
      <c r="I1280" s="22"/>
    </row>
    <row r="1281" spans="8:8" s="16" ht="16.5" customFormat="1">
      <c r="A1281" s="116"/>
      <c r="B1281" s="42" t="s">
        <v>4511</v>
      </c>
      <c r="C1281" s="42" t="s">
        <v>4512</v>
      </c>
      <c r="D1281" s="42" t="s">
        <v>4544</v>
      </c>
      <c r="E1281" s="42" t="s">
        <v>4514</v>
      </c>
      <c r="F1281" s="42" t="s">
        <v>3850</v>
      </c>
      <c r="G1281" s="116"/>
      <c r="H1281" s="21"/>
      <c r="I1281" s="22"/>
    </row>
    <row r="1282" spans="8:8" s="16" ht="16.5" customFormat="1">
      <c r="A1282" s="116"/>
      <c r="B1282" s="42" t="s">
        <v>4506</v>
      </c>
      <c r="C1282" s="42" t="s">
        <v>4507</v>
      </c>
      <c r="D1282" s="42" t="s">
        <v>4508</v>
      </c>
      <c r="E1282" s="42" t="s">
        <v>4509</v>
      </c>
      <c r="F1282" s="42" t="s">
        <v>4510</v>
      </c>
      <c r="G1282" s="116"/>
      <c r="H1282" s="21"/>
      <c r="I1282" s="22"/>
    </row>
    <row r="1283" spans="8:8" s="16" ht="16.5" customFormat="1">
      <c r="A1283" s="116"/>
      <c r="B1283" s="42" t="s">
        <v>4515</v>
      </c>
      <c r="C1283" s="42" t="s">
        <v>4516</v>
      </c>
      <c r="D1283" s="42" t="s">
        <v>4517</v>
      </c>
      <c r="E1283" s="42" t="s">
        <v>4518</v>
      </c>
      <c r="F1283" s="42" t="s">
        <v>43</v>
      </c>
      <c r="G1283" s="116"/>
      <c r="H1283" s="21"/>
      <c r="I1283" s="22"/>
    </row>
    <row r="1284" spans="8:8" s="16" ht="16.5" customFormat="1">
      <c r="A1284" s="116"/>
      <c r="B1284" s="42" t="s">
        <v>4519</v>
      </c>
      <c r="C1284" s="42" t="s">
        <v>4520</v>
      </c>
      <c r="D1284" s="42" t="s">
        <v>4521</v>
      </c>
      <c r="E1284" s="42" t="s">
        <v>4522</v>
      </c>
      <c r="F1284" s="42" t="s">
        <v>123</v>
      </c>
      <c r="G1284" s="116"/>
      <c r="H1284" s="21"/>
      <c r="I1284" s="22"/>
    </row>
    <row r="1285" spans="8:8" s="16" ht="16.5" customFormat="1">
      <c r="A1285" s="116"/>
      <c r="B1285" s="42" t="s">
        <v>4523</v>
      </c>
      <c r="C1285" s="42" t="s">
        <v>4524</v>
      </c>
      <c r="D1285" s="42" t="s">
        <v>4525</v>
      </c>
      <c r="E1285" s="42" t="s">
        <v>4526</v>
      </c>
      <c r="F1285" s="42" t="s">
        <v>869</v>
      </c>
      <c r="G1285" s="116"/>
      <c r="H1285" s="21"/>
      <c r="I1285" s="22"/>
    </row>
    <row r="1286" spans="8:8" s="16" ht="16.5" customFormat="1">
      <c r="A1286" s="116"/>
      <c r="B1286" s="42" t="s">
        <v>4527</v>
      </c>
      <c r="C1286" s="42" t="s">
        <v>4528</v>
      </c>
      <c r="D1286" s="42" t="s">
        <v>4529</v>
      </c>
      <c r="E1286" s="42" t="s">
        <v>4530</v>
      </c>
      <c r="F1286" s="42" t="s">
        <v>869</v>
      </c>
      <c r="G1286" s="116"/>
      <c r="H1286" s="21"/>
      <c r="I1286" s="22"/>
    </row>
    <row r="1287" spans="8:8" s="16" ht="16.5" customFormat="1">
      <c r="A1287" s="116"/>
      <c r="B1287" s="42"/>
      <c r="C1287" s="42"/>
      <c r="D1287" s="42"/>
      <c r="E1287" s="42"/>
      <c r="F1287" s="42"/>
      <c r="G1287" s="116"/>
      <c r="H1287" s="21"/>
      <c r="I1287" s="22"/>
    </row>
    <row r="1288" spans="8:8" s="9" ht="29.25" customFormat="1">
      <c r="A1288" s="117"/>
      <c r="B1288" s="118" t="s">
        <v>4545</v>
      </c>
      <c r="C1288" s="118" t="s">
        <v>4546</v>
      </c>
      <c r="D1288" s="118" t="s">
        <v>4547</v>
      </c>
      <c r="E1288" s="118"/>
      <c r="F1288" s="118"/>
      <c r="G1288" s="117"/>
      <c r="H1288" s="14"/>
      <c r="I1288" s="15"/>
    </row>
    <row r="1289" spans="8:8" s="9" ht="29.25" customFormat="1">
      <c r="A1289" s="117"/>
      <c r="B1289" s="118" t="s">
        <v>814</v>
      </c>
      <c r="C1289" s="118" t="s">
        <v>815</v>
      </c>
      <c r="D1289" s="118" t="s">
        <v>816</v>
      </c>
      <c r="E1289" s="118" t="s">
        <v>817</v>
      </c>
      <c r="F1289" s="118" t="s">
        <v>818</v>
      </c>
      <c r="G1289" s="117"/>
      <c r="H1289" s="14"/>
      <c r="I1289" s="15"/>
    </row>
    <row r="1290" spans="8:8" s="16" ht="16.5" customFormat="1">
      <c r="A1290" s="119"/>
      <c r="B1290" s="42" t="s">
        <v>4548</v>
      </c>
      <c r="C1290" s="42" t="s">
        <v>879</v>
      </c>
      <c r="D1290" s="42" t="s">
        <v>4549</v>
      </c>
      <c r="E1290" s="42" t="s">
        <v>4550</v>
      </c>
      <c r="F1290" s="42" t="s">
        <v>4551</v>
      </c>
      <c r="G1290" s="119"/>
      <c r="H1290" s="21"/>
      <c r="I1290" s="22"/>
    </row>
    <row r="1291" spans="8:8" s="16" ht="16.5" customFormat="1">
      <c r="A1291" s="119"/>
      <c r="B1291" s="42" t="s">
        <v>4552</v>
      </c>
      <c r="C1291" s="42" t="s">
        <v>4553</v>
      </c>
      <c r="D1291" s="42" t="s">
        <v>4554</v>
      </c>
      <c r="E1291" s="42" t="s">
        <v>4555</v>
      </c>
      <c r="F1291" s="42" t="s">
        <v>851</v>
      </c>
      <c r="G1291" s="119"/>
      <c r="H1291" s="21"/>
      <c r="I1291" s="22"/>
    </row>
    <row r="1292" spans="8:8" s="16" ht="16.5" customFormat="1">
      <c r="A1292" s="119"/>
      <c r="B1292" s="42" t="s">
        <v>4556</v>
      </c>
      <c r="C1292" s="42" t="s">
        <v>4557</v>
      </c>
      <c r="D1292" s="42" t="s">
        <v>4558</v>
      </c>
      <c r="E1292" s="42" t="s">
        <v>4559</v>
      </c>
      <c r="F1292" s="42" t="s">
        <v>123</v>
      </c>
      <c r="G1292" s="119"/>
      <c r="H1292" s="21"/>
      <c r="I1292" s="22"/>
    </row>
    <row r="1293" spans="8:8" s="16" ht="16.5" customFormat="1">
      <c r="A1293" s="119"/>
      <c r="B1293" s="42" t="s">
        <v>4560</v>
      </c>
      <c r="C1293" s="42" t="s">
        <v>4561</v>
      </c>
      <c r="D1293" s="42" t="s">
        <v>4561</v>
      </c>
      <c r="E1293" s="42" t="s">
        <v>4562</v>
      </c>
      <c r="F1293" s="42" t="s">
        <v>123</v>
      </c>
      <c r="G1293" s="119"/>
      <c r="H1293" s="21"/>
      <c r="I1293" s="22"/>
    </row>
    <row r="1294" spans="8:8" s="16" ht="16.5" customFormat="1">
      <c r="A1294" s="119"/>
      <c r="B1294" s="42" t="s">
        <v>4563</v>
      </c>
      <c r="C1294" s="42" t="s">
        <v>4564</v>
      </c>
      <c r="D1294" s="42" t="s">
        <v>4564</v>
      </c>
      <c r="E1294" s="42" t="s">
        <v>4565</v>
      </c>
      <c r="F1294" s="42" t="s">
        <v>123</v>
      </c>
      <c r="G1294" s="119"/>
      <c r="H1294" s="21"/>
      <c r="I1294" s="22"/>
    </row>
    <row r="1295" spans="8:8" s="16" ht="16.5" customFormat="1">
      <c r="A1295" s="119"/>
      <c r="B1295" s="42" t="s">
        <v>4566</v>
      </c>
      <c r="C1295" s="42" t="s">
        <v>4567</v>
      </c>
      <c r="D1295" s="42" t="s">
        <v>4568</v>
      </c>
      <c r="E1295" s="42" t="s">
        <v>4569</v>
      </c>
      <c r="F1295" s="42" t="s">
        <v>123</v>
      </c>
      <c r="G1295" s="119"/>
      <c r="H1295" s="21"/>
      <c r="I1295" s="22"/>
    </row>
    <row r="1296" spans="8:8" s="16" ht="16.5" customFormat="1">
      <c r="A1296" s="119"/>
      <c r="B1296" s="42" t="s">
        <v>4570</v>
      </c>
      <c r="C1296" s="42" t="s">
        <v>4571</v>
      </c>
      <c r="D1296" s="42" t="s">
        <v>4572</v>
      </c>
      <c r="E1296" s="42" t="s">
        <v>4573</v>
      </c>
      <c r="F1296" s="42" t="s">
        <v>123</v>
      </c>
      <c r="G1296" s="119"/>
      <c r="H1296" s="21"/>
      <c r="I1296" s="22"/>
    </row>
    <row r="1297" spans="8:8" s="16" ht="16.5" customFormat="1">
      <c r="A1297" s="119"/>
      <c r="B1297" s="42" t="s">
        <v>4574</v>
      </c>
      <c r="C1297" s="42" t="s">
        <v>4575</v>
      </c>
      <c r="D1297" s="42" t="s">
        <v>4576</v>
      </c>
      <c r="E1297" s="42" t="s">
        <v>4577</v>
      </c>
      <c r="F1297" s="42" t="s">
        <v>123</v>
      </c>
      <c r="G1297" s="119"/>
      <c r="H1297" s="21"/>
      <c r="I1297" s="22"/>
    </row>
    <row r="1298" spans="8:8" s="16" ht="33.0" customFormat="1">
      <c r="A1298" s="119"/>
      <c r="B1298" s="42" t="s">
        <v>4578</v>
      </c>
      <c r="C1298" s="42" t="s">
        <v>4579</v>
      </c>
      <c r="D1298" s="42" t="s">
        <v>4580</v>
      </c>
      <c r="E1298" s="42" t="s">
        <v>4581</v>
      </c>
      <c r="F1298" s="42" t="s">
        <v>3383</v>
      </c>
      <c r="G1298" s="119"/>
      <c r="H1298" s="21"/>
      <c r="I1298" s="22"/>
    </row>
    <row r="1299" spans="8:8" s="16" ht="49.5" customFormat="1">
      <c r="A1299" s="119"/>
      <c r="B1299" s="42" t="s">
        <v>4582</v>
      </c>
      <c r="C1299" s="42" t="s">
        <v>4583</v>
      </c>
      <c r="D1299" s="42" t="s">
        <v>4584</v>
      </c>
      <c r="E1299" s="42" t="s">
        <v>4585</v>
      </c>
      <c r="F1299" s="42" t="s">
        <v>851</v>
      </c>
      <c r="G1299" s="119"/>
      <c r="H1299" s="21"/>
      <c r="I1299" s="22"/>
    </row>
    <row r="1300" spans="8:8" s="16" ht="16.5" customFormat="1">
      <c r="A1300" s="119"/>
      <c r="B1300" s="42" t="s">
        <v>4586</v>
      </c>
      <c r="C1300" s="42" t="s">
        <v>4587</v>
      </c>
      <c r="D1300" s="42" t="s">
        <v>4588</v>
      </c>
      <c r="E1300" s="42" t="s">
        <v>4589</v>
      </c>
      <c r="F1300" s="42" t="s">
        <v>123</v>
      </c>
      <c r="G1300" s="119"/>
      <c r="H1300" s="21"/>
      <c r="I1300" s="22"/>
    </row>
    <row r="1301" spans="8:8" s="16" ht="16.5" customFormat="1">
      <c r="A1301" s="119"/>
      <c r="B1301" s="42" t="s">
        <v>4590</v>
      </c>
      <c r="C1301" s="42" t="s">
        <v>4591</v>
      </c>
      <c r="D1301" s="42" t="s">
        <v>4592</v>
      </c>
      <c r="E1301" s="42" t="s">
        <v>4593</v>
      </c>
      <c r="F1301" s="42" t="s">
        <v>43</v>
      </c>
      <c r="G1301" s="119"/>
      <c r="H1301" s="21"/>
      <c r="I1301" s="22"/>
    </row>
    <row r="1302" spans="8:8" s="16" ht="16.5" customFormat="1">
      <c r="A1302" s="119"/>
      <c r="B1302" s="42" t="s">
        <v>4594</v>
      </c>
      <c r="C1302" s="42" t="s">
        <v>4595</v>
      </c>
      <c r="D1302" s="42" t="s">
        <v>4596</v>
      </c>
      <c r="E1302" s="42" t="s">
        <v>4597</v>
      </c>
      <c r="F1302" s="42" t="s">
        <v>123</v>
      </c>
      <c r="G1302" s="119"/>
      <c r="H1302" s="21"/>
      <c r="I1302" s="22"/>
    </row>
    <row r="1303" spans="8:8" s="16" ht="16.5" customFormat="1">
      <c r="A1303" s="119"/>
      <c r="B1303" s="42" t="s">
        <v>4598</v>
      </c>
      <c r="C1303" s="42" t="s">
        <v>4599</v>
      </c>
      <c r="D1303" s="42" t="s">
        <v>4600</v>
      </c>
      <c r="E1303" s="42" t="s">
        <v>4601</v>
      </c>
      <c r="F1303" s="42" t="s">
        <v>123</v>
      </c>
      <c r="G1303" s="119"/>
      <c r="H1303" s="21"/>
      <c r="I1303" s="22"/>
    </row>
    <row r="1304" spans="8:8" s="16" ht="16.5" customFormat="1">
      <c r="A1304" s="119"/>
      <c r="B1304" s="42" t="s">
        <v>4602</v>
      </c>
      <c r="C1304" s="42" t="s">
        <v>4603</v>
      </c>
      <c r="D1304" s="42" t="s">
        <v>4604</v>
      </c>
      <c r="E1304" s="42" t="s">
        <v>4605</v>
      </c>
      <c r="F1304" s="42" t="s">
        <v>123</v>
      </c>
      <c r="G1304" s="119"/>
      <c r="H1304" s="21"/>
      <c r="I1304" s="22"/>
    </row>
    <row r="1305" spans="8:8" s="16" ht="16.5" customFormat="1">
      <c r="A1305" s="119"/>
      <c r="B1305" s="42" t="s">
        <v>874</v>
      </c>
      <c r="C1305" s="42" t="s">
        <v>4606</v>
      </c>
      <c r="D1305" s="42" t="s">
        <v>4606</v>
      </c>
      <c r="E1305" s="42" t="s">
        <v>4607</v>
      </c>
      <c r="F1305" s="42" t="s">
        <v>4608</v>
      </c>
      <c r="G1305" s="119"/>
      <c r="H1305" s="21"/>
      <c r="I1305" s="22"/>
    </row>
    <row r="1306" spans="8:8" s="16" ht="16.5" customFormat="1">
      <c r="A1306" s="119"/>
      <c r="B1306" s="42" t="s">
        <v>4609</v>
      </c>
      <c r="C1306" s="42" t="s">
        <v>4610</v>
      </c>
      <c r="D1306" s="42" t="s">
        <v>4610</v>
      </c>
      <c r="E1306" s="42" t="s">
        <v>4611</v>
      </c>
      <c r="F1306" s="42" t="s">
        <v>4608</v>
      </c>
      <c r="G1306" s="119"/>
      <c r="H1306" s="21"/>
      <c r="I1306" s="22"/>
    </row>
    <row r="1307" spans="8:8" s="16" ht="16.5" customFormat="1">
      <c r="A1307" s="119"/>
      <c r="B1307" s="42" t="s">
        <v>4612</v>
      </c>
      <c r="C1307" s="42" t="s">
        <v>4613</v>
      </c>
      <c r="D1307" s="42" t="s">
        <v>4613</v>
      </c>
      <c r="E1307" s="42" t="s">
        <v>4614</v>
      </c>
      <c r="F1307" s="42" t="s">
        <v>4608</v>
      </c>
      <c r="G1307" s="119"/>
      <c r="H1307" s="21"/>
      <c r="I1307" s="22"/>
    </row>
    <row r="1308" spans="8:8" s="16" ht="16.5" customFormat="1">
      <c r="A1308" s="119"/>
      <c r="B1308" s="42" t="s">
        <v>819</v>
      </c>
      <c r="C1308" s="42" t="s">
        <v>811</v>
      </c>
      <c r="D1308" s="42" t="s">
        <v>811</v>
      </c>
      <c r="E1308" s="42" t="s">
        <v>4615</v>
      </c>
      <c r="F1308" s="42" t="s">
        <v>4616</v>
      </c>
      <c r="G1308" s="119"/>
      <c r="H1308" s="21"/>
      <c r="I1308" s="22"/>
    </row>
    <row r="1309" spans="8:8" s="16" ht="16.5" customFormat="1">
      <c r="A1309" s="119"/>
      <c r="B1309" s="42" t="s">
        <v>4617</v>
      </c>
      <c r="C1309" s="42" t="s">
        <v>4618</v>
      </c>
      <c r="D1309" s="42" t="s">
        <v>4619</v>
      </c>
      <c r="E1309" s="42" t="s">
        <v>4620</v>
      </c>
      <c r="F1309" s="42" t="s">
        <v>123</v>
      </c>
      <c r="G1309" s="119"/>
      <c r="H1309" s="21"/>
      <c r="I1309" s="22"/>
    </row>
    <row r="1310" spans="8:8" s="16" ht="22.1" customFormat="1">
      <c r="A1310" s="119"/>
      <c r="B1310" s="42" t="s">
        <v>4621</v>
      </c>
      <c r="C1310" s="42" t="s">
        <v>10213</v>
      </c>
      <c r="D1310" s="42" t="s">
        <v>4623</v>
      </c>
      <c r="E1310" s="42" t="s">
        <v>4624</v>
      </c>
      <c r="F1310" s="42" t="s">
        <v>4616</v>
      </c>
      <c r="G1310" s="119"/>
      <c r="H1310" s="21"/>
      <c r="I1310" s="22"/>
    </row>
    <row r="1311" spans="8:8" s="16" ht="16.45" customFormat="1">
      <c r="A1311" s="119"/>
      <c r="B1311" s="42" t="s">
        <v>4625</v>
      </c>
      <c r="C1311" s="42" t="s">
        <v>4626</v>
      </c>
      <c r="D1311" s="42" t="s">
        <v>4627</v>
      </c>
      <c r="E1311" s="42" t="s">
        <v>4628</v>
      </c>
      <c r="F1311" s="42" t="s">
        <v>851</v>
      </c>
      <c r="G1311" s="119"/>
      <c r="H1311" s="21"/>
      <c r="I1311" s="22"/>
    </row>
    <row r="1312" spans="8:8" s="16" ht="16.5" customFormat="1">
      <c r="A1312" s="119"/>
      <c r="B1312" s="42" t="s">
        <v>4629</v>
      </c>
      <c r="C1312" s="42" t="s">
        <v>4630</v>
      </c>
      <c r="D1312" s="42" t="s">
        <v>4627</v>
      </c>
      <c r="E1312" s="42" t="s">
        <v>4631</v>
      </c>
      <c r="F1312" s="42" t="s">
        <v>43</v>
      </c>
      <c r="G1312" s="119"/>
      <c r="H1312" s="21"/>
      <c r="I1312" s="22"/>
    </row>
    <row r="1313" spans="8:8" s="16" ht="16.5" customFormat="1">
      <c r="A1313" s="119"/>
      <c r="B1313" s="42" t="s">
        <v>4632</v>
      </c>
      <c r="C1313" s="42" t="s">
        <v>4633</v>
      </c>
      <c r="D1313" s="42" t="s">
        <v>4633</v>
      </c>
      <c r="E1313" s="42" t="s">
        <v>4634</v>
      </c>
      <c r="F1313" s="42" t="s">
        <v>43</v>
      </c>
      <c r="G1313" s="119"/>
      <c r="H1313" s="21"/>
      <c r="I1313" s="22"/>
    </row>
    <row r="1314" spans="8:8" s="16" ht="16.5" customFormat="1">
      <c r="A1314" s="119"/>
      <c r="B1314" s="42" t="s">
        <v>4635</v>
      </c>
      <c r="C1314" s="42" t="s">
        <v>4636</v>
      </c>
      <c r="D1314" s="42" t="s">
        <v>4637</v>
      </c>
      <c r="E1314" s="42" t="s">
        <v>4638</v>
      </c>
      <c r="F1314" s="42" t="s">
        <v>4639</v>
      </c>
      <c r="G1314" s="119"/>
      <c r="H1314" s="21"/>
      <c r="I1314" s="22"/>
    </row>
    <row r="1315" spans="8:8" s="16" ht="16.5" customFormat="1">
      <c r="A1315" s="119"/>
      <c r="B1315" s="42" t="s">
        <v>4640</v>
      </c>
      <c r="C1315" s="42" t="s">
        <v>4641</v>
      </c>
      <c r="D1315" s="42" t="s">
        <v>4642</v>
      </c>
      <c r="E1315" s="42" t="s">
        <v>4643</v>
      </c>
      <c r="F1315" s="42" t="s">
        <v>4639</v>
      </c>
      <c r="G1315" s="119"/>
      <c r="H1315" s="21"/>
      <c r="I1315" s="22"/>
    </row>
    <row r="1316" spans="8:8" s="16" ht="16.5" customFormat="1">
      <c r="A1316" s="119"/>
      <c r="B1316" s="42" t="s">
        <v>953</v>
      </c>
      <c r="C1316" s="42" t="s">
        <v>4644</v>
      </c>
      <c r="D1316" s="42" t="s">
        <v>4645</v>
      </c>
      <c r="E1316" s="42" t="s">
        <v>4646</v>
      </c>
      <c r="F1316" s="42" t="s">
        <v>43</v>
      </c>
      <c r="G1316" s="119"/>
      <c r="H1316" s="21"/>
      <c r="I1316" s="22"/>
    </row>
    <row r="1317" spans="8:8" s="16" ht="16.5" customFormat="1">
      <c r="A1317" s="119"/>
      <c r="B1317" s="42" t="s">
        <v>4647</v>
      </c>
      <c r="C1317" s="42" t="s">
        <v>4648</v>
      </c>
      <c r="D1317" s="42" t="s">
        <v>4649</v>
      </c>
      <c r="E1317" s="42" t="s">
        <v>4650</v>
      </c>
      <c r="F1317" s="42" t="s">
        <v>123</v>
      </c>
      <c r="G1317" s="119"/>
      <c r="H1317" s="21"/>
      <c r="I1317" s="22"/>
    </row>
    <row r="1318" spans="8:8" s="16" ht="16.5" customFormat="1">
      <c r="A1318" s="119"/>
      <c r="B1318" s="42" t="s">
        <v>961</v>
      </c>
      <c r="C1318" s="42" t="s">
        <v>4651</v>
      </c>
      <c r="D1318" s="42" t="s">
        <v>4652</v>
      </c>
      <c r="E1318" s="42" t="s">
        <v>4653</v>
      </c>
      <c r="F1318" s="42" t="s">
        <v>43</v>
      </c>
      <c r="G1318" s="119"/>
      <c r="H1318" s="21"/>
      <c r="I1318" s="22"/>
    </row>
    <row r="1319" spans="8:8" s="16" ht="16.5" customFormat="1">
      <c r="A1319" s="119"/>
      <c r="B1319" s="42" t="s">
        <v>965</v>
      </c>
      <c r="C1319" s="42" t="s">
        <v>4654</v>
      </c>
      <c r="D1319" s="42" t="s">
        <v>4654</v>
      </c>
      <c r="E1319" s="42" t="s">
        <v>4655</v>
      </c>
      <c r="F1319" s="42" t="s">
        <v>43</v>
      </c>
      <c r="G1319" s="119"/>
      <c r="H1319" s="21"/>
      <c r="I1319" s="22"/>
    </row>
    <row r="1320" spans="8:8" s="16" ht="16.5" customFormat="1">
      <c r="A1320" s="119"/>
      <c r="B1320" s="42" t="s">
        <v>1818</v>
      </c>
      <c r="C1320" s="42" t="s">
        <v>1819</v>
      </c>
      <c r="D1320" s="42" t="s">
        <v>4656</v>
      </c>
      <c r="E1320" s="42" t="s">
        <v>4657</v>
      </c>
      <c r="F1320" s="42" t="s">
        <v>4639</v>
      </c>
      <c r="G1320" s="119"/>
      <c r="H1320" s="21"/>
      <c r="I1320" s="22"/>
    </row>
    <row r="1321" spans="8:8" s="16" ht="16.5" customFormat="1">
      <c r="A1321" s="119"/>
      <c r="B1321" s="42" t="s">
        <v>4658</v>
      </c>
      <c r="C1321" s="42" t="s">
        <v>4659</v>
      </c>
      <c r="D1321" s="42" t="s">
        <v>4660</v>
      </c>
      <c r="E1321" s="42" t="s">
        <v>4661</v>
      </c>
      <c r="F1321" s="42" t="s">
        <v>851</v>
      </c>
      <c r="G1321" s="119"/>
      <c r="H1321" s="21"/>
      <c r="I1321" s="22"/>
    </row>
    <row r="1322" spans="8:8" s="16" ht="16.5" customFormat="1">
      <c r="A1322" s="119"/>
      <c r="B1322" s="42" t="s">
        <v>852</v>
      </c>
      <c r="C1322" s="42" t="s">
        <v>853</v>
      </c>
      <c r="D1322" s="42" t="s">
        <v>4662</v>
      </c>
      <c r="E1322" s="42" t="s">
        <v>4663</v>
      </c>
      <c r="F1322" s="42" t="s">
        <v>1105</v>
      </c>
      <c r="G1322" s="119"/>
      <c r="H1322" s="21"/>
      <c r="I1322" s="22"/>
    </row>
    <row r="1323" spans="8:8" s="16" ht="16.5" customFormat="1">
      <c r="A1323" s="119"/>
      <c r="B1323" s="42" t="s">
        <v>2476</v>
      </c>
      <c r="C1323" s="42" t="s">
        <v>4664</v>
      </c>
      <c r="D1323" s="42" t="s">
        <v>4665</v>
      </c>
      <c r="E1323" s="42" t="s">
        <v>4666</v>
      </c>
      <c r="F1323" s="42" t="s">
        <v>851</v>
      </c>
      <c r="G1323" s="119"/>
      <c r="H1323" s="21"/>
      <c r="I1323" s="22"/>
    </row>
    <row r="1324" spans="8:8" s="16" ht="16.5" customFormat="1">
      <c r="A1324" s="119"/>
      <c r="B1324" s="42" t="s">
        <v>2480</v>
      </c>
      <c r="C1324" s="42" t="s">
        <v>4667</v>
      </c>
      <c r="D1324" s="42" t="s">
        <v>4665</v>
      </c>
      <c r="E1324" s="42" t="s">
        <v>4668</v>
      </c>
      <c r="F1324" s="42" t="s">
        <v>851</v>
      </c>
      <c r="G1324" s="119"/>
      <c r="H1324" s="21"/>
      <c r="I1324" s="22"/>
    </row>
    <row r="1325" spans="8:8" s="16" ht="16.5" customFormat="1">
      <c r="A1325" s="119"/>
      <c r="B1325" s="42" t="s">
        <v>2492</v>
      </c>
      <c r="C1325" s="42" t="s">
        <v>4669</v>
      </c>
      <c r="D1325" s="42" t="s">
        <v>4665</v>
      </c>
      <c r="E1325" s="42" t="s">
        <v>4670</v>
      </c>
      <c r="F1325" s="42" t="s">
        <v>4608</v>
      </c>
      <c r="G1325" s="119"/>
      <c r="H1325" s="21"/>
      <c r="I1325" s="22"/>
    </row>
    <row r="1326" spans="8:8" s="16" ht="16.5" customFormat="1">
      <c r="A1326" s="119"/>
      <c r="B1326" s="42" t="s">
        <v>2496</v>
      </c>
      <c r="C1326" s="42" t="s">
        <v>4671</v>
      </c>
      <c r="D1326" s="42" t="s">
        <v>4665</v>
      </c>
      <c r="E1326" s="42" t="s">
        <v>4672</v>
      </c>
      <c r="F1326" s="42" t="s">
        <v>4608</v>
      </c>
      <c r="G1326" s="119"/>
      <c r="H1326" s="21"/>
      <c r="I1326" s="22"/>
    </row>
    <row r="1327" spans="8:8" s="16" ht="16.5" customFormat="1">
      <c r="A1327" s="119"/>
      <c r="B1327" s="42" t="s">
        <v>2536</v>
      </c>
      <c r="C1327" s="42" t="s">
        <v>2537</v>
      </c>
      <c r="D1327" s="42" t="s">
        <v>4673</v>
      </c>
      <c r="E1327" s="42" t="s">
        <v>4674</v>
      </c>
      <c r="F1327" s="42" t="s">
        <v>851</v>
      </c>
      <c r="G1327" s="119"/>
      <c r="H1327" s="21"/>
      <c r="I1327" s="22"/>
    </row>
    <row r="1328" spans="8:8" s="16" ht="16.5" customFormat="1">
      <c r="A1328" s="119"/>
      <c r="B1328" s="42" t="s">
        <v>2549</v>
      </c>
      <c r="C1328" s="42" t="s">
        <v>2550</v>
      </c>
      <c r="D1328" s="42" t="s">
        <v>2550</v>
      </c>
      <c r="E1328" s="42" t="s">
        <v>4675</v>
      </c>
      <c r="F1328" s="42" t="s">
        <v>851</v>
      </c>
      <c r="G1328" s="119"/>
      <c r="H1328" s="21"/>
      <c r="I1328" s="22"/>
    </row>
    <row r="1329" spans="8:8" s="16" ht="16.5" customFormat="1">
      <c r="A1329" s="119"/>
      <c r="B1329" s="42" t="s">
        <v>2565</v>
      </c>
      <c r="C1329" s="42" t="s">
        <v>4676</v>
      </c>
      <c r="D1329" s="42" t="s">
        <v>4677</v>
      </c>
      <c r="E1329" s="42" t="s">
        <v>4678</v>
      </c>
      <c r="F1329" s="42" t="s">
        <v>4679</v>
      </c>
      <c r="G1329" s="119"/>
      <c r="H1329" s="21"/>
      <c r="I1329" s="22"/>
    </row>
    <row r="1330" spans="8:8" s="16" ht="16.5" customFormat="1">
      <c r="A1330" s="119"/>
      <c r="B1330" s="42" t="s">
        <v>3650</v>
      </c>
      <c r="C1330" s="42" t="s">
        <v>4680</v>
      </c>
      <c r="D1330" s="42" t="s">
        <v>4681</v>
      </c>
      <c r="E1330" s="42" t="s">
        <v>4682</v>
      </c>
      <c r="F1330" s="42" t="s">
        <v>123</v>
      </c>
      <c r="G1330" s="119"/>
      <c r="H1330" s="21"/>
      <c r="I1330" s="22"/>
    </row>
    <row r="1331" spans="8:8" s="16" ht="19.2" customFormat="1" customHeight="1">
      <c r="A1331" s="119"/>
      <c r="B1331" s="120" t="s">
        <v>2460</v>
      </c>
      <c r="C1331" s="120" t="s">
        <v>4683</v>
      </c>
      <c r="D1331" s="120" t="s">
        <v>4681</v>
      </c>
      <c r="E1331" s="120" t="s">
        <v>2463</v>
      </c>
      <c r="F1331" s="120" t="s">
        <v>123</v>
      </c>
      <c r="G1331" s="119"/>
      <c r="H1331" s="21"/>
      <c r="I1331" s="22"/>
    </row>
    <row r="1332" spans="8:8" s="16" ht="16.5" customFormat="1">
      <c r="A1332" s="119"/>
      <c r="B1332" s="42" t="s">
        <v>4684</v>
      </c>
      <c r="C1332" s="42" t="s">
        <v>4685</v>
      </c>
      <c r="D1332" s="42" t="s">
        <v>4686</v>
      </c>
      <c r="E1332" s="42" t="s">
        <v>4687</v>
      </c>
      <c r="F1332" s="42" t="s">
        <v>123</v>
      </c>
      <c r="G1332" s="119"/>
      <c r="H1332" s="21"/>
      <c r="I1332" s="22"/>
    </row>
    <row r="1333" spans="8:8" s="16" ht="16.5" customFormat="1">
      <c r="A1333" s="119"/>
      <c r="B1333" s="42" t="s">
        <v>4688</v>
      </c>
      <c r="C1333" s="42" t="s">
        <v>4689</v>
      </c>
      <c r="D1333" s="42" t="s">
        <v>4690</v>
      </c>
      <c r="E1333" s="42" t="s">
        <v>4691</v>
      </c>
      <c r="F1333" s="42" t="s">
        <v>2935</v>
      </c>
      <c r="G1333" s="119"/>
      <c r="H1333" s="21"/>
      <c r="I1333" s="22"/>
    </row>
    <row r="1334" spans="8:8" s="16" ht="16.5" customFormat="1">
      <c r="A1334" s="119"/>
      <c r="B1334" s="42" t="s">
        <v>4692</v>
      </c>
      <c r="C1334" s="42" t="s">
        <v>4693</v>
      </c>
      <c r="D1334" s="42" t="s">
        <v>4694</v>
      </c>
      <c r="E1334" s="42" t="s">
        <v>4695</v>
      </c>
      <c r="F1334" s="42" t="s">
        <v>4696</v>
      </c>
      <c r="G1334" s="119"/>
      <c r="H1334" s="21"/>
      <c r="I1334" s="22"/>
    </row>
    <row r="1335" spans="8:8" s="16" ht="16.5" customFormat="1">
      <c r="A1335" s="119"/>
      <c r="B1335" s="42" t="s">
        <v>4697</v>
      </c>
      <c r="C1335" s="42" t="s">
        <v>4698</v>
      </c>
      <c r="D1335" s="42" t="s">
        <v>4699</v>
      </c>
      <c r="E1335" s="42" t="s">
        <v>4700</v>
      </c>
      <c r="F1335" s="42" t="s">
        <v>1131</v>
      </c>
      <c r="G1335" s="119"/>
      <c r="H1335" s="21"/>
      <c r="I1335" s="22"/>
    </row>
    <row r="1336" spans="8:8" s="16" ht="16.5" customFormat="1">
      <c r="A1336" s="119"/>
      <c r="B1336" s="42" t="s">
        <v>4701</v>
      </c>
      <c r="C1336" s="42" t="s">
        <v>4702</v>
      </c>
      <c r="D1336" s="42" t="s">
        <v>4703</v>
      </c>
      <c r="E1336" s="42" t="s">
        <v>4704</v>
      </c>
      <c r="F1336" s="42" t="s">
        <v>4705</v>
      </c>
      <c r="G1336" s="119"/>
      <c r="H1336" s="21"/>
      <c r="I1336" s="22"/>
    </row>
    <row r="1337" spans="8:8" s="16" ht="16.5" customFormat="1">
      <c r="A1337" s="119"/>
      <c r="B1337" s="42" t="s">
        <v>4706</v>
      </c>
      <c r="C1337" s="42" t="s">
        <v>4707</v>
      </c>
      <c r="D1337" s="42" t="s">
        <v>4708</v>
      </c>
      <c r="E1337" s="42" t="s">
        <v>4709</v>
      </c>
      <c r="F1337" s="42" t="s">
        <v>4710</v>
      </c>
      <c r="G1337" s="119"/>
      <c r="H1337" s="21"/>
      <c r="I1337" s="22"/>
    </row>
    <row r="1338" spans="8:8" s="16" ht="16.5" customFormat="1">
      <c r="A1338" s="119"/>
      <c r="B1338" s="42" t="s">
        <v>932</v>
      </c>
      <c r="C1338" s="42" t="s">
        <v>933</v>
      </c>
      <c r="D1338" s="42" t="s">
        <v>933</v>
      </c>
      <c r="E1338" s="42" t="s">
        <v>4711</v>
      </c>
      <c r="F1338" s="42" t="s">
        <v>819</v>
      </c>
      <c r="G1338" s="119"/>
      <c r="H1338" s="21"/>
      <c r="I1338" s="22"/>
    </row>
    <row r="1339" spans="8:8" s="16" ht="16.5" customFormat="1">
      <c r="A1339" s="119"/>
      <c r="B1339" s="42" t="s">
        <v>936</v>
      </c>
      <c r="C1339" s="42" t="s">
        <v>4712</v>
      </c>
      <c r="D1339" s="42" t="s">
        <v>4712</v>
      </c>
      <c r="E1339" s="42" t="s">
        <v>4713</v>
      </c>
      <c r="F1339" s="42" t="s">
        <v>851</v>
      </c>
      <c r="G1339" s="119"/>
      <c r="H1339" s="21"/>
      <c r="I1339" s="22"/>
    </row>
    <row r="1340" spans="8:8" s="16" ht="16.5" customFormat="1">
      <c r="A1340" s="119"/>
      <c r="B1340" s="42" t="s">
        <v>940</v>
      </c>
      <c r="C1340" s="42" t="s">
        <v>4714</v>
      </c>
      <c r="D1340" s="42" t="s">
        <v>4714</v>
      </c>
      <c r="E1340" s="42" t="s">
        <v>4715</v>
      </c>
      <c r="F1340" s="42" t="s">
        <v>851</v>
      </c>
      <c r="G1340" s="119"/>
      <c r="H1340" s="21"/>
      <c r="I1340" s="22"/>
    </row>
    <row r="1341" spans="8:8" s="16" ht="16.5" customFormat="1">
      <c r="A1341" s="119"/>
      <c r="B1341" s="42" t="s">
        <v>1444</v>
      </c>
      <c r="C1341" s="42" t="s">
        <v>4716</v>
      </c>
      <c r="D1341" s="42" t="s">
        <v>4717</v>
      </c>
      <c r="E1341" s="42" t="s">
        <v>4718</v>
      </c>
      <c r="F1341" s="42" t="s">
        <v>1444</v>
      </c>
      <c r="G1341" s="119"/>
      <c r="H1341" s="21"/>
      <c r="I1341" s="22"/>
    </row>
    <row r="1342" spans="8:8" s="16" ht="16.5" customFormat="1">
      <c r="A1342" s="119"/>
      <c r="B1342" s="42" t="s">
        <v>2099</v>
      </c>
      <c r="C1342" s="42" t="s">
        <v>4719</v>
      </c>
      <c r="D1342" s="42" t="s">
        <v>4720</v>
      </c>
      <c r="E1342" s="42" t="s">
        <v>4721</v>
      </c>
      <c r="F1342" s="42" t="s">
        <v>4722</v>
      </c>
      <c r="G1342" s="119"/>
      <c r="H1342" s="21"/>
      <c r="I1342" s="22"/>
    </row>
    <row r="1343" spans="8:8" s="16" ht="16.5" customFormat="1">
      <c r="A1343" s="119"/>
      <c r="B1343" s="42" t="s">
        <v>4723</v>
      </c>
      <c r="C1343" s="42" t="s">
        <v>4724</v>
      </c>
      <c r="D1343" s="42" t="s">
        <v>4725</v>
      </c>
      <c r="E1343" s="42" t="s">
        <v>4726</v>
      </c>
      <c r="F1343" s="42" t="s">
        <v>851</v>
      </c>
      <c r="G1343" s="119"/>
      <c r="H1343" s="21"/>
      <c r="I1343" s="22"/>
    </row>
    <row r="1344" spans="8:8" s="16" ht="16.5" customFormat="1">
      <c r="A1344" s="119"/>
      <c r="B1344" s="42"/>
      <c r="C1344" s="42"/>
      <c r="D1344" s="42"/>
      <c r="E1344" s="42"/>
      <c r="F1344" s="42"/>
      <c r="G1344" s="119"/>
      <c r="H1344" s="21"/>
      <c r="I1344" s="22"/>
    </row>
    <row r="1345" spans="8:8" s="9" ht="29.25" customFormat="1">
      <c r="A1345" s="121"/>
      <c r="B1345" s="122" t="s">
        <v>4727</v>
      </c>
      <c r="C1345" s="122" t="s">
        <v>812</v>
      </c>
      <c r="D1345" s="122" t="s">
        <v>4728</v>
      </c>
      <c r="E1345" s="122"/>
      <c r="F1345" s="122"/>
      <c r="G1345" s="121"/>
      <c r="H1345" s="14"/>
      <c r="I1345" s="15"/>
    </row>
    <row r="1346" spans="8:8" s="9" ht="29.25" customFormat="1">
      <c r="A1346" s="121"/>
      <c r="B1346" s="122" t="s">
        <v>814</v>
      </c>
      <c r="C1346" s="122" t="s">
        <v>815</v>
      </c>
      <c r="D1346" s="122" t="s">
        <v>816</v>
      </c>
      <c r="E1346" s="122" t="s">
        <v>817</v>
      </c>
      <c r="F1346" s="122" t="s">
        <v>818</v>
      </c>
      <c r="G1346" s="121"/>
      <c r="H1346" s="14"/>
      <c r="I1346" s="15"/>
    </row>
    <row r="1347" spans="8:8" s="16" ht="16.5" customFormat="1">
      <c r="A1347" s="123"/>
      <c r="B1347" s="42"/>
      <c r="C1347" s="42"/>
      <c r="D1347" s="42" t="s">
        <v>4729</v>
      </c>
      <c r="E1347" s="42"/>
      <c r="F1347" s="42"/>
      <c r="G1347" s="123"/>
      <c r="H1347" s="21"/>
      <c r="I1347" s="22"/>
    </row>
    <row r="1348" spans="8:8" s="16" ht="16.5" customFormat="1">
      <c r="A1348" s="123"/>
      <c r="B1348" s="42"/>
      <c r="C1348" s="42"/>
      <c r="D1348" s="42" t="s">
        <v>4730</v>
      </c>
      <c r="E1348" s="42"/>
      <c r="F1348" s="42"/>
      <c r="G1348" s="123"/>
      <c r="H1348" s="21"/>
      <c r="I1348" s="22"/>
    </row>
    <row r="1349" spans="8:8" s="16" ht="16.5" customFormat="1">
      <c r="A1349" s="123"/>
      <c r="B1349" s="42"/>
      <c r="C1349" s="42"/>
      <c r="D1349" s="42" t="s">
        <v>4731</v>
      </c>
      <c r="E1349" s="42"/>
      <c r="F1349" s="42"/>
      <c r="G1349" s="123"/>
      <c r="H1349" s="21"/>
      <c r="I1349" s="22"/>
    </row>
    <row r="1350" spans="8:8" s="16" ht="16.5" customFormat="1">
      <c r="A1350" s="123"/>
      <c r="B1350" s="42" t="s">
        <v>4732</v>
      </c>
      <c r="C1350" s="42" t="s">
        <v>4733</v>
      </c>
      <c r="D1350" s="42" t="s">
        <v>4734</v>
      </c>
      <c r="E1350" s="42" t="s">
        <v>4735</v>
      </c>
      <c r="F1350" s="42"/>
      <c r="G1350" s="123"/>
      <c r="H1350" s="21"/>
      <c r="I1350" s="22"/>
    </row>
    <row r="1351" spans="8:8" s="16" ht="33.0" customFormat="1">
      <c r="A1351" s="123"/>
      <c r="B1351" s="42" t="s">
        <v>4736</v>
      </c>
      <c r="C1351" s="42" t="s">
        <v>4737</v>
      </c>
      <c r="D1351" s="42" t="s">
        <v>4738</v>
      </c>
      <c r="E1351" s="42" t="s">
        <v>4739</v>
      </c>
      <c r="F1351" s="42"/>
      <c r="G1351" s="123"/>
      <c r="H1351" s="21"/>
      <c r="I1351" s="22"/>
    </row>
    <row r="1352" spans="8:8" s="16" ht="16.5" customFormat="1">
      <c r="A1352" s="123"/>
      <c r="B1352" s="42" t="s">
        <v>4740</v>
      </c>
      <c r="C1352" s="42" t="s">
        <v>4741</v>
      </c>
      <c r="D1352" s="42" t="s">
        <v>4742</v>
      </c>
      <c r="E1352" s="42" t="s">
        <v>4743</v>
      </c>
      <c r="F1352" s="42"/>
      <c r="G1352" s="123"/>
      <c r="H1352" s="21"/>
      <c r="I1352" s="22"/>
    </row>
    <row r="1353" spans="8:8" s="16" ht="16.5" customFormat="1">
      <c r="A1353" s="123"/>
      <c r="B1353" s="42" t="s">
        <v>4744</v>
      </c>
      <c r="C1353" s="42" t="s">
        <v>4745</v>
      </c>
      <c r="D1353" s="42" t="s">
        <v>4746</v>
      </c>
      <c r="E1353" s="42" t="s">
        <v>4747</v>
      </c>
      <c r="F1353" s="42"/>
      <c r="G1353" s="123"/>
      <c r="H1353" s="21"/>
      <c r="I1353" s="22"/>
    </row>
    <row r="1354" spans="8:8" s="16" ht="18.75" customFormat="1" customHeight="1">
      <c r="A1354" s="123"/>
      <c r="B1354" s="42" t="s">
        <v>4748</v>
      </c>
      <c r="C1354" s="42" t="s">
        <v>4749</v>
      </c>
      <c r="D1354" s="42" t="s">
        <v>10117</v>
      </c>
      <c r="E1354" s="42" t="s">
        <v>4751</v>
      </c>
      <c r="F1354" s="42"/>
      <c r="G1354" s="123"/>
      <c r="H1354" s="21"/>
      <c r="I1354" s="22"/>
    </row>
    <row r="1355" spans="8:8" s="16" ht="19.35" customFormat="1" customHeight="1">
      <c r="A1355" s="123"/>
      <c r="B1355" s="42" t="s">
        <v>4752</v>
      </c>
      <c r="C1355" s="42" t="s">
        <v>4753</v>
      </c>
      <c r="D1355" s="42" t="s">
        <v>10118</v>
      </c>
      <c r="E1355" s="42" t="s">
        <v>4755</v>
      </c>
      <c r="F1355" s="42"/>
      <c r="G1355" s="123"/>
      <c r="H1355" s="21"/>
      <c r="I1355" s="22"/>
    </row>
    <row r="1356" spans="8:8" s="16" ht="33.0" customFormat="1">
      <c r="A1356" s="123"/>
      <c r="B1356" s="42" t="s">
        <v>4756</v>
      </c>
      <c r="C1356" s="42" t="s">
        <v>4756</v>
      </c>
      <c r="D1356" s="42" t="s">
        <v>4757</v>
      </c>
      <c r="E1356" s="42"/>
      <c r="F1356" s="42"/>
      <c r="G1356" s="123"/>
      <c r="H1356" s="21"/>
      <c r="I1356" s="22"/>
    </row>
    <row r="1357" spans="8:8" s="16" ht="57.1" customFormat="1">
      <c r="A1357" s="123"/>
      <c r="B1357" s="42" t="s">
        <v>4758</v>
      </c>
      <c r="C1357" s="42" t="s">
        <v>4759</v>
      </c>
      <c r="D1357" s="42" t="s">
        <v>10123</v>
      </c>
      <c r="E1357" s="42" t="s">
        <v>4761</v>
      </c>
      <c r="F1357" s="42"/>
      <c r="G1357" s="123"/>
      <c r="H1357" s="21"/>
      <c r="I1357" s="22"/>
    </row>
    <row r="1358" spans="8:8" s="16" ht="22.95" customFormat="1" customHeight="1">
      <c r="A1358" s="123"/>
      <c r="B1358" s="42"/>
      <c r="C1358" s="42"/>
      <c r="D1358" s="42"/>
      <c r="E1358" s="42"/>
      <c r="F1358" s="42"/>
      <c r="G1358" s="123"/>
      <c r="H1358" s="21"/>
      <c r="I1358" s="22"/>
    </row>
    <row r="1359" spans="8:8" s="9" ht="29.25" customFormat="1">
      <c r="A1359" s="124"/>
      <c r="B1359" s="125" t="s">
        <v>4762</v>
      </c>
      <c r="C1359" s="125" t="s">
        <v>812</v>
      </c>
      <c r="D1359" s="125" t="s">
        <v>4763</v>
      </c>
      <c r="E1359" s="125"/>
      <c r="F1359" s="125"/>
      <c r="G1359" s="124"/>
      <c r="H1359" s="14"/>
      <c r="I1359" s="15"/>
    </row>
    <row r="1360" spans="8:8" s="9" ht="29.25" customFormat="1">
      <c r="A1360" s="124"/>
      <c r="B1360" s="125" t="s">
        <v>4764</v>
      </c>
      <c r="C1360" s="125"/>
      <c r="D1360" s="125" t="s">
        <v>816</v>
      </c>
      <c r="E1360" s="125"/>
      <c r="F1360" s="125"/>
      <c r="G1360" s="124"/>
      <c r="H1360" s="14"/>
      <c r="I1360" s="15"/>
    </row>
    <row r="1361" spans="8:8" s="16" ht="16.5" customFormat="1">
      <c r="A1361" s="126"/>
      <c r="B1361" s="42"/>
      <c r="C1361" s="42"/>
      <c r="D1361" s="42" t="s">
        <v>4765</v>
      </c>
      <c r="E1361" s="42"/>
      <c r="F1361" s="42"/>
      <c r="G1361" s="126"/>
      <c r="H1361" s="21"/>
      <c r="I1361" s="22"/>
    </row>
    <row r="1362" spans="8:8" s="16" ht="33.0" customFormat="1">
      <c r="A1362" s="126"/>
      <c r="B1362" s="42" t="s">
        <v>4766</v>
      </c>
      <c r="C1362" s="42"/>
      <c r="D1362" s="42" t="s">
        <v>4767</v>
      </c>
      <c r="E1362" s="42" t="s">
        <v>4768</v>
      </c>
      <c r="F1362" s="42"/>
      <c r="G1362" s="126"/>
      <c r="H1362" s="21"/>
      <c r="I1362" s="22"/>
    </row>
    <row r="1363" spans="8:8" s="16" ht="16.5" customFormat="1">
      <c r="A1363" s="126"/>
      <c r="B1363" s="127" t="s">
        <v>906</v>
      </c>
      <c r="C1363" s="127" t="s">
        <v>906</v>
      </c>
      <c r="D1363" s="127" t="s">
        <v>4769</v>
      </c>
      <c r="E1363" s="127" t="s">
        <v>906</v>
      </c>
      <c r="F1363" s="127" t="s">
        <v>906</v>
      </c>
      <c r="G1363" s="126"/>
      <c r="H1363" s="21"/>
      <c r="I1363" s="22"/>
    </row>
    <row r="1364" spans="8:8" s="16" ht="16.5" customFormat="1">
      <c r="A1364" s="126"/>
      <c r="B1364" s="42" t="s">
        <v>3655</v>
      </c>
      <c r="C1364" s="42" t="s">
        <v>4770</v>
      </c>
      <c r="D1364" s="42" t="s">
        <v>4771</v>
      </c>
      <c r="E1364" s="42"/>
      <c r="F1364" s="42"/>
      <c r="G1364" s="126"/>
      <c r="H1364" s="21"/>
      <c r="I1364" s="22"/>
    </row>
    <row r="1365" spans="8:8" s="16" ht="16.5" customFormat="1">
      <c r="A1365" s="126"/>
      <c r="B1365" s="127" t="s">
        <v>906</v>
      </c>
      <c r="C1365" s="127" t="s">
        <v>906</v>
      </c>
      <c r="D1365" s="127" t="s">
        <v>4772</v>
      </c>
      <c r="E1365" s="127" t="s">
        <v>906</v>
      </c>
      <c r="F1365" s="127" t="s">
        <v>906</v>
      </c>
      <c r="G1365" s="126"/>
      <c r="H1365" s="21"/>
      <c r="I1365" s="22"/>
    </row>
    <row r="1366" spans="8:8" s="16" ht="13.5" customFormat="1">
      <c r="A1366" s="126"/>
      <c r="B1366" s="42" t="s">
        <v>4773</v>
      </c>
      <c r="C1366" s="42" t="s">
        <v>4774</v>
      </c>
      <c r="D1366" s="42" t="s">
        <v>4775</v>
      </c>
      <c r="E1366" s="42" t="s">
        <v>4776</v>
      </c>
      <c r="F1366" s="42"/>
      <c r="G1366" s="126"/>
      <c r="H1366" s="21"/>
      <c r="I1366" s="22"/>
    </row>
    <row r="1367" spans="8:8" s="16" ht="14.6" customFormat="1">
      <c r="A1367" s="126"/>
      <c r="B1367" s="42" t="s">
        <v>4777</v>
      </c>
      <c r="C1367" s="42" t="s">
        <v>10215</v>
      </c>
      <c r="D1367" s="42" t="s">
        <v>4779</v>
      </c>
      <c r="E1367" s="42" t="s">
        <v>4780</v>
      </c>
      <c r="F1367" s="42"/>
      <c r="G1367" s="126"/>
      <c r="H1367" s="21"/>
      <c r="I1367" s="22"/>
    </row>
    <row r="1368" spans="8:8" s="16" ht="33.0" customFormat="1">
      <c r="A1368" s="126"/>
      <c r="B1368" s="42" t="s">
        <v>4781</v>
      </c>
      <c r="C1368" s="42" t="s">
        <v>4782</v>
      </c>
      <c r="D1368" s="42" t="s">
        <v>4783</v>
      </c>
      <c r="E1368" s="42" t="s">
        <v>4784</v>
      </c>
      <c r="F1368" s="42"/>
      <c r="G1368" s="126"/>
      <c r="H1368" s="21"/>
      <c r="I1368" s="22"/>
    </row>
    <row r="1369" spans="8:8" s="16" ht="33.0" customFormat="1">
      <c r="A1369" s="128"/>
      <c r="B1369" s="42" t="s">
        <v>4785</v>
      </c>
      <c r="C1369" s="42" t="s">
        <v>4786</v>
      </c>
      <c r="D1369" s="42" t="s">
        <v>4787</v>
      </c>
      <c r="E1369" s="42" t="s">
        <v>4788</v>
      </c>
      <c r="F1369" s="42"/>
      <c r="G1369" s="128"/>
      <c r="H1369" s="21"/>
      <c r="I1369" s="22"/>
    </row>
    <row r="1370" spans="8:8" s="16" ht="33.0" customFormat="1">
      <c r="A1370" s="128"/>
      <c r="B1370" s="42" t="s">
        <v>4789</v>
      </c>
      <c r="C1370" s="42" t="s">
        <v>4790</v>
      </c>
      <c r="D1370" s="42" t="s">
        <v>4791</v>
      </c>
      <c r="E1370" s="42" t="s">
        <v>4792</v>
      </c>
      <c r="F1370" s="42"/>
      <c r="G1370" s="128"/>
      <c r="H1370" s="21"/>
      <c r="I1370" s="22"/>
    </row>
    <row r="1371" spans="8:8" s="16" ht="16.5" customFormat="1">
      <c r="A1371" s="126"/>
      <c r="B1371" s="127" t="s">
        <v>906</v>
      </c>
      <c r="C1371" s="127" t="s">
        <v>906</v>
      </c>
      <c r="D1371" s="127" t="s">
        <v>4793</v>
      </c>
      <c r="E1371" s="127" t="s">
        <v>906</v>
      </c>
      <c r="F1371" s="127" t="s">
        <v>906</v>
      </c>
      <c r="G1371" s="126"/>
      <c r="H1371" s="21"/>
      <c r="I1371" s="22"/>
    </row>
    <row r="1372" spans="8:8" s="16" ht="16.5" customFormat="1">
      <c r="A1372" s="126"/>
      <c r="B1372" s="42" t="s">
        <v>4794</v>
      </c>
      <c r="C1372" s="42" t="s">
        <v>4795</v>
      </c>
      <c r="D1372" s="42" t="s">
        <v>4796</v>
      </c>
      <c r="E1372" s="42"/>
      <c r="F1372" s="42" t="s">
        <v>851</v>
      </c>
      <c r="G1372" s="126"/>
      <c r="H1372" s="21"/>
      <c r="I1372" s="22"/>
    </row>
    <row r="1373" spans="8:8" s="16" ht="16.5" customFormat="1">
      <c r="A1373" s="126"/>
      <c r="B1373" s="42" t="s">
        <v>4797</v>
      </c>
      <c r="C1373" s="42" t="s">
        <v>4798</v>
      </c>
      <c r="D1373" s="42" t="s">
        <v>4796</v>
      </c>
      <c r="E1373" s="42"/>
      <c r="F1373" s="42" t="s">
        <v>851</v>
      </c>
      <c r="G1373" s="126"/>
      <c r="H1373" s="21"/>
      <c r="I1373" s="22"/>
    </row>
    <row r="1374" spans="8:8" s="16" ht="33.0" customFormat="1">
      <c r="A1374" s="126"/>
      <c r="B1374" s="129" t="s">
        <v>4799</v>
      </c>
      <c r="C1374" s="129"/>
      <c r="D1374" s="129"/>
      <c r="E1374" s="129"/>
      <c r="F1374" s="129"/>
      <c r="G1374" s="126"/>
      <c r="H1374" s="21"/>
      <c r="I1374" s="22"/>
    </row>
    <row r="1375" spans="8:8" s="16" ht="16.15" customFormat="1">
      <c r="A1375" s="126"/>
      <c r="B1375" s="42" t="s">
        <v>4800</v>
      </c>
      <c r="C1375" s="42" t="s">
        <v>4801</v>
      </c>
      <c r="D1375" s="42" t="s">
        <v>10098</v>
      </c>
      <c r="E1375" s="42"/>
      <c r="F1375" s="42" t="s">
        <v>123</v>
      </c>
      <c r="G1375" s="126"/>
      <c r="H1375" s="21"/>
      <c r="I1375" s="22"/>
    </row>
    <row r="1376" spans="8:8" s="16" ht="16.5" customFormat="1">
      <c r="A1376" s="126"/>
      <c r="B1376" s="42" t="s">
        <v>4802</v>
      </c>
      <c r="C1376" s="42" t="s">
        <v>4803</v>
      </c>
      <c r="D1376" s="42" t="s">
        <v>4796</v>
      </c>
      <c r="E1376" s="42"/>
      <c r="F1376" s="42" t="s">
        <v>123</v>
      </c>
      <c r="G1376" s="126"/>
      <c r="H1376" s="21"/>
      <c r="I1376" s="22"/>
    </row>
    <row r="1377" spans="8:8" s="16" ht="30.1" customFormat="1" customHeight="1">
      <c r="A1377" s="130"/>
      <c r="B1377" s="131" t="s">
        <v>4804</v>
      </c>
      <c r="C1377" s="131" t="s">
        <v>4805</v>
      </c>
      <c r="D1377" s="131" t="s">
        <v>4806</v>
      </c>
      <c r="E1377" s="131"/>
      <c r="F1377" s="131"/>
      <c r="G1377" s="130"/>
      <c r="H1377" s="21"/>
      <c r="I1377" s="22"/>
    </row>
    <row r="1378" spans="8:8" s="16" ht="29.25" customFormat="1">
      <c r="A1378" s="130"/>
      <c r="B1378" s="131" t="s">
        <v>814</v>
      </c>
      <c r="C1378" s="131" t="s">
        <v>4807</v>
      </c>
      <c r="D1378" s="131" t="s">
        <v>816</v>
      </c>
      <c r="E1378" s="131" t="s">
        <v>817</v>
      </c>
      <c r="F1378" s="131" t="s">
        <v>818</v>
      </c>
      <c r="G1378" s="130"/>
      <c r="H1378" s="21"/>
      <c r="I1378" s="22"/>
    </row>
    <row r="1379" spans="8:8" s="16" ht="16.5" customFormat="1">
      <c r="A1379" s="130"/>
      <c r="B1379" s="42" t="s">
        <v>4808</v>
      </c>
      <c r="C1379" s="42" t="s">
        <v>4809</v>
      </c>
      <c r="D1379" s="42" t="s">
        <v>4810</v>
      </c>
      <c r="E1379" s="42" t="s">
        <v>4811</v>
      </c>
      <c r="F1379" s="42" t="s">
        <v>869</v>
      </c>
      <c r="G1379" s="130"/>
      <c r="H1379" s="21"/>
      <c r="I1379" s="22"/>
    </row>
    <row r="1380" spans="8:8" s="16" ht="16.5" customFormat="1">
      <c r="A1380" s="130"/>
      <c r="B1380" s="42" t="s">
        <v>2764</v>
      </c>
      <c r="C1380" s="42" t="s">
        <v>816</v>
      </c>
      <c r="D1380" s="42" t="s">
        <v>4812</v>
      </c>
      <c r="E1380" s="42" t="s">
        <v>4813</v>
      </c>
      <c r="F1380" s="42" t="s">
        <v>869</v>
      </c>
      <c r="G1380" s="130"/>
      <c r="H1380" s="21"/>
      <c r="I1380" s="22"/>
    </row>
    <row r="1381" spans="8:8" s="16" ht="14.6" customFormat="1">
      <c r="A1381" s="130"/>
      <c r="B1381" s="42" t="s">
        <v>1122</v>
      </c>
      <c r="C1381" s="42" t="s">
        <v>1526</v>
      </c>
      <c r="D1381" s="42" t="s">
        <v>10183</v>
      </c>
      <c r="E1381" s="42" t="s">
        <v>4815</v>
      </c>
      <c r="F1381" s="42" t="s">
        <v>4816</v>
      </c>
      <c r="G1381" s="130"/>
      <c r="H1381" s="21"/>
      <c r="I1381" s="22"/>
    </row>
    <row r="1382" spans="8:8" s="16" ht="17.2" customFormat="1" customHeight="1">
      <c r="A1382" s="130"/>
      <c r="B1382" s="42" t="s">
        <v>4817</v>
      </c>
      <c r="C1382" s="42" t="s">
        <v>4818</v>
      </c>
      <c r="D1382" s="42" t="s">
        <v>10162</v>
      </c>
      <c r="E1382" s="42" t="s">
        <v>4820</v>
      </c>
      <c r="F1382" s="42" t="s">
        <v>4821</v>
      </c>
      <c r="G1382" s="130"/>
      <c r="H1382" s="21"/>
      <c r="I1382" s="22"/>
    </row>
    <row r="1383" spans="8:8" s="16" ht="16.5" customFormat="1">
      <c r="A1383" s="130"/>
      <c r="B1383" s="42" t="s">
        <v>4822</v>
      </c>
      <c r="C1383" s="42" t="s">
        <v>4823</v>
      </c>
      <c r="D1383" s="42" t="s">
        <v>4824</v>
      </c>
      <c r="E1383" s="42" t="s">
        <v>4825</v>
      </c>
      <c r="F1383" s="42" t="s">
        <v>819</v>
      </c>
      <c r="G1383" s="130"/>
      <c r="H1383" s="21"/>
      <c r="I1383" s="22"/>
    </row>
    <row r="1384" spans="8:8" s="16" ht="16.5" customFormat="1">
      <c r="A1384" s="130"/>
      <c r="B1384" s="42"/>
      <c r="C1384" s="42"/>
      <c r="D1384" s="42"/>
      <c r="E1384" s="42"/>
      <c r="F1384" s="42"/>
      <c r="G1384" s="130"/>
      <c r="H1384" s="21"/>
      <c r="I1384" s="22"/>
    </row>
    <row r="1385" spans="8:8" s="16" ht="35.45" customFormat="1" customHeight="1">
      <c r="A1385" s="130"/>
      <c r="B1385" s="131" t="s">
        <v>4826</v>
      </c>
      <c r="C1385" s="131" t="s">
        <v>4805</v>
      </c>
      <c r="D1385" s="131" t="s">
        <v>4827</v>
      </c>
      <c r="E1385" s="131"/>
      <c r="F1385" s="131"/>
      <c r="G1385" s="130"/>
      <c r="H1385" s="21"/>
      <c r="I1385" s="22"/>
    </row>
    <row r="1386" spans="8:8" s="16" ht="29.25" customFormat="1">
      <c r="A1386" s="130"/>
      <c r="B1386" s="131" t="s">
        <v>814</v>
      </c>
      <c r="C1386" s="131" t="s">
        <v>4807</v>
      </c>
      <c r="D1386" s="131" t="s">
        <v>816</v>
      </c>
      <c r="E1386" s="131" t="s">
        <v>817</v>
      </c>
      <c r="F1386" s="131" t="s">
        <v>818</v>
      </c>
      <c r="G1386" s="130"/>
      <c r="H1386" s="21"/>
      <c r="I1386" s="22"/>
    </row>
    <row r="1387" spans="8:8" s="16" ht="16.5" customFormat="1">
      <c r="A1387" s="130"/>
      <c r="B1387" s="42" t="s">
        <v>4828</v>
      </c>
      <c r="C1387" s="42" t="s">
        <v>4829</v>
      </c>
      <c r="D1387" s="42" t="s">
        <v>4830</v>
      </c>
      <c r="E1387" s="42" t="s">
        <v>4831</v>
      </c>
      <c r="F1387" s="42" t="s">
        <v>4832</v>
      </c>
      <c r="G1387" s="130"/>
      <c r="H1387" s="21"/>
      <c r="I1387" s="22"/>
    </row>
    <row r="1388" spans="8:8" s="16" ht="14.6" customFormat="1">
      <c r="A1388" s="130"/>
      <c r="B1388" s="42" t="s">
        <v>4833</v>
      </c>
      <c r="C1388" s="42" t="s">
        <v>4834</v>
      </c>
      <c r="D1388" s="42" t="s">
        <v>10181</v>
      </c>
      <c r="E1388" s="42" t="s">
        <v>4836</v>
      </c>
      <c r="F1388" s="42" t="s">
        <v>123</v>
      </c>
      <c r="G1388" s="130"/>
      <c r="H1388" s="21"/>
      <c r="I1388" s="22"/>
    </row>
    <row r="1389" spans="8:8" s="16" ht="14.6" customFormat="1">
      <c r="A1389" s="130"/>
      <c r="B1389" s="42" t="s">
        <v>10176</v>
      </c>
      <c r="C1389" s="42" t="s">
        <v>10177</v>
      </c>
      <c r="D1389" s="42" t="s">
        <v>10180</v>
      </c>
      <c r="E1389" s="42" t="s">
        <v>10182</v>
      </c>
      <c r="F1389" s="42" t="s">
        <v>123</v>
      </c>
      <c r="G1389" s="130"/>
      <c r="H1389" s="21"/>
      <c r="I1389" s="22"/>
    </row>
    <row r="1390" spans="8:8" s="16" ht="16.5" customFormat="1">
      <c r="A1390" s="130"/>
      <c r="B1390" s="42"/>
      <c r="C1390" s="42"/>
      <c r="D1390" s="42"/>
      <c r="E1390" s="42"/>
      <c r="F1390" s="42"/>
      <c r="G1390" s="130"/>
      <c r="H1390" s="21"/>
      <c r="I1390" s="22"/>
    </row>
    <row r="1391" spans="8:8" s="16" ht="28.35" customFormat="1" customHeight="1">
      <c r="A1391" s="130"/>
      <c r="B1391" s="131" t="s">
        <v>4837</v>
      </c>
      <c r="C1391" s="131"/>
      <c r="D1391" s="131"/>
      <c r="E1391" s="131"/>
      <c r="F1391" s="131"/>
      <c r="G1391" s="130"/>
      <c r="H1391" s="21"/>
      <c r="I1391" s="22"/>
    </row>
    <row r="1392" spans="8:8" s="16" ht="29.25" customFormat="1">
      <c r="A1392" s="130"/>
      <c r="B1392" s="131" t="s">
        <v>4838</v>
      </c>
      <c r="C1392" s="131"/>
      <c r="D1392" s="131"/>
      <c r="E1392" s="131"/>
      <c r="F1392" s="131"/>
      <c r="G1392" s="130"/>
      <c r="H1392" s="21"/>
      <c r="I1392" s="22"/>
    </row>
    <row r="1393" spans="8:8" s="16" ht="16.5" customFormat="1">
      <c r="A1393" s="126"/>
      <c r="B1393" s="42"/>
      <c r="C1393" s="42"/>
      <c r="D1393" s="42"/>
      <c r="E1393" s="42"/>
      <c r="F1393" s="42"/>
      <c r="G1393" s="126"/>
      <c r="H1393" s="21"/>
      <c r="I1393" s="22"/>
    </row>
    <row r="1394" spans="8:8" s="16" ht="33.0" customFormat="1">
      <c r="A1394" s="126"/>
      <c r="B1394" s="132" t="s">
        <v>4839</v>
      </c>
      <c r="C1394" s="132" t="s">
        <v>4840</v>
      </c>
      <c r="D1394" s="132"/>
      <c r="E1394" s="132"/>
      <c r="F1394" s="132"/>
      <c r="G1394" s="126"/>
      <c r="H1394" s="21"/>
      <c r="I1394" s="22"/>
    </row>
    <row r="1395" spans="8:8" s="16" ht="16.5" customFormat="1">
      <c r="A1395" s="126"/>
      <c r="B1395" s="42" t="s">
        <v>4841</v>
      </c>
      <c r="C1395" s="42" t="s">
        <v>4842</v>
      </c>
      <c r="D1395" s="42"/>
      <c r="E1395" s="42"/>
      <c r="F1395" s="42" t="s">
        <v>851</v>
      </c>
      <c r="G1395" s="126"/>
      <c r="H1395" s="21"/>
      <c r="I1395" s="22"/>
    </row>
    <row r="1396" spans="8:8" s="16" ht="16.5" customFormat="1">
      <c r="A1396" s="126"/>
      <c r="B1396" s="42" t="s">
        <v>4843</v>
      </c>
      <c r="C1396" s="42" t="s">
        <v>4844</v>
      </c>
      <c r="D1396" s="42"/>
      <c r="E1396" s="42"/>
      <c r="F1396" s="42" t="s">
        <v>1105</v>
      </c>
      <c r="G1396" s="126"/>
      <c r="H1396" s="21"/>
      <c r="I1396" s="22"/>
    </row>
    <row r="1397" spans="8:8" s="16" ht="16.5" customFormat="1">
      <c r="A1397" s="126"/>
      <c r="B1397" s="42" t="s">
        <v>4845</v>
      </c>
      <c r="C1397" s="42" t="s">
        <v>4846</v>
      </c>
      <c r="D1397" s="42"/>
      <c r="E1397" s="42"/>
      <c r="F1397" s="42" t="s">
        <v>123</v>
      </c>
      <c r="G1397" s="126"/>
      <c r="H1397" s="21"/>
      <c r="I1397" s="22"/>
    </row>
    <row r="1398" spans="8:8" s="16" ht="16.5" customFormat="1">
      <c r="A1398" s="126"/>
      <c r="B1398" s="42" t="s">
        <v>4847</v>
      </c>
      <c r="C1398" s="42" t="s">
        <v>4848</v>
      </c>
      <c r="D1398" s="42"/>
      <c r="E1398" s="42"/>
      <c r="F1398" s="42" t="s">
        <v>123</v>
      </c>
      <c r="G1398" s="126"/>
      <c r="H1398" s="21"/>
      <c r="I1398" s="22"/>
    </row>
    <row r="1399" spans="8:8" s="16" ht="16.5" customFormat="1">
      <c r="A1399" s="126"/>
      <c r="B1399" s="42" t="s">
        <v>4849</v>
      </c>
      <c r="C1399" s="42" t="s">
        <v>4850</v>
      </c>
      <c r="D1399" s="42"/>
      <c r="E1399" s="42"/>
      <c r="F1399" s="42" t="s">
        <v>1122</v>
      </c>
      <c r="G1399" s="126"/>
      <c r="H1399" s="21"/>
      <c r="I1399" s="22"/>
    </row>
    <row r="1400" spans="8:8" s="16" ht="16.5" customFormat="1">
      <c r="A1400" s="126"/>
      <c r="B1400" s="42" t="s">
        <v>4851</v>
      </c>
      <c r="C1400" s="42" t="s">
        <v>4852</v>
      </c>
      <c r="D1400" s="42"/>
      <c r="E1400" s="42"/>
      <c r="F1400" s="42" t="s">
        <v>123</v>
      </c>
      <c r="G1400" s="126"/>
      <c r="H1400" s="21"/>
      <c r="I1400" s="22"/>
    </row>
    <row r="1401" spans="8:8" s="16" ht="16.5" customFormat="1">
      <c r="A1401" s="126"/>
      <c r="B1401" s="42" t="s">
        <v>4853</v>
      </c>
      <c r="C1401" s="42" t="s">
        <v>4854</v>
      </c>
      <c r="D1401" s="42"/>
      <c r="E1401" s="42"/>
      <c r="F1401" s="42" t="s">
        <v>43</v>
      </c>
      <c r="G1401" s="126"/>
      <c r="H1401" s="21"/>
      <c r="I1401" s="22"/>
    </row>
    <row r="1402" spans="8:8" s="16" ht="16.5" customFormat="1">
      <c r="A1402" s="126"/>
      <c r="B1402" s="42" t="s">
        <v>4855</v>
      </c>
      <c r="C1402" s="42" t="s">
        <v>4856</v>
      </c>
      <c r="D1402" s="42"/>
      <c r="E1402" s="42"/>
      <c r="F1402" s="42"/>
      <c r="G1402" s="126"/>
      <c r="H1402" s="21"/>
      <c r="I1402" s="22"/>
    </row>
    <row r="1403" spans="8:8" s="16" ht="16.5" customFormat="1">
      <c r="A1403" s="126"/>
      <c r="B1403" s="42" t="s">
        <v>4857</v>
      </c>
      <c r="C1403" s="42" t="s">
        <v>4858</v>
      </c>
      <c r="D1403" s="42"/>
      <c r="E1403" s="42"/>
      <c r="F1403" s="42"/>
      <c r="G1403" s="126"/>
      <c r="H1403" s="21"/>
      <c r="I1403" s="22"/>
    </row>
    <row r="1404" spans="8:8" s="16" ht="16.5" customFormat="1">
      <c r="A1404" s="126"/>
      <c r="B1404" s="42" t="s">
        <v>4859</v>
      </c>
      <c r="C1404" s="42" t="s">
        <v>4860</v>
      </c>
      <c r="D1404" s="42"/>
      <c r="E1404" s="42"/>
      <c r="F1404" s="42"/>
      <c r="G1404" s="126"/>
      <c r="H1404" s="21"/>
      <c r="I1404" s="22"/>
    </row>
    <row r="1405" spans="8:8" s="16" ht="16.5" customFormat="1">
      <c r="A1405" s="126"/>
      <c r="B1405" s="42" t="s">
        <v>4861</v>
      </c>
      <c r="C1405" s="42" t="s">
        <v>4862</v>
      </c>
      <c r="D1405" s="42"/>
      <c r="E1405" s="42"/>
      <c r="F1405" s="42"/>
      <c r="G1405" s="126"/>
      <c r="H1405" s="21"/>
      <c r="I1405" s="22"/>
    </row>
    <row r="1406" spans="8:8" s="16" ht="16.5" customFormat="1">
      <c r="A1406" s="126"/>
      <c r="B1406" s="42" t="s">
        <v>4863</v>
      </c>
      <c r="C1406" s="42" t="s">
        <v>4864</v>
      </c>
      <c r="D1406" s="42"/>
      <c r="E1406" s="42"/>
      <c r="F1406" s="42"/>
      <c r="G1406" s="126"/>
      <c r="H1406" s="21"/>
      <c r="I1406" s="22"/>
    </row>
    <row r="1407" spans="8:8" s="16" ht="16.5" customFormat="1">
      <c r="A1407" s="126"/>
      <c r="B1407" s="42" t="s">
        <v>4865</v>
      </c>
      <c r="C1407" s="42" t="s">
        <v>4866</v>
      </c>
      <c r="D1407" s="42"/>
      <c r="E1407" s="42"/>
      <c r="F1407" s="42"/>
      <c r="G1407" s="126"/>
      <c r="H1407" s="21"/>
      <c r="I1407" s="22"/>
    </row>
    <row r="1408" spans="8:8" s="16" ht="16.5" customFormat="1">
      <c r="A1408" s="126"/>
      <c r="B1408" s="42" t="s">
        <v>4867</v>
      </c>
      <c r="C1408" s="42" t="s">
        <v>4868</v>
      </c>
      <c r="D1408" s="42"/>
      <c r="E1408" s="42"/>
      <c r="F1408" s="42"/>
      <c r="G1408" s="126"/>
      <c r="H1408" s="21"/>
      <c r="I1408" s="22"/>
    </row>
    <row r="1409" spans="8:8" s="16" ht="16.5" customFormat="1">
      <c r="A1409" s="126"/>
      <c r="B1409" s="42" t="s">
        <v>4869</v>
      </c>
      <c r="C1409" s="42" t="s">
        <v>4870</v>
      </c>
      <c r="D1409" s="42"/>
      <c r="E1409" s="42"/>
      <c r="F1409" s="42"/>
      <c r="G1409" s="126"/>
      <c r="H1409" s="21"/>
      <c r="I1409" s="22"/>
    </row>
    <row r="1410" spans="8:8" s="16" ht="16.5" customFormat="1">
      <c r="A1410" s="126"/>
      <c r="B1410" s="42" t="s">
        <v>4871</v>
      </c>
      <c r="C1410" s="42" t="s">
        <v>4872</v>
      </c>
      <c r="D1410" s="42"/>
      <c r="E1410" s="42"/>
      <c r="F1410" s="42"/>
      <c r="G1410" s="126"/>
      <c r="H1410" s="21"/>
      <c r="I1410" s="22"/>
    </row>
    <row r="1411" spans="8:8" s="16" ht="16.5" customFormat="1">
      <c r="A1411" s="126"/>
      <c r="B1411" s="42" t="s">
        <v>4873</v>
      </c>
      <c r="C1411" s="42" t="s">
        <v>4874</v>
      </c>
      <c r="D1411" s="42"/>
      <c r="E1411" s="42"/>
      <c r="F1411" s="42"/>
      <c r="G1411" s="126"/>
      <c r="H1411" s="21"/>
      <c r="I1411" s="22"/>
    </row>
    <row r="1412" spans="8:8" s="16" ht="16.5" customFormat="1">
      <c r="A1412" s="126"/>
      <c r="B1412" s="42" t="s">
        <v>4875</v>
      </c>
      <c r="C1412" s="42" t="s">
        <v>4876</v>
      </c>
      <c r="D1412" s="42"/>
      <c r="E1412" s="42"/>
      <c r="F1412" s="42"/>
      <c r="G1412" s="126"/>
      <c r="H1412" s="21"/>
      <c r="I1412" s="22"/>
    </row>
    <row r="1413" spans="8:8" s="16" ht="16.5" customFormat="1">
      <c r="A1413" s="126"/>
      <c r="B1413" s="42" t="s">
        <v>4877</v>
      </c>
      <c r="C1413" s="42" t="s">
        <v>4878</v>
      </c>
      <c r="D1413" s="42"/>
      <c r="E1413" s="42"/>
      <c r="F1413" s="42"/>
      <c r="G1413" s="126"/>
      <c r="H1413" s="21"/>
      <c r="I1413" s="22"/>
    </row>
    <row r="1414" spans="8:8" s="16" ht="16.5" customFormat="1">
      <c r="A1414" s="126"/>
      <c r="B1414" s="42" t="s">
        <v>4879</v>
      </c>
      <c r="C1414" s="42" t="s">
        <v>4880</v>
      </c>
      <c r="D1414" s="42"/>
      <c r="E1414" s="42"/>
      <c r="F1414" s="42"/>
      <c r="G1414" s="126"/>
      <c r="H1414" s="21"/>
      <c r="I1414" s="22"/>
    </row>
    <row r="1415" spans="8:8" s="16" ht="16.5" customFormat="1">
      <c r="A1415" s="126"/>
      <c r="B1415" s="42" t="s">
        <v>4881</v>
      </c>
      <c r="C1415" s="42" t="s">
        <v>4882</v>
      </c>
      <c r="D1415" s="42"/>
      <c r="E1415" s="42"/>
      <c r="F1415" s="42"/>
      <c r="G1415" s="126"/>
      <c r="H1415" s="21"/>
      <c r="I1415" s="22"/>
    </row>
    <row r="1416" spans="8:8" s="16" ht="16.5" customFormat="1">
      <c r="A1416" s="126"/>
      <c r="B1416" s="42" t="s">
        <v>4883</v>
      </c>
      <c r="C1416" s="42" t="s">
        <v>4884</v>
      </c>
      <c r="D1416" s="42"/>
      <c r="E1416" s="42"/>
      <c r="F1416" s="42"/>
      <c r="G1416" s="126"/>
      <c r="H1416" s="21"/>
      <c r="I1416" s="22"/>
    </row>
    <row r="1417" spans="8:8" s="16" ht="16.5" customFormat="1">
      <c r="A1417" s="126"/>
      <c r="B1417" s="42" t="s">
        <v>4885</v>
      </c>
      <c r="C1417" s="42" t="s">
        <v>4886</v>
      </c>
      <c r="D1417" s="42"/>
      <c r="E1417" s="42"/>
      <c r="F1417" s="42"/>
      <c r="G1417" s="126"/>
      <c r="H1417" s="21"/>
      <c r="I1417" s="22"/>
    </row>
    <row r="1418" spans="8:8" s="16" ht="16.5" customFormat="1">
      <c r="A1418" s="126"/>
      <c r="B1418" s="42" t="s">
        <v>4887</v>
      </c>
      <c r="C1418" s="42" t="s">
        <v>4888</v>
      </c>
      <c r="D1418" s="42"/>
      <c r="E1418" s="42"/>
      <c r="F1418" s="42"/>
      <c r="G1418" s="126"/>
      <c r="H1418" s="21"/>
      <c r="I1418" s="22"/>
    </row>
    <row r="1419" spans="8:8" s="16" ht="16.5" customFormat="1">
      <c r="A1419" s="126"/>
      <c r="B1419" s="42" t="s">
        <v>4889</v>
      </c>
      <c r="C1419" s="42" t="s">
        <v>4890</v>
      </c>
      <c r="D1419" s="42"/>
      <c r="E1419" s="42"/>
      <c r="F1419" s="42"/>
      <c r="G1419" s="126"/>
      <c r="H1419" s="21"/>
      <c r="I1419" s="22"/>
    </row>
    <row r="1420" spans="8:8" s="16" ht="16.5" customFormat="1">
      <c r="A1420" s="126"/>
      <c r="B1420" s="42" t="s">
        <v>4891</v>
      </c>
      <c r="C1420" s="42" t="s">
        <v>4892</v>
      </c>
      <c r="D1420" s="42"/>
      <c r="E1420" s="42"/>
      <c r="F1420" s="42"/>
      <c r="G1420" s="126"/>
      <c r="H1420" s="21"/>
      <c r="I1420" s="22"/>
    </row>
    <row r="1421" spans="8:8" s="16" ht="16.5" customFormat="1">
      <c r="A1421" s="126"/>
      <c r="B1421" s="42" t="s">
        <v>4893</v>
      </c>
      <c r="C1421" s="42" t="s">
        <v>4894</v>
      </c>
      <c r="D1421" s="42"/>
      <c r="E1421" s="42"/>
      <c r="F1421" s="42"/>
      <c r="G1421" s="126"/>
      <c r="H1421" s="21"/>
      <c r="I1421" s="22"/>
    </row>
    <row r="1422" spans="8:8" s="16" ht="16.5" customFormat="1">
      <c r="A1422" s="126"/>
      <c r="B1422" s="42" t="s">
        <v>4895</v>
      </c>
      <c r="C1422" s="42" t="s">
        <v>4896</v>
      </c>
      <c r="D1422" s="42"/>
      <c r="E1422" s="42"/>
      <c r="F1422" s="42"/>
      <c r="G1422" s="126"/>
      <c r="H1422" s="21"/>
      <c r="I1422" s="22"/>
    </row>
    <row r="1423" spans="8:8" s="16" ht="16.5" customFormat="1">
      <c r="A1423" s="126"/>
      <c r="B1423" s="42" t="s">
        <v>4897</v>
      </c>
      <c r="C1423" s="42" t="s">
        <v>4898</v>
      </c>
      <c r="D1423" s="42"/>
      <c r="E1423" s="42"/>
      <c r="F1423" s="42"/>
      <c r="G1423" s="126"/>
      <c r="H1423" s="21"/>
      <c r="I1423" s="22"/>
    </row>
    <row r="1424" spans="8:8" s="16" ht="16.5" customFormat="1">
      <c r="A1424" s="126"/>
      <c r="B1424" s="42" t="s">
        <v>4899</v>
      </c>
      <c r="C1424" s="42" t="s">
        <v>4900</v>
      </c>
      <c r="D1424" s="42"/>
      <c r="E1424" s="42"/>
      <c r="F1424" s="42"/>
      <c r="G1424" s="126"/>
      <c r="H1424" s="21"/>
      <c r="I1424" s="22"/>
    </row>
    <row r="1425" spans="8:8" s="16" ht="16.5" customFormat="1">
      <c r="A1425" s="126"/>
      <c r="B1425" s="42" t="s">
        <v>4901</v>
      </c>
      <c r="C1425" s="42" t="s">
        <v>4902</v>
      </c>
      <c r="D1425" s="42"/>
      <c r="E1425" s="42"/>
      <c r="F1425" s="42"/>
      <c r="G1425" s="126"/>
      <c r="H1425" s="21"/>
      <c r="I1425" s="22"/>
    </row>
    <row r="1426" spans="8:8" s="16" ht="16.5" customFormat="1">
      <c r="A1426" s="126"/>
      <c r="B1426" s="42" t="s">
        <v>4903</v>
      </c>
      <c r="C1426" s="42" t="s">
        <v>4904</v>
      </c>
      <c r="D1426" s="42"/>
      <c r="E1426" s="42"/>
      <c r="F1426" s="42"/>
      <c r="G1426" s="126"/>
      <c r="H1426" s="21"/>
      <c r="I1426" s="22"/>
    </row>
    <row r="1427" spans="8:8" s="16" ht="16.5" customFormat="1">
      <c r="A1427" s="126"/>
      <c r="B1427" s="133" t="s">
        <v>4905</v>
      </c>
      <c r="C1427" s="133"/>
      <c r="D1427" s="133"/>
      <c r="E1427" s="133"/>
      <c r="F1427" s="133"/>
      <c r="G1427" s="126"/>
      <c r="H1427" s="21"/>
      <c r="I1427" s="22"/>
    </row>
    <row r="1428" spans="8:8" s="16" ht="16.5" customFormat="1">
      <c r="A1428" s="126"/>
      <c r="B1428" s="42" t="s">
        <v>4906</v>
      </c>
      <c r="C1428" s="42" t="s">
        <v>4907</v>
      </c>
      <c r="D1428" s="42"/>
      <c r="E1428" s="42"/>
      <c r="F1428" s="42"/>
      <c r="G1428" s="126"/>
      <c r="H1428" s="21"/>
      <c r="I1428" s="22"/>
    </row>
    <row r="1429" spans="8:8" s="16" ht="16.5" customFormat="1">
      <c r="A1429" s="126"/>
      <c r="B1429" s="42" t="s">
        <v>4908</v>
      </c>
      <c r="C1429" s="42" t="s">
        <v>4909</v>
      </c>
      <c r="D1429" s="42"/>
      <c r="E1429" s="42"/>
      <c r="F1429" s="42"/>
      <c r="G1429" s="126"/>
      <c r="H1429" s="21"/>
      <c r="I1429" s="22"/>
    </row>
    <row r="1430" spans="8:8" s="16" ht="16.5" customFormat="1">
      <c r="A1430" s="126"/>
      <c r="B1430" s="42" t="s">
        <v>4910</v>
      </c>
      <c r="C1430" s="42" t="s">
        <v>4911</v>
      </c>
      <c r="D1430" s="42"/>
      <c r="E1430" s="42"/>
      <c r="F1430" s="42"/>
      <c r="G1430" s="126"/>
      <c r="H1430" s="21"/>
      <c r="I1430" s="22"/>
    </row>
    <row r="1431" spans="8:8" s="16" ht="16.5" customFormat="1">
      <c r="A1431" s="126"/>
      <c r="B1431" s="42" t="s">
        <v>1640</v>
      </c>
      <c r="C1431" s="42" t="s">
        <v>1641</v>
      </c>
      <c r="D1431" s="42"/>
      <c r="E1431" s="42"/>
      <c r="F1431" s="42"/>
      <c r="G1431" s="126"/>
      <c r="H1431" s="21"/>
      <c r="I1431" s="22"/>
    </row>
    <row r="1432" spans="8:8" s="16" ht="16.5" customFormat="1">
      <c r="A1432" s="126"/>
      <c r="B1432" s="42" t="s">
        <v>4912</v>
      </c>
      <c r="C1432" s="42" t="s">
        <v>4913</v>
      </c>
      <c r="D1432" s="42"/>
      <c r="E1432" s="42"/>
      <c r="F1432" s="42"/>
      <c r="G1432" s="126"/>
      <c r="H1432" s="21"/>
      <c r="I1432" s="22"/>
    </row>
    <row r="1433" spans="8:8" s="16" ht="16.5" customFormat="1">
      <c r="A1433" s="126"/>
      <c r="B1433" s="42" t="s">
        <v>4914</v>
      </c>
      <c r="C1433" s="42" t="s">
        <v>4915</v>
      </c>
      <c r="D1433" s="42"/>
      <c r="E1433" s="42"/>
      <c r="F1433" s="42"/>
      <c r="G1433" s="126"/>
      <c r="H1433" s="21"/>
      <c r="I1433" s="22"/>
    </row>
    <row r="1434" spans="8:8" s="16" ht="16.5" customFormat="1">
      <c r="A1434" s="126"/>
      <c r="B1434" s="42" t="s">
        <v>4916</v>
      </c>
      <c r="C1434" s="42" t="s">
        <v>4917</v>
      </c>
      <c r="D1434" s="42"/>
      <c r="E1434" s="42"/>
      <c r="F1434" s="42"/>
      <c r="G1434" s="126"/>
      <c r="H1434" s="21"/>
      <c r="I1434" s="22"/>
    </row>
    <row r="1435" spans="8:8" s="16" ht="16.5" customFormat="1">
      <c r="A1435" s="126"/>
      <c r="B1435" s="42" t="s">
        <v>4918</v>
      </c>
      <c r="C1435" s="42" t="s">
        <v>4919</v>
      </c>
      <c r="D1435" s="42"/>
      <c r="E1435" s="42"/>
      <c r="F1435" s="42"/>
      <c r="G1435" s="126"/>
      <c r="H1435" s="21"/>
      <c r="I1435" s="22"/>
    </row>
    <row r="1436" spans="8:8" s="16" ht="16.5" customFormat="1">
      <c r="A1436" s="126"/>
      <c r="B1436" s="134" t="s">
        <v>4920</v>
      </c>
      <c r="C1436" s="134"/>
      <c r="D1436" s="134"/>
      <c r="E1436" s="134"/>
      <c r="F1436" s="134"/>
      <c r="G1436" s="126"/>
      <c r="H1436" s="21"/>
      <c r="I1436" s="22"/>
    </row>
    <row r="1437" spans="8:8" s="16" ht="16.5" customFormat="1">
      <c r="A1437" s="126"/>
      <c r="B1437" s="42" t="s">
        <v>4921</v>
      </c>
      <c r="C1437" s="42" t="s">
        <v>4922</v>
      </c>
      <c r="D1437" s="42"/>
      <c r="E1437" s="42"/>
      <c r="F1437" s="42"/>
      <c r="G1437" s="126"/>
      <c r="H1437" s="21"/>
      <c r="I1437" s="22"/>
    </row>
    <row r="1438" spans="8:8" s="16" ht="16.5" customFormat="1">
      <c r="A1438" s="126"/>
      <c r="B1438" s="42" t="s">
        <v>4923</v>
      </c>
      <c r="C1438" s="42" t="s">
        <v>4924</v>
      </c>
      <c r="D1438" s="42"/>
      <c r="E1438" s="42"/>
      <c r="F1438" s="42"/>
      <c r="G1438" s="126"/>
      <c r="H1438" s="21"/>
      <c r="I1438" s="22"/>
    </row>
    <row r="1439" spans="8:8" s="16" ht="16.5" customFormat="1">
      <c r="A1439" s="126"/>
      <c r="B1439" s="42" t="s">
        <v>4925</v>
      </c>
      <c r="C1439" s="42" t="s">
        <v>4926</v>
      </c>
      <c r="D1439" s="42"/>
      <c r="E1439" s="42"/>
      <c r="F1439" s="42"/>
      <c r="G1439" s="126"/>
      <c r="H1439" s="21"/>
      <c r="I1439" s="22"/>
    </row>
    <row r="1440" spans="8:8" s="16" ht="16.5" customFormat="1">
      <c r="A1440" s="126"/>
      <c r="B1440" s="42" t="s">
        <v>4927</v>
      </c>
      <c r="C1440" s="42" t="s">
        <v>4928</v>
      </c>
      <c r="D1440" s="42"/>
      <c r="E1440" s="42"/>
      <c r="F1440" s="42"/>
      <c r="G1440" s="126"/>
      <c r="H1440" s="21"/>
      <c r="I1440" s="22"/>
    </row>
    <row r="1441" spans="8:8" s="16" ht="16.5" customFormat="1">
      <c r="A1441" s="126"/>
      <c r="B1441" s="42" t="s">
        <v>4929</v>
      </c>
      <c r="C1441" s="42" t="s">
        <v>4930</v>
      </c>
      <c r="D1441" s="42"/>
      <c r="E1441" s="42"/>
      <c r="F1441" s="42"/>
      <c r="G1441" s="126"/>
      <c r="H1441" s="21"/>
      <c r="I1441" s="22"/>
    </row>
    <row r="1442" spans="8:8" s="16" ht="16.5" customFormat="1">
      <c r="A1442" s="126"/>
      <c r="B1442" s="42" t="s">
        <v>4931</v>
      </c>
      <c r="C1442" s="42" t="s">
        <v>4932</v>
      </c>
      <c r="D1442" s="42"/>
      <c r="E1442" s="42"/>
      <c r="F1442" s="42"/>
      <c r="G1442" s="126"/>
      <c r="H1442" s="21"/>
      <c r="I1442" s="22"/>
    </row>
    <row r="1443" spans="8:8" s="16" ht="16.5" customFormat="1">
      <c r="A1443" s="126"/>
      <c r="B1443" s="42" t="s">
        <v>4933</v>
      </c>
      <c r="C1443" s="42" t="s">
        <v>4934</v>
      </c>
      <c r="D1443" s="42"/>
      <c r="E1443" s="42"/>
      <c r="F1443" s="42"/>
      <c r="G1443" s="126"/>
      <c r="H1443" s="21"/>
      <c r="I1443" s="22"/>
    </row>
    <row r="1444" spans="8:8" s="16" ht="16.5" customFormat="1">
      <c r="A1444" s="126"/>
      <c r="B1444" s="42" t="s">
        <v>4935</v>
      </c>
      <c r="C1444" s="42" t="s">
        <v>4936</v>
      </c>
      <c r="D1444" s="42"/>
      <c r="E1444" s="42"/>
      <c r="F1444" s="42"/>
      <c r="G1444" s="126"/>
      <c r="H1444" s="21"/>
      <c r="I1444" s="22"/>
    </row>
    <row r="1445" spans="8:8" s="16" ht="16.5" customFormat="1">
      <c r="A1445" s="126"/>
      <c r="B1445" s="135" t="s">
        <v>4937</v>
      </c>
      <c r="C1445" s="135"/>
      <c r="D1445" s="135"/>
      <c r="E1445" s="135"/>
      <c r="F1445" s="135"/>
      <c r="G1445" s="126"/>
      <c r="H1445" s="21"/>
      <c r="I1445" s="22"/>
    </row>
    <row r="1446" spans="8:8" s="16" ht="16.5" customFormat="1">
      <c r="A1446" s="126"/>
      <c r="B1446" s="42" t="s">
        <v>4938</v>
      </c>
      <c r="C1446" s="42" t="s">
        <v>4939</v>
      </c>
      <c r="D1446" s="42"/>
      <c r="E1446" s="42"/>
      <c r="F1446" s="42"/>
      <c r="G1446" s="126"/>
      <c r="H1446" s="21"/>
      <c r="I1446" s="22"/>
    </row>
    <row r="1447" spans="8:8" s="16" ht="16.5" customFormat="1">
      <c r="A1447" s="126"/>
      <c r="B1447" s="42" t="s">
        <v>4940</v>
      </c>
      <c r="C1447" s="42" t="s">
        <v>4941</v>
      </c>
      <c r="D1447" s="42"/>
      <c r="E1447" s="42"/>
      <c r="F1447" s="42"/>
      <c r="G1447" s="126"/>
      <c r="H1447" s="21"/>
      <c r="I1447" s="22"/>
    </row>
    <row r="1448" spans="8:8" s="16" ht="16.5" customFormat="1">
      <c r="A1448" s="126"/>
      <c r="B1448" s="42" t="s">
        <v>4942</v>
      </c>
      <c r="C1448" s="42" t="s">
        <v>4943</v>
      </c>
      <c r="D1448" s="42"/>
      <c r="E1448" s="42"/>
      <c r="F1448" s="42"/>
      <c r="G1448" s="126"/>
      <c r="H1448" s="21"/>
      <c r="I1448" s="22"/>
    </row>
    <row r="1449" spans="8:8" s="16" ht="16.5" customFormat="1">
      <c r="A1449" s="126"/>
      <c r="B1449" s="42" t="s">
        <v>4944</v>
      </c>
      <c r="C1449" s="42" t="s">
        <v>1526</v>
      </c>
      <c r="D1449" s="42"/>
      <c r="E1449" s="42"/>
      <c r="F1449" s="42"/>
      <c r="G1449" s="126"/>
      <c r="H1449" s="21"/>
      <c r="I1449" s="22"/>
    </row>
    <row r="1450" spans="8:8" s="16" ht="16.5" customFormat="1">
      <c r="A1450" s="126"/>
      <c r="B1450" s="42" t="s">
        <v>4945</v>
      </c>
      <c r="C1450" s="42" t="s">
        <v>4946</v>
      </c>
      <c r="D1450" s="42"/>
      <c r="E1450" s="42"/>
      <c r="F1450" s="42"/>
      <c r="G1450" s="126"/>
      <c r="H1450" s="21"/>
      <c r="I1450" s="22"/>
    </row>
    <row r="1451" spans="8:8" s="16" ht="16.5" customFormat="1">
      <c r="A1451" s="126"/>
      <c r="B1451" s="42" t="s">
        <v>4947</v>
      </c>
      <c r="C1451" s="42" t="s">
        <v>4948</v>
      </c>
      <c r="D1451" s="42"/>
      <c r="E1451" s="42"/>
      <c r="F1451" s="42"/>
      <c r="G1451" s="126"/>
      <c r="H1451" s="21"/>
      <c r="I1451" s="22"/>
    </row>
    <row r="1452" spans="8:8" s="16" ht="16.5" customFormat="1">
      <c r="A1452" s="126"/>
      <c r="B1452" s="42" t="s">
        <v>4949</v>
      </c>
      <c r="C1452" s="42" t="s">
        <v>4900</v>
      </c>
      <c r="D1452" s="42"/>
      <c r="E1452" s="42"/>
      <c r="F1452" s="42"/>
      <c r="G1452" s="126"/>
      <c r="H1452" s="21"/>
      <c r="I1452" s="22"/>
    </row>
    <row r="1453" spans="8:8" s="16" ht="16.5" customFormat="1">
      <c r="A1453" s="126"/>
      <c r="B1453" s="42" t="s">
        <v>4950</v>
      </c>
      <c r="C1453" s="42" t="s">
        <v>4951</v>
      </c>
      <c r="D1453" s="42"/>
      <c r="E1453" s="42"/>
      <c r="F1453" s="42"/>
      <c r="G1453" s="126"/>
      <c r="H1453" s="21"/>
      <c r="I1453" s="22"/>
    </row>
    <row r="1454" spans="8:8" s="16" ht="16.5" customFormat="1">
      <c r="A1454" s="126"/>
      <c r="B1454" s="42" t="s">
        <v>4952</v>
      </c>
      <c r="C1454" s="42" t="s">
        <v>4953</v>
      </c>
      <c r="D1454" s="42"/>
      <c r="E1454" s="42"/>
      <c r="F1454" s="42"/>
      <c r="G1454" s="126"/>
      <c r="H1454" s="21"/>
      <c r="I1454" s="22"/>
    </row>
    <row r="1455" spans="8:8" s="16" ht="16.5" customFormat="1">
      <c r="A1455" s="126"/>
      <c r="B1455" s="42" t="s">
        <v>4954</v>
      </c>
      <c r="C1455" s="42" t="s">
        <v>4955</v>
      </c>
      <c r="D1455" s="42"/>
      <c r="E1455" s="42"/>
      <c r="F1455" s="42"/>
      <c r="G1455" s="126"/>
      <c r="H1455" s="21"/>
      <c r="I1455" s="22"/>
    </row>
    <row r="1456" spans="8:8" s="16" ht="16.5" customFormat="1">
      <c r="A1456" s="126"/>
      <c r="B1456" s="136" t="s">
        <v>4956</v>
      </c>
      <c r="C1456" s="136"/>
      <c r="D1456" s="136"/>
      <c r="E1456" s="136"/>
      <c r="F1456" s="136"/>
      <c r="G1456" s="126"/>
      <c r="H1456" s="21"/>
      <c r="I1456" s="22"/>
    </row>
    <row r="1457" spans="8:8" s="16" ht="16.5" customFormat="1">
      <c r="A1457" s="126"/>
      <c r="B1457" s="42" t="s">
        <v>4957</v>
      </c>
      <c r="C1457" s="42" t="s">
        <v>4958</v>
      </c>
      <c r="D1457" s="42"/>
      <c r="E1457" s="42"/>
      <c r="F1457" s="42"/>
      <c r="G1457" s="126"/>
      <c r="H1457" s="21"/>
      <c r="I1457" s="22"/>
    </row>
    <row r="1458" spans="8:8" s="16" ht="16.5" customFormat="1">
      <c r="A1458" s="126"/>
      <c r="B1458" s="42" t="s">
        <v>4959</v>
      </c>
      <c r="C1458" s="42" t="s">
        <v>4960</v>
      </c>
      <c r="D1458" s="42"/>
      <c r="E1458" s="42"/>
      <c r="F1458" s="42"/>
      <c r="G1458" s="126"/>
      <c r="H1458" s="21"/>
      <c r="I1458" s="22"/>
    </row>
    <row r="1459" spans="8:8" s="16" ht="16.5" customFormat="1">
      <c r="A1459" s="126"/>
      <c r="B1459" s="42" t="s">
        <v>4961</v>
      </c>
      <c r="C1459" s="42" t="s">
        <v>3760</v>
      </c>
      <c r="D1459" s="42"/>
      <c r="E1459" s="42"/>
      <c r="F1459" s="42"/>
      <c r="G1459" s="126"/>
      <c r="H1459" s="21"/>
      <c r="I1459" s="22"/>
    </row>
    <row r="1460" spans="8:8" s="16" ht="16.5" customFormat="1">
      <c r="A1460" s="126"/>
      <c r="B1460" s="42" t="s">
        <v>4962</v>
      </c>
      <c r="C1460" s="42" t="s">
        <v>3765</v>
      </c>
      <c r="D1460" s="42"/>
      <c r="E1460" s="42"/>
      <c r="F1460" s="42"/>
      <c r="G1460" s="126"/>
      <c r="H1460" s="21"/>
      <c r="I1460" s="22"/>
    </row>
    <row r="1461" spans="8:8" s="16" ht="16.5" customFormat="1">
      <c r="A1461" s="126"/>
      <c r="B1461" s="42"/>
      <c r="C1461" s="42"/>
      <c r="D1461" s="42"/>
      <c r="E1461" s="42"/>
      <c r="F1461" s="42"/>
      <c r="G1461" s="126"/>
      <c r="H1461" s="21"/>
      <c r="I1461" s="22"/>
    </row>
    <row r="1462" spans="8:8" s="16" ht="16.5" customFormat="1">
      <c r="A1462" s="126"/>
      <c r="B1462" s="42"/>
      <c r="C1462" s="42"/>
      <c r="D1462" s="42"/>
      <c r="E1462" s="42"/>
      <c r="F1462" s="42"/>
      <c r="G1462" s="126"/>
      <c r="H1462" s="21"/>
      <c r="I1462" s="22"/>
    </row>
    <row r="1463" spans="8:8" s="16" ht="16.5" customFormat="1">
      <c r="A1463" s="126"/>
      <c r="B1463" s="42"/>
      <c r="C1463" s="42"/>
      <c r="D1463" s="42"/>
      <c r="E1463" s="42"/>
      <c r="F1463" s="42"/>
      <c r="G1463" s="126"/>
      <c r="H1463" s="21"/>
      <c r="I1463" s="22"/>
    </row>
    <row r="1464" spans="8:8" s="16" ht="16.5" customFormat="1">
      <c r="A1464" s="126"/>
      <c r="B1464" s="42"/>
      <c r="C1464" s="42"/>
      <c r="D1464" s="42"/>
      <c r="E1464" s="42"/>
      <c r="F1464" s="42"/>
      <c r="G1464" s="126"/>
      <c r="H1464" s="21"/>
      <c r="I1464" s="22"/>
    </row>
    <row r="1465" spans="8:8" s="16" ht="16.5" customFormat="1">
      <c r="A1465" s="126"/>
      <c r="B1465" s="42"/>
      <c r="C1465" s="42"/>
      <c r="D1465" s="42"/>
      <c r="E1465" s="42"/>
      <c r="F1465" s="42"/>
      <c r="G1465" s="126"/>
      <c r="H1465" s="21"/>
      <c r="I1465" s="22"/>
    </row>
    <row r="1466" spans="8:8" s="16" ht="16.5" customFormat="1">
      <c r="A1466" s="126"/>
      <c r="B1466" s="42"/>
      <c r="C1466" s="42"/>
      <c r="D1466" s="42"/>
      <c r="E1466" s="42"/>
      <c r="F1466" s="42"/>
      <c r="G1466" s="126"/>
      <c r="H1466" s="21"/>
      <c r="I1466" s="22"/>
    </row>
    <row r="1467" spans="8:8" s="16" ht="16.5" customFormat="1">
      <c r="A1467" s="126"/>
      <c r="B1467" s="42"/>
      <c r="C1467" s="42"/>
      <c r="D1467" s="42"/>
      <c r="E1467" s="42"/>
      <c r="F1467" s="42"/>
      <c r="G1467" s="126"/>
      <c r="H1467" s="21"/>
      <c r="I1467" s="22"/>
    </row>
    <row r="1468" spans="8:8" s="16" ht="16.5" customFormat="1">
      <c r="A1468" s="126"/>
      <c r="B1468" s="42"/>
      <c r="C1468" s="42"/>
      <c r="D1468" s="42"/>
      <c r="E1468" s="42"/>
      <c r="F1468" s="42"/>
      <c r="G1468" s="126"/>
      <c r="H1468" s="21"/>
      <c r="I1468" s="22"/>
    </row>
    <row r="1469" spans="8:8" s="16" ht="16.5" customFormat="1">
      <c r="A1469" s="126"/>
      <c r="B1469" s="42"/>
      <c r="C1469" s="42"/>
      <c r="D1469" s="42"/>
      <c r="E1469" s="42"/>
      <c r="F1469" s="42"/>
      <c r="G1469" s="126"/>
      <c r="H1469" s="21"/>
      <c r="I1469" s="22"/>
    </row>
    <row r="1470" spans="8:8" s="16" ht="16.5" customFormat="1">
      <c r="A1470" s="126"/>
      <c r="B1470" s="42"/>
      <c r="C1470" s="42"/>
      <c r="D1470" s="42"/>
      <c r="E1470" s="42"/>
      <c r="F1470" s="42"/>
      <c r="G1470" s="126"/>
      <c r="H1470" s="21"/>
      <c r="I1470" s="22"/>
    </row>
    <row r="1471" spans="8:8" s="16" ht="16.5" customFormat="1">
      <c r="A1471" s="126"/>
      <c r="B1471" s="42"/>
      <c r="C1471" s="42"/>
      <c r="D1471" s="42"/>
      <c r="E1471" s="42"/>
      <c r="F1471" s="42"/>
      <c r="G1471" s="126"/>
      <c r="H1471" s="21"/>
      <c r="I1471" s="22"/>
    </row>
    <row r="1472" spans="8:8" s="16" ht="16.5" customFormat="1">
      <c r="A1472" s="126"/>
      <c r="B1472" s="42"/>
      <c r="C1472" s="42"/>
      <c r="D1472" s="42"/>
      <c r="E1472" s="42"/>
      <c r="F1472" s="42"/>
      <c r="G1472" s="126"/>
      <c r="H1472" s="21"/>
      <c r="I1472" s="22"/>
    </row>
    <row r="1473" spans="8:8" s="16" ht="16.5" customFormat="1">
      <c r="A1473" s="126"/>
      <c r="B1473" s="42"/>
      <c r="C1473" s="42"/>
      <c r="D1473" s="42"/>
      <c r="E1473" s="42"/>
      <c r="F1473" s="42"/>
      <c r="G1473" s="126"/>
      <c r="H1473" s="21"/>
      <c r="I1473" s="22"/>
    </row>
    <row r="1474" spans="8:8" s="16" ht="16.5" customFormat="1">
      <c r="A1474" s="126"/>
      <c r="B1474" s="42"/>
      <c r="C1474" s="42"/>
      <c r="D1474" s="42"/>
      <c r="E1474" s="42"/>
      <c r="F1474" s="42"/>
      <c r="G1474" s="126"/>
      <c r="H1474" s="21"/>
      <c r="I1474" s="22"/>
    </row>
    <row r="1475" spans="8:8" s="16" ht="16.5" customFormat="1">
      <c r="A1475" s="126"/>
      <c r="B1475" s="42"/>
      <c r="C1475" s="42"/>
      <c r="D1475" s="42"/>
      <c r="E1475" s="42"/>
      <c r="F1475" s="42"/>
      <c r="G1475" s="126"/>
      <c r="H1475" s="21"/>
      <c r="I1475" s="22"/>
    </row>
    <row r="1476" spans="8:8" s="16" ht="16.5" customFormat="1">
      <c r="A1476" s="126"/>
      <c r="B1476" s="42"/>
      <c r="C1476" s="42"/>
      <c r="D1476" s="42"/>
      <c r="E1476" s="42"/>
      <c r="F1476" s="42"/>
      <c r="G1476" s="126"/>
      <c r="H1476" s="21"/>
      <c r="I1476" s="22"/>
    </row>
    <row r="1477" spans="8:8" s="16" ht="16.5" customFormat="1">
      <c r="A1477" s="126"/>
      <c r="B1477" s="42"/>
      <c r="C1477" s="42"/>
      <c r="D1477" s="42"/>
      <c r="E1477" s="42"/>
      <c r="F1477" s="42"/>
      <c r="G1477" s="126"/>
      <c r="H1477" s="21"/>
      <c r="I1477" s="22"/>
    </row>
    <row r="1478" spans="8:8" s="16" ht="16.5" customFormat="1">
      <c r="A1478" s="126"/>
      <c r="B1478" s="42"/>
      <c r="C1478" s="42"/>
      <c r="D1478" s="42"/>
      <c r="E1478" s="42"/>
      <c r="F1478" s="42"/>
      <c r="G1478" s="126"/>
      <c r="H1478" s="21"/>
      <c r="I1478" s="22"/>
    </row>
    <row r="1479" spans="8:8" s="16" ht="16.5" customFormat="1">
      <c r="A1479" s="126"/>
      <c r="B1479" s="42"/>
      <c r="C1479" s="42"/>
      <c r="D1479" s="42"/>
      <c r="E1479" s="42"/>
      <c r="F1479" s="42"/>
      <c r="G1479" s="126"/>
      <c r="H1479" s="21"/>
      <c r="I1479" s="22"/>
    </row>
    <row r="1480" spans="8:8" s="16" ht="16.5" customFormat="1">
      <c r="A1480" s="126"/>
      <c r="B1480" s="42"/>
      <c r="C1480" s="42"/>
      <c r="D1480" s="42"/>
      <c r="E1480" s="42"/>
      <c r="F1480" s="42"/>
      <c r="G1480" s="126"/>
      <c r="H1480" s="21"/>
      <c r="I1480" s="22"/>
    </row>
    <row r="1481" spans="8:8" s="16" ht="16.5" customFormat="1">
      <c r="A1481" s="126"/>
      <c r="B1481" s="42"/>
      <c r="C1481" s="42"/>
      <c r="D1481" s="42"/>
      <c r="E1481" s="42"/>
      <c r="F1481" s="42"/>
      <c r="G1481" s="126"/>
      <c r="H1481" s="21"/>
      <c r="I1481" s="22"/>
    </row>
    <row r="1482" spans="8:8" s="16" ht="16.5" customFormat="1">
      <c r="A1482" s="126"/>
      <c r="B1482" s="42"/>
      <c r="C1482" s="42"/>
      <c r="D1482" s="42"/>
      <c r="E1482" s="42"/>
      <c r="F1482" s="42"/>
      <c r="G1482" s="126"/>
      <c r="H1482" s="21"/>
      <c r="I1482" s="22"/>
    </row>
    <row r="1483" spans="8:8" s="16" ht="16.5" customFormat="1">
      <c r="A1483" s="126"/>
      <c r="B1483" s="42"/>
      <c r="C1483" s="42"/>
      <c r="D1483" s="42"/>
      <c r="E1483" s="42"/>
      <c r="F1483" s="42"/>
      <c r="G1483" s="126"/>
      <c r="H1483" s="21"/>
      <c r="I1483" s="22"/>
    </row>
    <row r="1484" spans="8:8" s="16" ht="16.5" customFormat="1">
      <c r="A1484" s="126"/>
      <c r="B1484" s="42"/>
      <c r="C1484" s="42"/>
      <c r="D1484" s="42"/>
      <c r="E1484" s="42"/>
      <c r="F1484" s="42"/>
      <c r="G1484" s="126"/>
      <c r="H1484" s="21"/>
      <c r="I1484" s="22"/>
    </row>
    <row r="1485" spans="8:8" s="16" ht="16.5" customFormat="1">
      <c r="A1485" s="126"/>
      <c r="B1485" s="42"/>
      <c r="C1485" s="42"/>
      <c r="D1485" s="42"/>
      <c r="E1485" s="42"/>
      <c r="F1485" s="42"/>
      <c r="G1485" s="126"/>
      <c r="H1485" s="21"/>
      <c r="I1485" s="22"/>
    </row>
    <row r="1486" spans="8:8" s="16" ht="16.5" customFormat="1">
      <c r="A1486" s="126"/>
      <c r="B1486" s="42"/>
      <c r="C1486" s="42"/>
      <c r="D1486" s="42"/>
      <c r="E1486" s="42"/>
      <c r="F1486" s="42"/>
      <c r="G1486" s="126"/>
      <c r="H1486" s="21"/>
      <c r="I1486" s="22"/>
    </row>
    <row r="1487" spans="8:8" s="16" ht="16.5" customFormat="1">
      <c r="A1487" s="126"/>
      <c r="B1487" s="42"/>
      <c r="C1487" s="42"/>
      <c r="D1487" s="42"/>
      <c r="E1487" s="42"/>
      <c r="F1487" s="42"/>
      <c r="G1487" s="126"/>
      <c r="H1487" s="21"/>
      <c r="I1487" s="22"/>
    </row>
    <row r="1488" spans="8:8" s="16" ht="16.5" customFormat="1">
      <c r="A1488" s="126"/>
      <c r="B1488" s="42"/>
      <c r="C1488" s="42"/>
      <c r="D1488" s="42"/>
      <c r="E1488" s="42"/>
      <c r="F1488" s="42"/>
      <c r="G1488" s="126"/>
      <c r="H1488" s="21"/>
      <c r="I1488" s="22"/>
    </row>
    <row r="1489" spans="8:8" s="16" ht="16.5" customFormat="1">
      <c r="A1489" s="126"/>
      <c r="B1489" s="42"/>
      <c r="C1489" s="42"/>
      <c r="D1489" s="42"/>
      <c r="E1489" s="42"/>
      <c r="F1489" s="42"/>
      <c r="G1489" s="126"/>
      <c r="H1489" s="21"/>
      <c r="I1489" s="22"/>
    </row>
    <row r="1490" spans="8:8" s="16" ht="16.5" customFormat="1">
      <c r="A1490" s="126"/>
      <c r="B1490" s="42"/>
      <c r="C1490" s="42"/>
      <c r="D1490" s="42"/>
      <c r="E1490" s="42"/>
      <c r="F1490" s="42"/>
      <c r="G1490" s="126"/>
      <c r="H1490" s="21"/>
      <c r="I1490" s="22"/>
    </row>
    <row r="1491" spans="8:8" s="16" ht="16.5" customFormat="1">
      <c r="A1491" s="126"/>
      <c r="B1491" s="42"/>
      <c r="C1491" s="42"/>
      <c r="D1491" s="42"/>
      <c r="E1491" s="42"/>
      <c r="F1491" s="42"/>
      <c r="G1491" s="126"/>
      <c r="H1491" s="21"/>
      <c r="I1491" s="22"/>
    </row>
    <row r="1492" spans="8:8" s="16" ht="16.5" customFormat="1">
      <c r="A1492" s="126"/>
      <c r="B1492" s="42"/>
      <c r="C1492" s="42"/>
      <c r="D1492" s="42"/>
      <c r="E1492" s="42"/>
      <c r="F1492" s="42"/>
      <c r="G1492" s="126"/>
      <c r="H1492" s="21"/>
      <c r="I1492" s="22"/>
    </row>
    <row r="1493" spans="8:8" s="16" ht="16.5" customFormat="1">
      <c r="A1493" s="126"/>
      <c r="B1493" s="42"/>
      <c r="C1493" s="42"/>
      <c r="D1493" s="42"/>
      <c r="E1493" s="42"/>
      <c r="F1493" s="42"/>
      <c r="G1493" s="126"/>
      <c r="H1493" s="21"/>
      <c r="I1493" s="22"/>
    </row>
    <row r="1494" spans="8:8" s="16" ht="16.5" customFormat="1">
      <c r="A1494" s="126"/>
      <c r="B1494" s="42"/>
      <c r="C1494" s="42"/>
      <c r="D1494" s="42"/>
      <c r="E1494" s="42"/>
      <c r="F1494" s="42"/>
      <c r="G1494" s="126"/>
      <c r="H1494" s="21"/>
      <c r="I1494" s="22"/>
    </row>
    <row r="1495" spans="8:8" s="16" ht="16.5" customFormat="1">
      <c r="A1495" s="126"/>
      <c r="B1495" s="42"/>
      <c r="C1495" s="42"/>
      <c r="D1495" s="42"/>
      <c r="E1495" s="42"/>
      <c r="F1495" s="42"/>
      <c r="G1495" s="126"/>
      <c r="H1495" s="21"/>
      <c r="I1495" s="22"/>
    </row>
    <row r="1496" spans="8:8" s="16" ht="16.5" customFormat="1">
      <c r="A1496" s="126"/>
      <c r="B1496" s="42"/>
      <c r="C1496" s="42"/>
      <c r="D1496" s="42"/>
      <c r="E1496" s="42"/>
      <c r="F1496" s="42"/>
      <c r="G1496" s="126"/>
      <c r="H1496" s="21"/>
      <c r="I1496" s="22"/>
    </row>
    <row r="1497" spans="8:8" s="16" ht="16.5" customFormat="1">
      <c r="A1497" s="126"/>
      <c r="B1497" s="42"/>
      <c r="C1497" s="42"/>
      <c r="D1497" s="42"/>
      <c r="E1497" s="42"/>
      <c r="F1497" s="42"/>
      <c r="G1497" s="126"/>
      <c r="H1497" s="21"/>
      <c r="I1497" s="22"/>
    </row>
    <row r="1498" spans="8:8" s="16" ht="16.5" customFormat="1">
      <c r="A1498" s="126"/>
      <c r="B1498" s="42"/>
      <c r="C1498" s="42"/>
      <c r="D1498" s="42"/>
      <c r="E1498" s="42"/>
      <c r="F1498" s="42"/>
      <c r="G1498" s="126"/>
      <c r="H1498" s="21"/>
      <c r="I1498" s="22"/>
    </row>
    <row r="1499" spans="8:8" s="16" ht="16.5" customFormat="1">
      <c r="A1499" s="126"/>
      <c r="B1499" s="42"/>
      <c r="C1499" s="42"/>
      <c r="D1499" s="42"/>
      <c r="E1499" s="42"/>
      <c r="F1499" s="42"/>
      <c r="G1499" s="126"/>
      <c r="H1499" s="21"/>
      <c r="I1499" s="22"/>
    </row>
    <row r="1500" spans="8:8" s="16" ht="16.5" customFormat="1">
      <c r="A1500" s="126"/>
      <c r="B1500" s="42"/>
      <c r="C1500" s="42"/>
      <c r="D1500" s="42"/>
      <c r="E1500" s="42"/>
      <c r="F1500" s="42"/>
      <c r="G1500" s="126"/>
      <c r="H1500" s="21"/>
      <c r="I1500" s="22"/>
    </row>
    <row r="1501" spans="8:8" s="16" ht="16.5" customFormat="1">
      <c r="A1501" s="126"/>
      <c r="B1501" s="42"/>
      <c r="C1501" s="42"/>
      <c r="D1501" s="42"/>
      <c r="E1501" s="42"/>
      <c r="F1501" s="42"/>
      <c r="G1501" s="126"/>
      <c r="H1501" s="21"/>
      <c r="I1501" s="22"/>
    </row>
    <row r="1502" spans="8:8" s="16" ht="16.5" customFormat="1">
      <c r="A1502" s="126"/>
      <c r="B1502" s="42"/>
      <c r="C1502" s="42"/>
      <c r="D1502" s="42"/>
      <c r="E1502" s="42"/>
      <c r="F1502" s="42"/>
      <c r="G1502" s="126"/>
      <c r="H1502" s="21"/>
      <c r="I1502" s="22"/>
    </row>
    <row r="1503" spans="8:8" s="16" ht="16.5" customFormat="1">
      <c r="A1503" s="126"/>
      <c r="B1503" s="42"/>
      <c r="C1503" s="42"/>
      <c r="D1503" s="42"/>
      <c r="E1503" s="42"/>
      <c r="F1503" s="42"/>
      <c r="G1503" s="126"/>
      <c r="H1503" s="21"/>
      <c r="I1503" s="22"/>
    </row>
    <row r="1504" spans="8:8" s="16" ht="16.5" customFormat="1">
      <c r="A1504" s="126"/>
      <c r="B1504" s="42"/>
      <c r="C1504" s="42"/>
      <c r="D1504" s="42"/>
      <c r="E1504" s="42"/>
      <c r="F1504" s="42"/>
      <c r="G1504" s="126"/>
      <c r="H1504" s="21"/>
      <c r="I1504" s="22"/>
    </row>
    <row r="1505" spans="8:8" s="16" ht="16.5" customFormat="1">
      <c r="A1505" s="126"/>
      <c r="B1505" s="42"/>
      <c r="C1505" s="42"/>
      <c r="D1505" s="42"/>
      <c r="E1505" s="42"/>
      <c r="F1505" s="42"/>
      <c r="G1505" s="126"/>
      <c r="H1505" s="21"/>
      <c r="I1505" s="22"/>
    </row>
    <row r="1506" spans="8:8" s="16" ht="16.5" customFormat="1">
      <c r="A1506" s="126"/>
      <c r="B1506" s="42"/>
      <c r="C1506" s="42"/>
      <c r="D1506" s="42"/>
      <c r="E1506" s="42"/>
      <c r="F1506" s="42"/>
      <c r="G1506" s="126"/>
      <c r="H1506" s="21"/>
      <c r="I1506" s="22"/>
    </row>
    <row r="1507" spans="8:8" s="16" ht="16.5" customFormat="1">
      <c r="A1507" s="126"/>
      <c r="B1507" s="42"/>
      <c r="C1507" s="42"/>
      <c r="D1507" s="42"/>
      <c r="E1507" s="42"/>
      <c r="F1507" s="42"/>
      <c r="G1507" s="126"/>
      <c r="H1507" s="21"/>
      <c r="I1507" s="22"/>
    </row>
    <row r="1508" spans="8:8" s="16" ht="16.5" customFormat="1">
      <c r="A1508" s="126"/>
      <c r="B1508" s="42"/>
      <c r="C1508" s="42"/>
      <c r="D1508" s="42"/>
      <c r="E1508" s="42"/>
      <c r="F1508" s="42"/>
      <c r="G1508" s="126"/>
      <c r="H1508" s="21"/>
      <c r="I1508" s="22"/>
    </row>
    <row r="1509" spans="8:8" s="16" ht="16.5" customFormat="1">
      <c r="A1509" s="126"/>
      <c r="B1509" s="42"/>
      <c r="C1509" s="42"/>
      <c r="D1509" s="42"/>
      <c r="E1509" s="42"/>
      <c r="F1509" s="42"/>
      <c r="G1509" s="126"/>
      <c r="H1509" s="21"/>
      <c r="I1509" s="22"/>
    </row>
    <row r="1510" spans="8:8" s="16" ht="16.5" customFormat="1">
      <c r="A1510" s="126"/>
      <c r="B1510" s="42"/>
      <c r="C1510" s="42"/>
      <c r="D1510" s="42"/>
      <c r="E1510" s="42"/>
      <c r="F1510" s="42"/>
      <c r="G1510" s="126"/>
      <c r="H1510" s="21"/>
      <c r="I1510" s="22"/>
    </row>
    <row r="1511" spans="8:8" s="16" ht="16.5" customFormat="1">
      <c r="A1511" s="126"/>
      <c r="B1511" s="42"/>
      <c r="C1511" s="42"/>
      <c r="D1511" s="42"/>
      <c r="E1511" s="42"/>
      <c r="F1511" s="42"/>
      <c r="G1511" s="126"/>
      <c r="H1511" s="21"/>
      <c r="I1511" s="22"/>
    </row>
    <row r="1512" spans="8:8" s="16" ht="16.5" customFormat="1">
      <c r="A1512" s="126"/>
      <c r="B1512" s="42"/>
      <c r="C1512" s="42"/>
      <c r="D1512" s="42"/>
      <c r="E1512" s="42"/>
      <c r="F1512" s="42"/>
      <c r="G1512" s="126"/>
      <c r="H1512" s="21"/>
      <c r="I1512" s="22"/>
    </row>
    <row r="1513" spans="8:8" s="16" ht="16.5" customFormat="1">
      <c r="A1513" s="126"/>
      <c r="B1513" s="42"/>
      <c r="C1513" s="42"/>
      <c r="D1513" s="42"/>
      <c r="E1513" s="42"/>
      <c r="F1513" s="42"/>
      <c r="G1513" s="126"/>
      <c r="H1513" s="21"/>
      <c r="I1513" s="22"/>
    </row>
    <row r="1514" spans="8:8" s="16" ht="16.5" customFormat="1">
      <c r="A1514" s="126"/>
      <c r="B1514" s="42"/>
      <c r="C1514" s="42"/>
      <c r="D1514" s="42"/>
      <c r="E1514" s="42"/>
      <c r="F1514" s="42"/>
      <c r="G1514" s="126"/>
      <c r="H1514" s="21"/>
      <c r="I1514" s="22"/>
    </row>
    <row r="1515" spans="8:8" s="16" ht="16.5" customFormat="1">
      <c r="A1515" s="126"/>
      <c r="B1515" s="42"/>
      <c r="C1515" s="42"/>
      <c r="D1515" s="42"/>
      <c r="E1515" s="42"/>
      <c r="F1515" s="42"/>
      <c r="G1515" s="126"/>
      <c r="H1515" s="21"/>
      <c r="I1515" s="22"/>
    </row>
    <row r="1516" spans="8:8" s="16" ht="16.5" customFormat="1">
      <c r="A1516" s="126"/>
      <c r="B1516" s="42"/>
      <c r="C1516" s="42"/>
      <c r="D1516" s="42"/>
      <c r="E1516" s="42"/>
      <c r="F1516" s="42"/>
      <c r="G1516" s="126"/>
      <c r="H1516" s="21"/>
      <c r="I1516" s="22"/>
    </row>
    <row r="1517" spans="8:8" s="16" ht="16.5" customFormat="1">
      <c r="A1517" s="126"/>
      <c r="B1517" s="42"/>
      <c r="C1517" s="42"/>
      <c r="D1517" s="42"/>
      <c r="E1517" s="42"/>
      <c r="F1517" s="42"/>
      <c r="G1517" s="126"/>
      <c r="H1517" s="21"/>
      <c r="I1517" s="22"/>
    </row>
    <row r="1518" spans="8:8" s="16" ht="16.5" customFormat="1">
      <c r="A1518" s="126"/>
      <c r="B1518" s="42"/>
      <c r="C1518" s="42"/>
      <c r="D1518" s="42"/>
      <c r="E1518" s="42"/>
      <c r="F1518" s="42"/>
      <c r="G1518" s="126"/>
      <c r="H1518" s="21"/>
      <c r="I1518" s="22"/>
    </row>
    <row r="1519" spans="8:8" s="16" ht="16.5" customFormat="1">
      <c r="A1519" s="126"/>
      <c r="B1519" s="42"/>
      <c r="C1519" s="42"/>
      <c r="D1519" s="42"/>
      <c r="E1519" s="42"/>
      <c r="F1519" s="42"/>
      <c r="G1519" s="126"/>
      <c r="H1519" s="21"/>
      <c r="I1519" s="22"/>
    </row>
    <row r="1520" spans="8:8" s="16" ht="16.5" customFormat="1">
      <c r="A1520" s="126"/>
      <c r="B1520" s="42"/>
      <c r="C1520" s="42"/>
      <c r="D1520" s="42"/>
      <c r="E1520" s="42"/>
      <c r="F1520" s="42"/>
      <c r="G1520" s="126"/>
      <c r="H1520" s="21"/>
      <c r="I1520" s="22"/>
    </row>
    <row r="1521" spans="8:8" s="16" ht="16.5" customFormat="1">
      <c r="A1521" s="126"/>
      <c r="B1521" s="42"/>
      <c r="C1521" s="42"/>
      <c r="D1521" s="42"/>
      <c r="E1521" s="42"/>
      <c r="F1521" s="42"/>
      <c r="G1521" s="126"/>
      <c r="H1521" s="21"/>
      <c r="I1521" s="22"/>
    </row>
    <row r="1522" spans="8:8" s="16" ht="16.5" customFormat="1">
      <c r="A1522" s="126"/>
      <c r="B1522" s="42"/>
      <c r="C1522" s="42"/>
      <c r="D1522" s="42"/>
      <c r="E1522" s="42"/>
      <c r="F1522" s="42"/>
      <c r="G1522" s="126"/>
      <c r="H1522" s="21"/>
      <c r="I1522" s="22"/>
    </row>
    <row r="1523" spans="8:8" s="16" ht="16.5" customFormat="1">
      <c r="A1523" s="126"/>
      <c r="B1523" s="42"/>
      <c r="C1523" s="42"/>
      <c r="D1523" s="42"/>
      <c r="E1523" s="42"/>
      <c r="F1523" s="42"/>
      <c r="G1523" s="126"/>
      <c r="H1523" s="21"/>
      <c r="I1523" s="22"/>
    </row>
    <row r="1524" spans="8:8" s="16" ht="16.5" customFormat="1">
      <c r="A1524" s="126"/>
      <c r="B1524" s="42"/>
      <c r="C1524" s="42"/>
      <c r="D1524" s="42"/>
      <c r="E1524" s="42"/>
      <c r="F1524" s="42"/>
      <c r="G1524" s="126"/>
      <c r="H1524" s="21"/>
      <c r="I1524" s="22"/>
    </row>
    <row r="1525" spans="8:8" s="16" ht="16.5" customFormat="1">
      <c r="A1525" s="126"/>
      <c r="B1525" s="42"/>
      <c r="C1525" s="42"/>
      <c r="D1525" s="42"/>
      <c r="E1525" s="42"/>
      <c r="F1525" s="42"/>
      <c r="G1525" s="126"/>
      <c r="H1525" s="21"/>
      <c r="I1525" s="22"/>
    </row>
    <row r="1526" spans="8:8" s="16" ht="16.5" customFormat="1">
      <c r="A1526" s="126"/>
      <c r="B1526" s="42"/>
      <c r="C1526" s="42"/>
      <c r="D1526" s="42"/>
      <c r="E1526" s="42"/>
      <c r="F1526" s="42"/>
      <c r="G1526" s="126"/>
      <c r="H1526" s="21"/>
      <c r="I1526" s="22"/>
    </row>
    <row r="1527" spans="8:8" s="16" ht="16.5" customFormat="1">
      <c r="A1527" s="126"/>
      <c r="B1527" s="42"/>
      <c r="C1527" s="42"/>
      <c r="D1527" s="42"/>
      <c r="E1527" s="42"/>
      <c r="F1527" s="42"/>
      <c r="G1527" s="126"/>
      <c r="H1527" s="21"/>
      <c r="I1527" s="22"/>
    </row>
    <row r="1528" spans="8:8" s="16" ht="16.5" customFormat="1">
      <c r="A1528" s="126"/>
      <c r="B1528" s="42"/>
      <c r="C1528" s="42"/>
      <c r="D1528" s="42"/>
      <c r="E1528" s="42"/>
      <c r="F1528" s="42"/>
      <c r="G1528" s="126"/>
      <c r="H1528" s="21"/>
      <c r="I1528" s="22"/>
    </row>
    <row r="1529" spans="8:8" s="16" ht="16.5" customFormat="1">
      <c r="A1529" s="126"/>
      <c r="B1529" s="42"/>
      <c r="C1529" s="42"/>
      <c r="D1529" s="42"/>
      <c r="E1529" s="42"/>
      <c r="F1529" s="42"/>
      <c r="G1529" s="126"/>
      <c r="H1529" s="21"/>
      <c r="I1529" s="22"/>
    </row>
    <row r="1530" spans="8:8" s="16" ht="16.5" customFormat="1">
      <c r="A1530" s="126"/>
      <c r="B1530" s="42"/>
      <c r="C1530" s="42"/>
      <c r="D1530" s="42"/>
      <c r="E1530" s="42"/>
      <c r="F1530" s="42"/>
      <c r="G1530" s="126"/>
      <c r="H1530" s="21"/>
      <c r="I1530" s="22"/>
    </row>
    <row r="1531" spans="8:8" s="16" ht="16.5" customFormat="1">
      <c r="A1531" s="126"/>
      <c r="B1531" s="42"/>
      <c r="C1531" s="42"/>
      <c r="D1531" s="42"/>
      <c r="E1531" s="42"/>
      <c r="F1531" s="42"/>
      <c r="G1531" s="126"/>
      <c r="H1531" s="21"/>
      <c r="I1531" s="22"/>
    </row>
    <row r="1532" spans="8:8" s="16" ht="16.5" customFormat="1">
      <c r="A1532" s="126"/>
      <c r="B1532" s="42"/>
      <c r="C1532" s="42"/>
      <c r="D1532" s="42"/>
      <c r="E1532" s="42"/>
      <c r="F1532" s="42"/>
      <c r="G1532" s="126"/>
      <c r="H1532" s="21"/>
      <c r="I1532" s="22"/>
    </row>
    <row r="1533" spans="8:8" s="16" ht="16.5" customFormat="1">
      <c r="A1533" s="126"/>
      <c r="B1533" s="42"/>
      <c r="C1533" s="42"/>
      <c r="D1533" s="42"/>
      <c r="E1533" s="42"/>
      <c r="F1533" s="42"/>
      <c r="G1533" s="126"/>
      <c r="H1533" s="21"/>
      <c r="I1533" s="22"/>
    </row>
    <row r="1534" spans="8:8" s="16" ht="16.5" customFormat="1">
      <c r="A1534" s="126"/>
      <c r="B1534" s="42"/>
      <c r="C1534" s="42"/>
      <c r="D1534" s="42"/>
      <c r="E1534" s="42"/>
      <c r="F1534" s="42"/>
      <c r="G1534" s="126"/>
      <c r="H1534" s="21"/>
      <c r="I1534" s="22"/>
    </row>
    <row r="1535" spans="8:8" s="16" ht="16.5" customFormat="1">
      <c r="A1535" s="126"/>
      <c r="B1535" s="42"/>
      <c r="C1535" s="42"/>
      <c r="D1535" s="42"/>
      <c r="E1535" s="42"/>
      <c r="F1535" s="42"/>
      <c r="G1535" s="126"/>
      <c r="H1535" s="21"/>
      <c r="I1535" s="22"/>
    </row>
    <row r="1536" spans="8:8" s="16" ht="16.5" customFormat="1">
      <c r="A1536" s="126"/>
      <c r="B1536" s="42"/>
      <c r="C1536" s="42"/>
      <c r="D1536" s="42"/>
      <c r="E1536" s="42"/>
      <c r="F1536" s="42"/>
      <c r="G1536" s="126"/>
      <c r="H1536" s="21"/>
      <c r="I1536" s="22"/>
    </row>
    <row r="1537" spans="8:8" s="16" ht="16.5" customFormat="1">
      <c r="A1537" s="126"/>
      <c r="B1537" s="42"/>
      <c r="C1537" s="42"/>
      <c r="D1537" s="42"/>
      <c r="E1537" s="42"/>
      <c r="F1537" s="42"/>
      <c r="G1537" s="126"/>
      <c r="H1537" s="21"/>
      <c r="I1537" s="22"/>
    </row>
    <row r="1538" spans="8:8" s="16" ht="16.5" customFormat="1">
      <c r="A1538" s="126"/>
      <c r="B1538" s="42"/>
      <c r="C1538" s="42"/>
      <c r="D1538" s="42"/>
      <c r="E1538" s="42"/>
      <c r="F1538" s="42"/>
      <c r="G1538" s="126"/>
      <c r="H1538" s="21"/>
      <c r="I1538" s="22"/>
    </row>
    <row r="1539" spans="8:8" s="16" ht="16.5" customFormat="1">
      <c r="A1539" s="126"/>
      <c r="B1539" s="42"/>
      <c r="C1539" s="42"/>
      <c r="D1539" s="42"/>
      <c r="E1539" s="42"/>
      <c r="F1539" s="42"/>
      <c r="G1539" s="126"/>
      <c r="H1539" s="21"/>
      <c r="I1539" s="22"/>
    </row>
    <row r="1540" spans="8:8" s="16" ht="16.5" customFormat="1">
      <c r="A1540" s="126"/>
      <c r="B1540" s="42"/>
      <c r="C1540" s="42"/>
      <c r="D1540" s="42"/>
      <c r="E1540" s="42"/>
      <c r="F1540" s="42"/>
      <c r="G1540" s="126"/>
      <c r="H1540" s="21"/>
      <c r="I1540" s="22"/>
    </row>
    <row r="1541" spans="8:8" s="16" ht="16.5" customFormat="1">
      <c r="A1541" s="126"/>
      <c r="B1541" s="42"/>
      <c r="C1541" s="42"/>
      <c r="D1541" s="42"/>
      <c r="E1541" s="42"/>
      <c r="F1541" s="42"/>
      <c r="G1541" s="126"/>
      <c r="H1541" s="21"/>
      <c r="I1541" s="22"/>
    </row>
    <row r="1542" spans="8:8" s="16" ht="16.5" customFormat="1">
      <c r="A1542" s="126"/>
      <c r="B1542" s="42"/>
      <c r="C1542" s="42"/>
      <c r="D1542" s="42"/>
      <c r="E1542" s="42"/>
      <c r="F1542" s="42"/>
      <c r="G1542" s="126"/>
      <c r="H1542" s="21"/>
      <c r="I1542" s="22"/>
    </row>
    <row r="1543" spans="8:8" s="16" ht="16.5" customFormat="1">
      <c r="A1543" s="126"/>
      <c r="B1543" s="42"/>
      <c r="C1543" s="42"/>
      <c r="D1543" s="42"/>
      <c r="E1543" s="42"/>
      <c r="F1543" s="42"/>
      <c r="G1543" s="126"/>
      <c r="H1543" s="21"/>
      <c r="I1543" s="22"/>
    </row>
    <row r="1544" spans="8:8" s="16" ht="16.5" customFormat="1">
      <c r="A1544" s="126"/>
      <c r="B1544" s="42"/>
      <c r="C1544" s="42"/>
      <c r="D1544" s="42"/>
      <c r="E1544" s="42"/>
      <c r="F1544" s="42"/>
      <c r="G1544" s="126"/>
      <c r="H1544" s="21"/>
      <c r="I1544" s="22"/>
    </row>
    <row r="1545" spans="8:8" s="16" ht="16.5" customFormat="1">
      <c r="A1545" s="126"/>
      <c r="B1545" s="42"/>
      <c r="C1545" s="42"/>
      <c r="D1545" s="42"/>
      <c r="E1545" s="42"/>
      <c r="F1545" s="42"/>
      <c r="G1545" s="126"/>
      <c r="H1545" s="21"/>
      <c r="I1545" s="22"/>
    </row>
    <row r="1546" spans="8:8" s="16" ht="16.5" customFormat="1">
      <c r="A1546" s="126"/>
      <c r="B1546" s="42"/>
      <c r="C1546" s="42"/>
      <c r="D1546" s="42"/>
      <c r="E1546" s="42"/>
      <c r="F1546" s="42"/>
      <c r="G1546" s="126"/>
      <c r="H1546" s="21"/>
      <c r="I1546" s="22"/>
    </row>
    <row r="1547" spans="8:8" s="16" ht="16.5" customFormat="1">
      <c r="A1547" s="126"/>
      <c r="B1547" s="42"/>
      <c r="C1547" s="42"/>
      <c r="D1547" s="42"/>
      <c r="E1547" s="42"/>
      <c r="F1547" s="42"/>
      <c r="G1547" s="126"/>
      <c r="H1547" s="21"/>
      <c r="I1547" s="22"/>
    </row>
    <row r="1548" spans="8:8" s="16" ht="16.5" customFormat="1">
      <c r="A1548" s="126"/>
      <c r="B1548" s="42"/>
      <c r="C1548" s="42"/>
      <c r="D1548" s="42"/>
      <c r="E1548" s="42"/>
      <c r="F1548" s="42"/>
      <c r="G1548" s="126"/>
      <c r="H1548" s="21"/>
      <c r="I1548" s="22"/>
    </row>
    <row r="1549" spans="8:8" s="16" ht="16.5" customFormat="1">
      <c r="A1549" s="126"/>
      <c r="B1549" s="42"/>
      <c r="C1549" s="42"/>
      <c r="D1549" s="42"/>
      <c r="E1549" s="42"/>
      <c r="F1549" s="42"/>
      <c r="G1549" s="126"/>
      <c r="H1549" s="21"/>
      <c r="I1549" s="22"/>
    </row>
    <row r="1550" spans="8:8" s="16" ht="16.5" customFormat="1">
      <c r="A1550" s="126"/>
      <c r="B1550" s="42"/>
      <c r="C1550" s="42"/>
      <c r="D1550" s="42"/>
      <c r="E1550" s="42"/>
      <c r="F1550" s="42"/>
      <c r="G1550" s="126"/>
      <c r="H1550" s="21"/>
      <c r="I1550" s="22"/>
    </row>
    <row r="1551" spans="8:8" s="16" ht="16.5" customFormat="1">
      <c r="A1551" s="126"/>
      <c r="B1551" s="42"/>
      <c r="C1551" s="42"/>
      <c r="D1551" s="42"/>
      <c r="E1551" s="42"/>
      <c r="F1551" s="42"/>
      <c r="G1551" s="126"/>
      <c r="H1551" s="21"/>
      <c r="I1551" s="22"/>
    </row>
    <row r="1552" spans="8:8" s="16" ht="16.5" customFormat="1">
      <c r="A1552" s="126"/>
      <c r="B1552" s="42"/>
      <c r="C1552" s="42"/>
      <c r="D1552" s="42"/>
      <c r="E1552" s="42"/>
      <c r="F1552" s="42"/>
      <c r="G1552" s="126"/>
      <c r="H1552" s="21"/>
      <c r="I1552" s="22"/>
    </row>
    <row r="1553" spans="8:8" s="16" ht="16.5" customFormat="1">
      <c r="A1553" s="126"/>
      <c r="B1553" s="42"/>
      <c r="C1553" s="42"/>
      <c r="D1553" s="42"/>
      <c r="E1553" s="42"/>
      <c r="F1553" s="42"/>
      <c r="G1553" s="126"/>
      <c r="H1553" s="21"/>
      <c r="I1553" s="22"/>
    </row>
    <row r="1554" spans="8:8" s="16" ht="16.5" customFormat="1">
      <c r="A1554" s="126"/>
      <c r="B1554" s="42"/>
      <c r="C1554" s="42"/>
      <c r="D1554" s="42"/>
      <c r="E1554" s="42"/>
      <c r="F1554" s="42"/>
      <c r="G1554" s="126"/>
      <c r="H1554" s="21"/>
      <c r="I1554" s="22"/>
    </row>
    <row r="1555" spans="8:8" s="16" ht="16.5" customFormat="1">
      <c r="A1555" s="126"/>
      <c r="B1555" s="42"/>
      <c r="C1555" s="42"/>
      <c r="D1555" s="42"/>
      <c r="E1555" s="42"/>
      <c r="F1555" s="42"/>
      <c r="G1555" s="126"/>
      <c r="H1555" s="21"/>
      <c r="I1555" s="22"/>
    </row>
    <row r="1556" spans="8:8" s="16" ht="16.5" customFormat="1">
      <c r="A1556" s="126"/>
      <c r="B1556" s="42"/>
      <c r="C1556" s="42"/>
      <c r="D1556" s="42"/>
      <c r="E1556" s="42"/>
      <c r="F1556" s="42"/>
      <c r="G1556" s="126"/>
      <c r="H1556" s="21"/>
      <c r="I1556" s="22"/>
    </row>
    <row r="1557" spans="8:8" s="16" ht="16.5" customFormat="1">
      <c r="A1557" s="126"/>
      <c r="B1557" s="42"/>
      <c r="C1557" s="42"/>
      <c r="D1557" s="42"/>
      <c r="E1557" s="42"/>
      <c r="F1557" s="42"/>
      <c r="G1557" s="126"/>
      <c r="H1557" s="21"/>
      <c r="I1557" s="22"/>
    </row>
    <row r="1558" spans="8:8" s="16" ht="16.5" customFormat="1">
      <c r="A1558" s="126"/>
      <c r="B1558" s="42"/>
      <c r="C1558" s="42"/>
      <c r="D1558" s="42"/>
      <c r="E1558" s="42"/>
      <c r="F1558" s="42"/>
      <c r="G1558" s="126"/>
      <c r="H1558" s="21"/>
      <c r="I1558" s="22"/>
    </row>
    <row r="1559" spans="8:8" s="16" ht="16.5" customFormat="1">
      <c r="A1559" s="126"/>
      <c r="B1559" s="42"/>
      <c r="C1559" s="42"/>
      <c r="D1559" s="42"/>
      <c r="E1559" s="42"/>
      <c r="F1559" s="42"/>
      <c r="G1559" s="126"/>
      <c r="H1559" s="21"/>
      <c r="I1559" s="22"/>
    </row>
    <row r="1560" spans="8:8" s="16" ht="16.5" customFormat="1">
      <c r="A1560" s="126"/>
      <c r="B1560" s="42"/>
      <c r="C1560" s="42"/>
      <c r="D1560" s="42"/>
      <c r="E1560" s="42"/>
      <c r="F1560" s="42"/>
      <c r="G1560" s="126"/>
      <c r="H1560" s="21"/>
      <c r="I1560" s="22"/>
    </row>
    <row r="1561" spans="8:8" s="16" ht="16.5" customFormat="1">
      <c r="A1561" s="126"/>
      <c r="B1561" s="42"/>
      <c r="C1561" s="42"/>
      <c r="D1561" s="42"/>
      <c r="E1561" s="42"/>
      <c r="F1561" s="42"/>
      <c r="G1561" s="126"/>
      <c r="H1561" s="21"/>
      <c r="I1561" s="22"/>
    </row>
    <row r="1562" spans="8:8" s="16" ht="16.5" customFormat="1">
      <c r="A1562" s="126"/>
      <c r="B1562" s="42"/>
      <c r="C1562" s="42"/>
      <c r="D1562" s="42"/>
      <c r="E1562" s="42"/>
      <c r="F1562" s="42"/>
      <c r="G1562" s="126"/>
      <c r="H1562" s="21"/>
      <c r="I1562" s="22"/>
    </row>
    <row r="1563" spans="8:8" s="16" ht="16.5" customFormat="1">
      <c r="A1563" s="126"/>
      <c r="B1563" s="42"/>
      <c r="C1563" s="42"/>
      <c r="D1563" s="42"/>
      <c r="E1563" s="42"/>
      <c r="F1563" s="42"/>
      <c r="G1563" s="126"/>
      <c r="H1563" s="21"/>
      <c r="I1563" s="22"/>
    </row>
    <row r="1564" spans="8:8" s="16" ht="16.5" customFormat="1">
      <c r="A1564" s="126"/>
      <c r="B1564" s="42"/>
      <c r="C1564" s="42"/>
      <c r="D1564" s="42"/>
      <c r="E1564" s="42"/>
      <c r="F1564" s="42"/>
      <c r="G1564" s="126"/>
      <c r="H1564" s="21"/>
      <c r="I1564" s="22"/>
    </row>
    <row r="1565" spans="8:8" s="16" ht="16.5" customFormat="1">
      <c r="A1565" s="126"/>
      <c r="B1565" s="42"/>
      <c r="C1565" s="42"/>
      <c r="D1565" s="42"/>
      <c r="E1565" s="42"/>
      <c r="F1565" s="42"/>
      <c r="G1565" s="126"/>
      <c r="H1565" s="21"/>
      <c r="I1565" s="22"/>
    </row>
    <row r="1566" spans="8:8" s="16" ht="16.5" customFormat="1">
      <c r="A1566" s="126"/>
      <c r="B1566" s="42"/>
      <c r="C1566" s="42"/>
      <c r="D1566" s="42"/>
      <c r="E1566" s="42"/>
      <c r="F1566" s="42"/>
      <c r="G1566" s="126"/>
      <c r="H1566" s="21"/>
      <c r="I1566" s="22"/>
    </row>
    <row r="1567" spans="8:8" s="16" ht="16.5" customFormat="1">
      <c r="A1567" s="126"/>
      <c r="B1567" s="42"/>
      <c r="C1567" s="42"/>
      <c r="D1567" s="42"/>
      <c r="E1567" s="42"/>
      <c r="F1567" s="42"/>
      <c r="G1567" s="126"/>
      <c r="H1567" s="21"/>
      <c r="I1567" s="22"/>
    </row>
    <row r="1568" spans="8:8" s="16" ht="16.5" customFormat="1">
      <c r="A1568" s="126"/>
      <c r="B1568" s="42"/>
      <c r="C1568" s="42"/>
      <c r="D1568" s="42"/>
      <c r="E1568" s="42"/>
      <c r="F1568" s="42"/>
      <c r="G1568" s="126"/>
      <c r="H1568" s="21"/>
      <c r="I1568" s="22"/>
    </row>
    <row r="1569" spans="8:8" s="16" ht="16.5" customFormat="1">
      <c r="A1569" s="126"/>
      <c r="B1569" s="42"/>
      <c r="C1569" s="42"/>
      <c r="D1569" s="42"/>
      <c r="E1569" s="42"/>
      <c r="F1569" s="42"/>
      <c r="G1569" s="126"/>
      <c r="H1569" s="21"/>
      <c r="I1569" s="22"/>
    </row>
    <row r="1570" spans="8:8" s="16" ht="16.5" customFormat="1">
      <c r="A1570" s="126"/>
      <c r="B1570" s="42"/>
      <c r="C1570" s="42"/>
      <c r="D1570" s="42"/>
      <c r="E1570" s="42"/>
      <c r="F1570" s="42"/>
      <c r="G1570" s="126"/>
      <c r="H1570" s="21"/>
      <c r="I1570" s="22"/>
    </row>
    <row r="1571" spans="8:8" s="16" ht="16.5" customFormat="1">
      <c r="A1571" s="126"/>
      <c r="B1571" s="42"/>
      <c r="C1571" s="42"/>
      <c r="D1571" s="42"/>
      <c r="E1571" s="42"/>
      <c r="F1571" s="42"/>
      <c r="G1571" s="126"/>
      <c r="H1571" s="21"/>
      <c r="I1571" s="22"/>
    </row>
    <row r="1572" spans="8:8" s="16" ht="16.5" customFormat="1">
      <c r="A1572" s="126"/>
      <c r="B1572" s="42"/>
      <c r="C1572" s="42"/>
      <c r="D1572" s="42"/>
      <c r="E1572" s="42"/>
      <c r="F1572" s="42"/>
      <c r="G1572" s="126"/>
      <c r="H1572" s="21"/>
      <c r="I1572" s="22"/>
    </row>
    <row r="1573" spans="8:8" s="16" ht="16.5" customFormat="1">
      <c r="A1573" s="126"/>
      <c r="B1573" s="42"/>
      <c r="C1573" s="42"/>
      <c r="D1573" s="42"/>
      <c r="E1573" s="42"/>
      <c r="F1573" s="42"/>
      <c r="G1573" s="126"/>
      <c r="H1573" s="21"/>
      <c r="I1573" s="22"/>
    </row>
    <row r="1574" spans="8:8" s="16" ht="16.5" customFormat="1">
      <c r="A1574" s="126"/>
      <c r="B1574" s="42"/>
      <c r="C1574" s="42"/>
      <c r="D1574" s="42"/>
      <c r="E1574" s="42"/>
      <c r="F1574" s="42"/>
      <c r="G1574" s="126"/>
      <c r="H1574" s="21"/>
      <c r="I1574" s="22"/>
    </row>
    <row r="1575" spans="8:8" s="16" ht="16.5" customFormat="1">
      <c r="A1575" s="126"/>
      <c r="B1575" s="42"/>
      <c r="C1575" s="42"/>
      <c r="D1575" s="42"/>
      <c r="E1575" s="42"/>
      <c r="F1575" s="42"/>
      <c r="G1575" s="126"/>
      <c r="H1575" s="21"/>
      <c r="I1575" s="22"/>
    </row>
    <row r="1576" spans="8:8" s="16" ht="16.5" customFormat="1">
      <c r="A1576" s="126"/>
      <c r="B1576" s="42"/>
      <c r="C1576" s="42"/>
      <c r="D1576" s="42"/>
      <c r="E1576" s="42"/>
      <c r="F1576" s="42"/>
      <c r="G1576" s="126"/>
      <c r="H1576" s="21"/>
      <c r="I1576" s="22"/>
    </row>
    <row r="1577" spans="8:8" s="16" ht="16.5" customFormat="1">
      <c r="A1577" s="126"/>
      <c r="B1577" s="42"/>
      <c r="C1577" s="42"/>
      <c r="D1577" s="42"/>
      <c r="E1577" s="42"/>
      <c r="F1577" s="42"/>
      <c r="G1577" s="126"/>
      <c r="H1577" s="21"/>
      <c r="I1577" s="22"/>
    </row>
    <row r="1578" spans="8:8" s="16" ht="16.5" customFormat="1">
      <c r="A1578" s="126"/>
      <c r="B1578" s="42"/>
      <c r="C1578" s="42"/>
      <c r="D1578" s="42"/>
      <c r="E1578" s="42"/>
      <c r="F1578" s="42"/>
      <c r="G1578" s="126"/>
      <c r="H1578" s="21"/>
      <c r="I1578" s="22"/>
    </row>
    <row r="1579" spans="8:8" s="16" ht="16.5" customFormat="1">
      <c r="A1579" s="126"/>
      <c r="B1579" s="42"/>
      <c r="C1579" s="42"/>
      <c r="D1579" s="42"/>
      <c r="E1579" s="42"/>
      <c r="F1579" s="42"/>
      <c r="G1579" s="126"/>
      <c r="H1579" s="21"/>
      <c r="I1579" s="22"/>
    </row>
    <row r="1580" spans="8:8" s="16" ht="16.5" customFormat="1">
      <c r="A1580" s="126"/>
      <c r="B1580" s="42"/>
      <c r="C1580" s="42"/>
      <c r="D1580" s="42"/>
      <c r="E1580" s="42"/>
      <c r="F1580" s="42"/>
      <c r="G1580" s="126"/>
      <c r="H1580" s="21"/>
      <c r="I1580" s="22"/>
    </row>
    <row r="1581" spans="8:8" s="16" ht="16.5" customFormat="1">
      <c r="A1581" s="126"/>
      <c r="B1581" s="42"/>
      <c r="C1581" s="42"/>
      <c r="D1581" s="42"/>
      <c r="E1581" s="42"/>
      <c r="F1581" s="42"/>
      <c r="G1581" s="126"/>
      <c r="H1581" s="21"/>
      <c r="I1581" s="22"/>
    </row>
    <row r="1582" spans="8:8" s="16" ht="16.5" customFormat="1">
      <c r="A1582" s="126"/>
      <c r="B1582" s="42"/>
      <c r="C1582" s="42"/>
      <c r="D1582" s="42"/>
      <c r="E1582" s="42"/>
      <c r="F1582" s="42"/>
      <c r="G1582" s="126"/>
      <c r="H1582" s="21"/>
      <c r="I1582" s="22"/>
    </row>
    <row r="1583" spans="8:8" s="16" ht="16.5" customFormat="1">
      <c r="A1583" s="126"/>
      <c r="B1583" s="42"/>
      <c r="C1583" s="42"/>
      <c r="D1583" s="42"/>
      <c r="E1583" s="42"/>
      <c r="F1583" s="42"/>
      <c r="G1583" s="126"/>
      <c r="H1583" s="21"/>
      <c r="I1583" s="22"/>
    </row>
    <row r="1584" spans="8:8" s="16" ht="16.5" customFormat="1">
      <c r="A1584" s="126"/>
      <c r="B1584" s="42"/>
      <c r="C1584" s="42"/>
      <c r="D1584" s="42"/>
      <c r="E1584" s="42"/>
      <c r="F1584" s="42"/>
      <c r="G1584" s="126"/>
      <c r="H1584" s="21"/>
      <c r="I1584" s="22"/>
    </row>
    <row r="1585" spans="8:8" s="16" ht="16.5" customFormat="1">
      <c r="A1585" s="126"/>
      <c r="B1585" s="42"/>
      <c r="C1585" s="42"/>
      <c r="D1585" s="42"/>
      <c r="E1585" s="42"/>
      <c r="F1585" s="42"/>
      <c r="G1585" s="126"/>
      <c r="H1585" s="21"/>
      <c r="I1585" s="22"/>
    </row>
    <row r="1586" spans="8:8" s="16" ht="16.5" customFormat="1">
      <c r="A1586" s="126"/>
      <c r="B1586" s="42"/>
      <c r="C1586" s="42"/>
      <c r="D1586" s="42"/>
      <c r="E1586" s="42"/>
      <c r="F1586" s="42"/>
      <c r="G1586" s="126"/>
      <c r="H1586" s="21"/>
      <c r="I1586" s="22"/>
    </row>
    <row r="1587" spans="8:8" s="16" ht="16.5" customFormat="1">
      <c r="A1587" s="126"/>
      <c r="B1587" s="42"/>
      <c r="C1587" s="42"/>
      <c r="D1587" s="42"/>
      <c r="E1587" s="42"/>
      <c r="F1587" s="42"/>
      <c r="G1587" s="126"/>
      <c r="H1587" s="21"/>
      <c r="I1587" s="22"/>
    </row>
    <row r="1588" spans="8:8" s="16" ht="16.5" customFormat="1">
      <c r="A1588" s="126"/>
      <c r="B1588" s="42"/>
      <c r="C1588" s="42"/>
      <c r="D1588" s="42"/>
      <c r="E1588" s="42"/>
      <c r="F1588" s="42"/>
      <c r="G1588" s="126"/>
      <c r="H1588" s="21"/>
      <c r="I1588" s="22"/>
    </row>
    <row r="1589" spans="8:8" s="16" ht="16.5" customFormat="1">
      <c r="A1589" s="126"/>
      <c r="B1589" s="42"/>
      <c r="C1589" s="42"/>
      <c r="D1589" s="42"/>
      <c r="E1589" s="42"/>
      <c r="F1589" s="42"/>
      <c r="G1589" s="126"/>
      <c r="H1589" s="21"/>
      <c r="I1589" s="22"/>
    </row>
    <row r="1590" spans="8:8" s="16" ht="16.5" customFormat="1">
      <c r="A1590" s="126"/>
      <c r="B1590" s="42"/>
      <c r="C1590" s="42"/>
      <c r="D1590" s="42"/>
      <c r="E1590" s="42"/>
      <c r="F1590" s="42"/>
      <c r="G1590" s="126"/>
      <c r="H1590" s="21"/>
      <c r="I1590" s="22"/>
    </row>
    <row r="1591" spans="8:8" s="16" ht="16.5" customFormat="1">
      <c r="A1591" s="126"/>
      <c r="B1591" s="42"/>
      <c r="C1591" s="42"/>
      <c r="D1591" s="42"/>
      <c r="E1591" s="42"/>
      <c r="F1591" s="42"/>
      <c r="G1591" s="126"/>
      <c r="H1591" s="21"/>
      <c r="I1591" s="22"/>
    </row>
    <row r="1592" spans="8:8" s="16" ht="16.5" customFormat="1">
      <c r="A1592" s="126"/>
      <c r="B1592" s="42"/>
      <c r="C1592" s="42"/>
      <c r="D1592" s="42"/>
      <c r="E1592" s="42"/>
      <c r="F1592" s="42"/>
      <c r="G1592" s="126"/>
      <c r="H1592" s="21"/>
      <c r="I1592" s="22"/>
    </row>
    <row r="1593" spans="8:8" s="16" ht="16.5" customFormat="1">
      <c r="A1593" s="126"/>
      <c r="B1593" s="42"/>
      <c r="C1593" s="42"/>
      <c r="D1593" s="42"/>
      <c r="E1593" s="42"/>
      <c r="F1593" s="42"/>
      <c r="G1593" s="126"/>
      <c r="H1593" s="21"/>
      <c r="I1593" s="22"/>
    </row>
    <row r="1594" spans="8:8" s="16" ht="16.5" customFormat="1">
      <c r="A1594" s="126"/>
      <c r="B1594" s="42"/>
      <c r="C1594" s="42"/>
      <c r="D1594" s="42"/>
      <c r="E1594" s="42"/>
      <c r="F1594" s="42"/>
      <c r="G1594" s="126"/>
      <c r="H1594" s="21"/>
      <c r="I1594" s="22"/>
    </row>
    <row r="1595" spans="8:8" s="16" ht="16.5" customFormat="1">
      <c r="A1595" s="126"/>
      <c r="B1595" s="42"/>
      <c r="C1595" s="42"/>
      <c r="D1595" s="42"/>
      <c r="E1595" s="42"/>
      <c r="F1595" s="42"/>
      <c r="G1595" s="126"/>
      <c r="H1595" s="21"/>
      <c r="I1595" s="22"/>
    </row>
    <row r="1596" spans="8:8" s="16" ht="16.5" customFormat="1">
      <c r="A1596" s="126"/>
      <c r="B1596" s="42"/>
      <c r="C1596" s="42"/>
      <c r="D1596" s="42"/>
      <c r="E1596" s="42"/>
      <c r="F1596" s="42"/>
      <c r="G1596" s="126"/>
      <c r="H1596" s="21"/>
      <c r="I1596" s="22"/>
    </row>
    <row r="1597" spans="8:8" s="16" ht="16.5" customFormat="1">
      <c r="A1597" s="126"/>
      <c r="B1597" s="42"/>
      <c r="C1597" s="42"/>
      <c r="D1597" s="42"/>
      <c r="E1597" s="42"/>
      <c r="F1597" s="42"/>
      <c r="G1597" s="126"/>
      <c r="H1597" s="21"/>
      <c r="I1597" s="22"/>
    </row>
    <row r="1598" spans="8:8" s="16" ht="16.5" customFormat="1">
      <c r="A1598" s="126"/>
      <c r="B1598" s="42"/>
      <c r="C1598" s="42"/>
      <c r="D1598" s="42"/>
      <c r="E1598" s="42"/>
      <c r="F1598" s="42"/>
      <c r="G1598" s="126"/>
      <c r="H1598" s="21"/>
      <c r="I1598" s="22"/>
    </row>
    <row r="1599" spans="8:8" s="16" ht="16.5" customFormat="1">
      <c r="A1599" s="126"/>
      <c r="B1599" s="42"/>
      <c r="C1599" s="42"/>
      <c r="D1599" s="42"/>
      <c r="E1599" s="42"/>
      <c r="F1599" s="42"/>
      <c r="G1599" s="126"/>
      <c r="H1599" s="21"/>
      <c r="I1599" s="22"/>
    </row>
    <row r="1600" spans="8:8" s="16" ht="16.5" customFormat="1">
      <c r="A1600" s="126"/>
      <c r="B1600" s="42"/>
      <c r="C1600" s="42"/>
      <c r="D1600" s="42"/>
      <c r="E1600" s="42"/>
      <c r="F1600" s="42"/>
      <c r="G1600" s="126"/>
      <c r="H1600" s="21"/>
      <c r="I1600" s="22"/>
    </row>
    <row r="1601" spans="8:8" s="16" ht="16.5" customFormat="1">
      <c r="A1601" s="126"/>
      <c r="B1601" s="42"/>
      <c r="C1601" s="42"/>
      <c r="D1601" s="42"/>
      <c r="E1601" s="42"/>
      <c r="F1601" s="42"/>
      <c r="G1601" s="126"/>
      <c r="H1601" s="21"/>
      <c r="I1601" s="22"/>
    </row>
    <row r="1602" spans="8:8" s="16" ht="16.5" customFormat="1">
      <c r="A1602" s="126"/>
      <c r="B1602" s="42"/>
      <c r="C1602" s="42"/>
      <c r="D1602" s="42"/>
      <c r="E1602" s="42"/>
      <c r="F1602" s="42"/>
      <c r="G1602" s="126"/>
      <c r="H1602" s="21"/>
      <c r="I1602" s="22"/>
    </row>
    <row r="1603" spans="8:8" s="16" ht="16.5" customFormat="1">
      <c r="A1603" s="126"/>
      <c r="B1603" s="42"/>
      <c r="C1603" s="42"/>
      <c r="D1603" s="42"/>
      <c r="E1603" s="42"/>
      <c r="F1603" s="42"/>
      <c r="G1603" s="126"/>
      <c r="H1603" s="21"/>
      <c r="I1603" s="22"/>
    </row>
    <row r="1604" spans="8:8" s="16" ht="16.5" customFormat="1">
      <c r="A1604" s="126"/>
      <c r="B1604" s="42"/>
      <c r="C1604" s="42"/>
      <c r="D1604" s="42"/>
      <c r="E1604" s="42"/>
      <c r="F1604" s="42"/>
      <c r="G1604" s="126"/>
      <c r="H1604" s="21"/>
      <c r="I1604" s="22"/>
    </row>
    <row r="1605" spans="8:8" s="16" ht="16.5" customFormat="1">
      <c r="A1605" s="126"/>
      <c r="B1605" s="42"/>
      <c r="C1605" s="42"/>
      <c r="D1605" s="42"/>
      <c r="E1605" s="42"/>
      <c r="F1605" s="42"/>
      <c r="G1605" s="126"/>
      <c r="H1605" s="21"/>
      <c r="I1605" s="22"/>
    </row>
    <row r="1606" spans="8:8" s="16" ht="16.5" customFormat="1">
      <c r="A1606" s="126"/>
      <c r="B1606" s="42"/>
      <c r="C1606" s="42"/>
      <c r="D1606" s="42"/>
      <c r="E1606" s="42"/>
      <c r="F1606" s="42"/>
      <c r="G1606" s="126"/>
      <c r="H1606" s="21"/>
      <c r="I1606" s="22"/>
    </row>
    <row r="1607" spans="8:8" s="16" ht="16.5" customFormat="1">
      <c r="A1607" s="126"/>
      <c r="B1607" s="42"/>
      <c r="C1607" s="42"/>
      <c r="D1607" s="42"/>
      <c r="E1607" s="42"/>
      <c r="F1607" s="42"/>
      <c r="G1607" s="126"/>
      <c r="H1607" s="21"/>
      <c r="I1607" s="22"/>
    </row>
    <row r="1608" spans="8:8" s="16" ht="16.5" customFormat="1">
      <c r="A1608" s="126"/>
      <c r="B1608" s="42"/>
      <c r="C1608" s="42"/>
      <c r="D1608" s="42"/>
      <c r="E1608" s="42"/>
      <c r="F1608" s="42"/>
      <c r="G1608" s="126"/>
      <c r="H1608" s="21"/>
      <c r="I1608" s="22"/>
    </row>
    <row r="1609" spans="8:8" s="16" ht="16.5" customFormat="1">
      <c r="A1609" s="126"/>
      <c r="B1609" s="42"/>
      <c r="C1609" s="42"/>
      <c r="D1609" s="42"/>
      <c r="E1609" s="42"/>
      <c r="F1609" s="42"/>
      <c r="G1609" s="126"/>
      <c r="H1609" s="21"/>
      <c r="I1609" s="22"/>
    </row>
    <row r="1610" spans="8:8" s="16" ht="16.5" customFormat="1">
      <c r="A1610" s="126"/>
      <c r="B1610" s="42"/>
      <c r="C1610" s="42"/>
      <c r="D1610" s="42"/>
      <c r="E1610" s="42"/>
      <c r="F1610" s="42"/>
      <c r="G1610" s="126"/>
      <c r="H1610" s="21"/>
      <c r="I1610" s="22"/>
    </row>
    <row r="1611" spans="8:8" s="16" ht="16.5" customFormat="1">
      <c r="A1611" s="126"/>
      <c r="B1611" s="42"/>
      <c r="C1611" s="42"/>
      <c r="D1611" s="42"/>
      <c r="E1611" s="42"/>
      <c r="F1611" s="42"/>
      <c r="G1611" s="126"/>
      <c r="H1611" s="21"/>
      <c r="I1611" s="22"/>
    </row>
    <row r="1612" spans="8:8" s="16" ht="16.5" customFormat="1">
      <c r="A1612" s="126"/>
      <c r="B1612" s="42"/>
      <c r="C1612" s="42"/>
      <c r="D1612" s="42"/>
      <c r="E1612" s="42"/>
      <c r="F1612" s="42"/>
      <c r="G1612" s="126"/>
      <c r="H1612" s="21"/>
      <c r="I1612" s="22"/>
    </row>
    <row r="1613" spans="8:8" s="16" ht="16.5" customFormat="1">
      <c r="A1613" s="126"/>
      <c r="B1613" s="42"/>
      <c r="C1613" s="42"/>
      <c r="D1613" s="42"/>
      <c r="E1613" s="42"/>
      <c r="F1613" s="42"/>
      <c r="G1613" s="126"/>
      <c r="H1613" s="21"/>
      <c r="I1613" s="22"/>
    </row>
    <row r="1614" spans="8:8" s="16" ht="16.5" customFormat="1">
      <c r="A1614" s="126"/>
      <c r="B1614" s="42"/>
      <c r="C1614" s="42"/>
      <c r="D1614" s="42"/>
      <c r="E1614" s="42"/>
      <c r="F1614" s="42"/>
      <c r="G1614" s="126"/>
      <c r="H1614" s="21"/>
      <c r="I1614" s="22"/>
    </row>
    <row r="1615" spans="8:8" s="16" ht="16.5" customFormat="1">
      <c r="A1615" s="126"/>
      <c r="B1615" s="42"/>
      <c r="C1615" s="42"/>
      <c r="D1615" s="42"/>
      <c r="E1615" s="42"/>
      <c r="F1615" s="42"/>
      <c r="G1615" s="126"/>
      <c r="H1615" s="21"/>
      <c r="I1615" s="22"/>
    </row>
    <row r="1616" spans="8:8" s="16" ht="16.5" customFormat="1">
      <c r="A1616" s="126"/>
      <c r="B1616" s="42"/>
      <c r="C1616" s="42"/>
      <c r="D1616" s="42"/>
      <c r="E1616" s="42"/>
      <c r="F1616" s="42"/>
      <c r="G1616" s="126"/>
      <c r="H1616" s="21"/>
      <c r="I1616" s="22"/>
    </row>
    <row r="1617" spans="8:8" s="16" ht="16.5" customFormat="1">
      <c r="A1617" s="126"/>
      <c r="B1617" s="42"/>
      <c r="C1617" s="42"/>
      <c r="D1617" s="42"/>
      <c r="E1617" s="42"/>
      <c r="F1617" s="42"/>
      <c r="G1617" s="126"/>
      <c r="H1617" s="21"/>
      <c r="I1617" s="22"/>
    </row>
    <row r="1618" spans="8:8" s="16" ht="16.5" customFormat="1">
      <c r="A1618" s="126"/>
      <c r="B1618" s="42"/>
      <c r="C1618" s="42"/>
      <c r="D1618" s="42"/>
      <c r="E1618" s="42"/>
      <c r="F1618" s="42"/>
      <c r="G1618" s="126"/>
      <c r="H1618" s="21"/>
      <c r="I1618" s="22"/>
    </row>
    <row r="1619" spans="8:8" s="16" ht="16.5" customFormat="1">
      <c r="A1619" s="126"/>
      <c r="B1619" s="42"/>
      <c r="C1619" s="42"/>
      <c r="D1619" s="42"/>
      <c r="E1619" s="42"/>
      <c r="F1619" s="42"/>
      <c r="G1619" s="126"/>
      <c r="H1619" s="21"/>
      <c r="I1619" s="22"/>
    </row>
    <row r="1620" spans="8:8" s="16" ht="16.5" customFormat="1">
      <c r="A1620" s="126"/>
      <c r="B1620" s="42"/>
      <c r="C1620" s="42"/>
      <c r="D1620" s="42"/>
      <c r="E1620" s="42"/>
      <c r="F1620" s="42"/>
      <c r="G1620" s="126"/>
      <c r="H1620" s="21"/>
      <c r="I1620" s="22"/>
    </row>
    <row r="1621" spans="8:8" s="16" ht="16.5" customFormat="1">
      <c r="A1621" s="126"/>
      <c r="B1621" s="42"/>
      <c r="C1621" s="42"/>
      <c r="D1621" s="42"/>
      <c r="E1621" s="42"/>
      <c r="F1621" s="42"/>
      <c r="G1621" s="126"/>
      <c r="H1621" s="21"/>
      <c r="I1621" s="22"/>
    </row>
    <row r="1622" spans="8:8" s="16" ht="16.5" customFormat="1">
      <c r="A1622" s="126"/>
      <c r="B1622" s="42"/>
      <c r="C1622" s="42"/>
      <c r="D1622" s="42"/>
      <c r="E1622" s="42"/>
      <c r="F1622" s="42"/>
      <c r="G1622" s="126"/>
      <c r="H1622" s="21"/>
      <c r="I1622" s="22"/>
    </row>
    <row r="1623" spans="8:8" s="16" ht="16.5" customFormat="1">
      <c r="A1623" s="126"/>
      <c r="B1623" s="42"/>
      <c r="C1623" s="42"/>
      <c r="D1623" s="42"/>
      <c r="E1623" s="42"/>
      <c r="F1623" s="42"/>
      <c r="G1623" s="126"/>
      <c r="H1623" s="21"/>
      <c r="I1623" s="22"/>
    </row>
    <row r="1624" spans="8:8" s="16" ht="16.5" customFormat="1">
      <c r="A1624" s="126"/>
      <c r="B1624" s="42"/>
      <c r="C1624" s="42"/>
      <c r="D1624" s="42"/>
      <c r="E1624" s="42"/>
      <c r="F1624" s="42"/>
      <c r="G1624" s="126"/>
      <c r="H1624" s="21"/>
      <c r="I1624" s="22"/>
    </row>
    <row r="1625" spans="8:8" s="16" ht="16.5" customFormat="1">
      <c r="A1625" s="126"/>
      <c r="B1625" s="42"/>
      <c r="C1625" s="42"/>
      <c r="D1625" s="42"/>
      <c r="E1625" s="42"/>
      <c r="F1625" s="42"/>
      <c r="G1625" s="126"/>
      <c r="H1625" s="21"/>
      <c r="I1625" s="22"/>
    </row>
    <row r="1626" spans="8:8" s="16" ht="16.5" customFormat="1">
      <c r="A1626" s="126"/>
      <c r="B1626" s="42"/>
      <c r="C1626" s="42"/>
      <c r="D1626" s="42"/>
      <c r="E1626" s="42"/>
      <c r="F1626" s="42"/>
      <c r="G1626" s="126"/>
      <c r="H1626" s="21"/>
      <c r="I1626" s="22"/>
    </row>
    <row r="1627" spans="8:8" s="16" ht="16.5" customFormat="1">
      <c r="A1627" s="126"/>
      <c r="B1627" s="42"/>
      <c r="C1627" s="42"/>
      <c r="D1627" s="42"/>
      <c r="E1627" s="42"/>
      <c r="F1627" s="42"/>
      <c r="G1627" s="126"/>
      <c r="H1627" s="21"/>
      <c r="I1627" s="22"/>
    </row>
    <row r="1628" spans="8:8" s="16" ht="16.5" customFormat="1">
      <c r="A1628" s="126"/>
      <c r="B1628" s="42"/>
      <c r="C1628" s="42"/>
      <c r="D1628" s="42"/>
      <c r="E1628" s="42"/>
      <c r="F1628" s="42"/>
      <c r="G1628" s="126"/>
      <c r="H1628" s="21"/>
      <c r="I1628" s="22"/>
    </row>
    <row r="1629" spans="8:8" s="16" ht="16.5" customFormat="1">
      <c r="A1629" s="126"/>
      <c r="B1629" s="42"/>
      <c r="C1629" s="42"/>
      <c r="D1629" s="42"/>
      <c r="E1629" s="42"/>
      <c r="F1629" s="42"/>
      <c r="G1629" s="126"/>
      <c r="H1629" s="21"/>
      <c r="I1629" s="22"/>
    </row>
    <row r="1630" spans="8:8" s="16" ht="16.5" customFormat="1">
      <c r="A1630" s="126"/>
      <c r="B1630" s="42"/>
      <c r="C1630" s="42"/>
      <c r="D1630" s="42"/>
      <c r="E1630" s="42"/>
      <c r="F1630" s="42"/>
      <c r="G1630" s="126"/>
      <c r="H1630" s="21"/>
      <c r="I1630" s="22"/>
    </row>
    <row r="1631" spans="8:8" s="16" ht="16.5" customFormat="1">
      <c r="A1631" s="126"/>
      <c r="B1631" s="42"/>
      <c r="C1631" s="42"/>
      <c r="D1631" s="42"/>
      <c r="E1631" s="42"/>
      <c r="F1631" s="42"/>
      <c r="G1631" s="126"/>
      <c r="H1631" s="21"/>
      <c r="I1631" s="22"/>
    </row>
    <row r="1632" spans="8:8" s="16" ht="16.5" customFormat="1">
      <c r="A1632" s="126"/>
      <c r="B1632" s="42"/>
      <c r="C1632" s="42"/>
      <c r="D1632" s="42"/>
      <c r="E1632" s="42"/>
      <c r="F1632" s="42"/>
      <c r="G1632" s="126"/>
      <c r="H1632" s="21"/>
      <c r="I1632" s="22"/>
    </row>
    <row r="1633" spans="8:8" s="16" ht="16.5" customFormat="1">
      <c r="A1633" s="126"/>
      <c r="B1633" s="42"/>
      <c r="C1633" s="42"/>
      <c r="D1633" s="42"/>
      <c r="E1633" s="42"/>
      <c r="F1633" s="42"/>
      <c r="G1633" s="126"/>
      <c r="H1633" s="21"/>
      <c r="I1633" s="22"/>
    </row>
    <row r="1634" spans="8:8" s="16" ht="16.5" customFormat="1">
      <c r="A1634" s="126"/>
      <c r="B1634" s="42"/>
      <c r="C1634" s="42"/>
      <c r="D1634" s="42"/>
      <c r="E1634" s="42"/>
      <c r="F1634" s="42"/>
      <c r="G1634" s="126"/>
      <c r="H1634" s="21"/>
      <c r="I1634" s="22"/>
    </row>
    <row r="1635" spans="8:8" s="16" ht="16.5" customFormat="1">
      <c r="A1635" s="126"/>
      <c r="B1635" s="42"/>
      <c r="C1635" s="42"/>
      <c r="D1635" s="42"/>
      <c r="E1635" s="42"/>
      <c r="F1635" s="42"/>
      <c r="G1635" s="126"/>
      <c r="H1635" s="21"/>
      <c r="I1635" s="22"/>
    </row>
    <row r="1636" spans="8:8" s="16" ht="16.5" customFormat="1">
      <c r="A1636" s="126"/>
      <c r="B1636" s="42"/>
      <c r="C1636" s="42"/>
      <c r="D1636" s="42"/>
      <c r="E1636" s="42"/>
      <c r="F1636" s="42"/>
      <c r="G1636" s="126"/>
      <c r="H1636" s="21"/>
      <c r="I1636" s="22"/>
    </row>
    <row r="1637" spans="8:8" s="16" ht="16.5" customFormat="1">
      <c r="A1637" s="126"/>
      <c r="B1637" s="42"/>
      <c r="C1637" s="42"/>
      <c r="D1637" s="42"/>
      <c r="E1637" s="42"/>
      <c r="F1637" s="42"/>
      <c r="G1637" s="126"/>
      <c r="H1637" s="21"/>
      <c r="I1637" s="22"/>
    </row>
    <row r="1638" spans="8:8" s="16" ht="16.5" customFormat="1">
      <c r="A1638" s="126"/>
      <c r="B1638" s="42"/>
      <c r="C1638" s="42"/>
      <c r="D1638" s="42"/>
      <c r="E1638" s="42"/>
      <c r="F1638" s="42"/>
      <c r="G1638" s="126"/>
      <c r="H1638" s="21"/>
      <c r="I1638" s="22"/>
    </row>
    <row r="1639" spans="8:8" s="16" ht="16.5" customFormat="1">
      <c r="A1639" s="126"/>
      <c r="B1639" s="42"/>
      <c r="C1639" s="42"/>
      <c r="D1639" s="42"/>
      <c r="E1639" s="42"/>
      <c r="F1639" s="42"/>
      <c r="G1639" s="126"/>
      <c r="H1639" s="21"/>
      <c r="I1639" s="22"/>
    </row>
    <row r="1640" spans="8:8" s="16" ht="16.5" customFormat="1">
      <c r="A1640" s="126"/>
      <c r="B1640" s="42"/>
      <c r="C1640" s="42"/>
      <c r="D1640" s="42"/>
      <c r="E1640" s="42"/>
      <c r="F1640" s="42"/>
      <c r="G1640" s="126"/>
      <c r="H1640" s="21"/>
      <c r="I1640" s="22"/>
    </row>
    <row r="1641" spans="8:8" s="16" ht="16.5" customFormat="1">
      <c r="A1641" s="126"/>
      <c r="B1641" s="42"/>
      <c r="C1641" s="42"/>
      <c r="D1641" s="42"/>
      <c r="E1641" s="42"/>
      <c r="F1641" s="42"/>
      <c r="G1641" s="126"/>
      <c r="H1641" s="21"/>
      <c r="I1641" s="22"/>
    </row>
    <row r="1642" spans="8:8" s="16" ht="16.5" customFormat="1">
      <c r="A1642" s="126"/>
      <c r="B1642" s="42"/>
      <c r="C1642" s="42"/>
      <c r="D1642" s="42"/>
      <c r="E1642" s="42"/>
      <c r="F1642" s="42"/>
      <c r="G1642" s="126"/>
      <c r="H1642" s="21"/>
      <c r="I1642" s="22"/>
    </row>
    <row r="1643" spans="8:8" s="16" ht="16.5" customFormat="1">
      <c r="A1643" s="126"/>
      <c r="B1643" s="42"/>
      <c r="C1643" s="42"/>
      <c r="D1643" s="42"/>
      <c r="E1643" s="42"/>
      <c r="F1643" s="42"/>
      <c r="G1643" s="126"/>
      <c r="H1643" s="21"/>
      <c r="I1643" s="22"/>
    </row>
    <row r="1644" spans="8:8" s="16" ht="16.5" customFormat="1">
      <c r="A1644" s="126"/>
      <c r="B1644" s="42"/>
      <c r="C1644" s="42"/>
      <c r="D1644" s="42"/>
      <c r="E1644" s="42"/>
      <c r="F1644" s="42"/>
      <c r="G1644" s="126"/>
      <c r="H1644" s="21"/>
      <c r="I1644" s="22"/>
    </row>
    <row r="1645" spans="8:8" s="16" ht="16.5" customFormat="1">
      <c r="A1645" s="126"/>
      <c r="B1645" s="42"/>
      <c r="C1645" s="42"/>
      <c r="D1645" s="42"/>
      <c r="E1645" s="42"/>
      <c r="F1645" s="42"/>
      <c r="G1645" s="126"/>
      <c r="H1645" s="21"/>
      <c r="I1645" s="22"/>
    </row>
    <row r="1646" spans="8:8" s="16" ht="16.5" customFormat="1">
      <c r="A1646" s="126"/>
      <c r="B1646" s="42"/>
      <c r="C1646" s="42"/>
      <c r="D1646" s="42"/>
      <c r="E1646" s="42"/>
      <c r="F1646" s="42"/>
      <c r="G1646" s="126"/>
      <c r="H1646" s="21"/>
      <c r="I1646" s="22"/>
    </row>
    <row r="1647" spans="8:8" s="16" ht="16.5" customFormat="1">
      <c r="A1647" s="126"/>
      <c r="B1647" s="42"/>
      <c r="C1647" s="42"/>
      <c r="D1647" s="42"/>
      <c r="E1647" s="42"/>
      <c r="F1647" s="42"/>
      <c r="G1647" s="126"/>
      <c r="H1647" s="21"/>
      <c r="I1647" s="22"/>
    </row>
    <row r="1648" spans="8:8" s="16" ht="16.5" customFormat="1">
      <c r="A1648" s="126"/>
      <c r="B1648" s="42"/>
      <c r="C1648" s="42"/>
      <c r="D1648" s="42"/>
      <c r="E1648" s="42"/>
      <c r="F1648" s="42"/>
      <c r="G1648" s="126"/>
      <c r="H1648" s="21"/>
      <c r="I1648" s="22"/>
    </row>
    <row r="1649" spans="8:8" s="16" ht="16.5" customFormat="1">
      <c r="A1649" s="126"/>
      <c r="B1649" s="42"/>
      <c r="C1649" s="42"/>
      <c r="D1649" s="42"/>
      <c r="E1649" s="42"/>
      <c r="F1649" s="42"/>
      <c r="G1649" s="126"/>
      <c r="H1649" s="21"/>
      <c r="I1649" s="22"/>
    </row>
    <row r="1650" spans="8:8" s="16" ht="16.5" customFormat="1">
      <c r="A1650" s="126"/>
      <c r="B1650" s="42"/>
      <c r="C1650" s="42"/>
      <c r="D1650" s="42"/>
      <c r="E1650" s="42"/>
      <c r="F1650" s="42"/>
      <c r="G1650" s="126"/>
      <c r="H1650" s="21"/>
      <c r="I1650" s="22"/>
    </row>
    <row r="1651" spans="8:8" s="16" ht="16.5" customFormat="1">
      <c r="A1651" s="126"/>
      <c r="B1651" s="42"/>
      <c r="C1651" s="42"/>
      <c r="D1651" s="42"/>
      <c r="E1651" s="42"/>
      <c r="F1651" s="42"/>
      <c r="G1651" s="126"/>
      <c r="H1651" s="21"/>
      <c r="I1651" s="22"/>
    </row>
    <row r="1652" spans="8:8" s="16" ht="16.5" customFormat="1">
      <c r="A1652" s="126"/>
      <c r="B1652" s="42"/>
      <c r="C1652" s="42"/>
      <c r="D1652" s="42"/>
      <c r="E1652" s="42"/>
      <c r="F1652" s="42"/>
      <c r="G1652" s="126"/>
      <c r="H1652" s="21"/>
      <c r="I1652" s="22"/>
    </row>
    <row r="1653" spans="8:8" s="16" ht="16.5" customFormat="1">
      <c r="A1653" s="126"/>
      <c r="B1653" s="42"/>
      <c r="C1653" s="42"/>
      <c r="D1653" s="42"/>
      <c r="E1653" s="42"/>
      <c r="F1653" s="42"/>
      <c r="G1653" s="126"/>
      <c r="H1653" s="21"/>
      <c r="I1653" s="22"/>
    </row>
    <row r="1654" spans="8:8" s="16" ht="16.5" customFormat="1">
      <c r="A1654" s="126"/>
      <c r="B1654" s="42"/>
      <c r="C1654" s="42"/>
      <c r="D1654" s="42"/>
      <c r="E1654" s="42"/>
      <c r="F1654" s="42"/>
      <c r="G1654" s="126"/>
      <c r="H1654" s="21"/>
      <c r="I1654" s="22"/>
    </row>
    <row r="1655" spans="8:8" s="16" ht="16.5" customFormat="1">
      <c r="A1655" s="126"/>
      <c r="B1655" s="42"/>
      <c r="C1655" s="42"/>
      <c r="D1655" s="42"/>
      <c r="E1655" s="42"/>
      <c r="F1655" s="42"/>
      <c r="G1655" s="126"/>
      <c r="H1655" s="21"/>
      <c r="I1655" s="22"/>
    </row>
    <row r="1656" spans="8:8" s="16" ht="16.5" customFormat="1">
      <c r="A1656" s="126"/>
      <c r="B1656" s="42"/>
      <c r="C1656" s="42"/>
      <c r="D1656" s="42"/>
      <c r="E1656" s="42"/>
      <c r="F1656" s="42"/>
      <c r="G1656" s="126"/>
      <c r="H1656" s="21"/>
      <c r="I1656" s="22"/>
    </row>
    <row r="1657" spans="8:8" s="16" ht="16.5" customFormat="1">
      <c r="A1657" s="126"/>
      <c r="B1657" s="42"/>
      <c r="C1657" s="42"/>
      <c r="D1657" s="42"/>
      <c r="E1657" s="42"/>
      <c r="F1657" s="42"/>
      <c r="G1657" s="126"/>
      <c r="H1657" s="21"/>
      <c r="I1657" s="22"/>
    </row>
    <row r="1658" spans="8:8" s="16" ht="16.5" customFormat="1">
      <c r="A1658" s="126"/>
      <c r="B1658" s="42"/>
      <c r="C1658" s="42"/>
      <c r="D1658" s="42"/>
      <c r="E1658" s="42"/>
      <c r="F1658" s="42"/>
      <c r="G1658" s="126"/>
      <c r="H1658" s="21"/>
      <c r="I1658" s="22"/>
    </row>
    <row r="1659" spans="8:8" s="16" ht="16.5" customFormat="1">
      <c r="A1659" s="126"/>
      <c r="B1659" s="42"/>
      <c r="C1659" s="42"/>
      <c r="D1659" s="42"/>
      <c r="E1659" s="42"/>
      <c r="F1659" s="42"/>
      <c r="G1659" s="126"/>
      <c r="H1659" s="21"/>
      <c r="I1659" s="22"/>
    </row>
    <row r="1660" spans="8:8" s="16" ht="16.5" customFormat="1">
      <c r="A1660" s="126"/>
      <c r="B1660" s="42"/>
      <c r="C1660" s="42"/>
      <c r="D1660" s="42"/>
      <c r="E1660" s="42"/>
      <c r="F1660" s="42"/>
      <c r="G1660" s="126"/>
      <c r="H1660" s="21"/>
      <c r="I1660" s="22"/>
    </row>
    <row r="1661" spans="8:8" s="16" ht="16.5" customFormat="1">
      <c r="A1661" s="126"/>
      <c r="B1661" s="42"/>
      <c r="C1661" s="42"/>
      <c r="D1661" s="42"/>
      <c r="E1661" s="42"/>
      <c r="F1661" s="42"/>
      <c r="G1661" s="126"/>
      <c r="H1661" s="21"/>
      <c r="I1661" s="22"/>
    </row>
    <row r="1662" spans="8:8" s="16" ht="16.5" customFormat="1">
      <c r="A1662" s="126"/>
      <c r="B1662" s="42"/>
      <c r="C1662" s="42"/>
      <c r="D1662" s="42"/>
      <c r="E1662" s="42"/>
      <c r="F1662" s="42"/>
      <c r="G1662" s="126"/>
      <c r="H1662" s="21"/>
      <c r="I1662" s="22"/>
    </row>
    <row r="1663" spans="8:8" s="16" ht="16.5" customFormat="1">
      <c r="A1663" s="126"/>
      <c r="B1663" s="42"/>
      <c r="C1663" s="42"/>
      <c r="D1663" s="42"/>
      <c r="E1663" s="42"/>
      <c r="F1663" s="42"/>
      <c r="G1663" s="126"/>
      <c r="H1663" s="21"/>
      <c r="I1663" s="22"/>
    </row>
    <row r="1664" spans="8:8" s="16" ht="16.5" customFormat="1">
      <c r="A1664" s="126"/>
      <c r="B1664" s="42"/>
      <c r="C1664" s="42"/>
      <c r="D1664" s="42"/>
      <c r="E1664" s="42"/>
      <c r="F1664" s="42"/>
      <c r="G1664" s="126"/>
      <c r="H1664" s="21"/>
      <c r="I1664" s="22"/>
    </row>
    <row r="1665" spans="8:8" s="16" ht="16.5" customFormat="1">
      <c r="A1665" s="126"/>
      <c r="B1665" s="42"/>
      <c r="C1665" s="42"/>
      <c r="D1665" s="42"/>
      <c r="E1665" s="42"/>
      <c r="F1665" s="42"/>
      <c r="G1665" s="126"/>
      <c r="H1665" s="21"/>
      <c r="I1665" s="22"/>
    </row>
    <row r="1666" spans="8:8" s="16" ht="16.5" customFormat="1">
      <c r="A1666" s="126"/>
      <c r="B1666" s="42"/>
      <c r="C1666" s="42"/>
      <c r="D1666" s="42"/>
      <c r="E1666" s="42"/>
      <c r="F1666" s="42"/>
      <c r="G1666" s="126"/>
      <c r="H1666" s="21"/>
      <c r="I1666" s="22"/>
    </row>
    <row r="1667" spans="8:8" s="16" ht="16.5" customFormat="1">
      <c r="A1667" s="126"/>
      <c r="B1667" s="42"/>
      <c r="C1667" s="42"/>
      <c r="D1667" s="42"/>
      <c r="E1667" s="42"/>
      <c r="F1667" s="42"/>
      <c r="G1667" s="126"/>
      <c r="H1667" s="21"/>
      <c r="I1667" s="22"/>
    </row>
    <row r="1668" spans="8:8" s="16" ht="16.5" customFormat="1">
      <c r="A1668" s="126"/>
      <c r="B1668" s="42"/>
      <c r="C1668" s="42"/>
      <c r="D1668" s="42"/>
      <c r="E1668" s="42"/>
      <c r="F1668" s="42"/>
      <c r="G1668" s="126"/>
      <c r="H1668" s="21"/>
      <c r="I1668" s="22"/>
    </row>
    <row r="1669" spans="8:8" s="16" ht="16.5" customFormat="1">
      <c r="A1669" s="126"/>
      <c r="B1669" s="42"/>
      <c r="C1669" s="42"/>
      <c r="D1669" s="42"/>
      <c r="E1669" s="42"/>
      <c r="F1669" s="42"/>
      <c r="G1669" s="126"/>
      <c r="H1669" s="21"/>
      <c r="I1669" s="22"/>
    </row>
    <row r="1670" spans="8:8" s="16" ht="16.5" customFormat="1">
      <c r="A1670" s="126"/>
      <c r="B1670" s="42"/>
      <c r="C1670" s="42"/>
      <c r="D1670" s="42"/>
      <c r="E1670" s="42"/>
      <c r="F1670" s="42"/>
      <c r="G1670" s="126"/>
      <c r="H1670" s="21"/>
      <c r="I1670" s="22"/>
    </row>
    <row r="1671" spans="8:8" s="16" ht="16.5" customFormat="1">
      <c r="A1671" s="126"/>
      <c r="B1671" s="42"/>
      <c r="C1671" s="42"/>
      <c r="D1671" s="42"/>
      <c r="E1671" s="42"/>
      <c r="F1671" s="42"/>
      <c r="G1671" s="126"/>
      <c r="H1671" s="21"/>
      <c r="I1671" s="22"/>
    </row>
    <row r="1672" spans="8:8" s="16" ht="16.5" customFormat="1">
      <c r="A1672" s="126"/>
      <c r="B1672" s="42"/>
      <c r="C1672" s="42"/>
      <c r="D1672" s="42"/>
      <c r="E1672" s="42"/>
      <c r="F1672" s="42"/>
      <c r="G1672" s="126"/>
      <c r="H1672" s="21"/>
      <c r="I1672" s="22"/>
    </row>
    <row r="1673" spans="8:8" s="16" ht="16.5" customFormat="1">
      <c r="A1673" s="126"/>
      <c r="B1673" s="42"/>
      <c r="C1673" s="42"/>
      <c r="D1673" s="42"/>
      <c r="E1673" s="42"/>
      <c r="F1673" s="42"/>
      <c r="G1673" s="126"/>
      <c r="H1673" s="21"/>
      <c r="I1673" s="22"/>
    </row>
    <row r="1674" spans="8:8" s="16" ht="16.5" customFormat="1">
      <c r="A1674" s="126"/>
      <c r="B1674" s="42"/>
      <c r="C1674" s="42"/>
      <c r="D1674" s="42"/>
      <c r="E1674" s="42"/>
      <c r="F1674" s="42"/>
      <c r="G1674" s="126"/>
      <c r="H1674" s="21"/>
      <c r="I1674" s="22"/>
    </row>
    <row r="1675" spans="8:8" s="16" ht="16.5" customFormat="1">
      <c r="A1675" s="126"/>
      <c r="B1675" s="42"/>
      <c r="C1675" s="42"/>
      <c r="D1675" s="42"/>
      <c r="E1675" s="42"/>
      <c r="F1675" s="42"/>
      <c r="G1675" s="126"/>
      <c r="H1675" s="21"/>
      <c r="I1675" s="22"/>
    </row>
    <row r="1676" spans="8:8" s="16" ht="16.5" customFormat="1">
      <c r="A1676" s="126"/>
      <c r="B1676" s="42"/>
      <c r="C1676" s="42"/>
      <c r="D1676" s="42"/>
      <c r="E1676" s="42"/>
      <c r="F1676" s="42"/>
      <c r="G1676" s="126"/>
      <c r="H1676" s="21"/>
      <c r="I1676" s="22"/>
    </row>
    <row r="1677" spans="8:8" s="16" ht="16.5" customFormat="1">
      <c r="A1677" s="126"/>
      <c r="B1677" s="42"/>
      <c r="C1677" s="42"/>
      <c r="D1677" s="42"/>
      <c r="E1677" s="42"/>
      <c r="F1677" s="42"/>
      <c r="G1677" s="126"/>
      <c r="H1677" s="21"/>
      <c r="I1677" s="22"/>
    </row>
    <row r="1678" spans="8:8" s="16" ht="16.5" customFormat="1">
      <c r="A1678" s="126"/>
      <c r="B1678" s="42"/>
      <c r="C1678" s="42"/>
      <c r="D1678" s="42"/>
      <c r="E1678" s="42"/>
      <c r="F1678" s="42"/>
      <c r="G1678" s="126"/>
      <c r="H1678" s="21"/>
      <c r="I1678" s="22"/>
    </row>
    <row r="1679" spans="8:8" s="16" ht="16.5" customFormat="1">
      <c r="A1679" s="126"/>
      <c r="B1679" s="42"/>
      <c r="C1679" s="42"/>
      <c r="D1679" s="42"/>
      <c r="E1679" s="42"/>
      <c r="F1679" s="42"/>
      <c r="G1679" s="126"/>
      <c r="H1679" s="21"/>
      <c r="I1679" s="22"/>
    </row>
    <row r="1680" spans="8:8" s="16" ht="16.5" customFormat="1">
      <c r="A1680" s="126"/>
      <c r="B1680" s="42"/>
      <c r="C1680" s="42"/>
      <c r="D1680" s="42"/>
      <c r="E1680" s="42"/>
      <c r="F1680" s="42"/>
      <c r="G1680" s="126"/>
      <c r="H1680" s="21"/>
      <c r="I1680" s="22"/>
    </row>
    <row r="1681" spans="8:8" s="16" ht="16.5" customFormat="1">
      <c r="A1681" s="126"/>
      <c r="B1681" s="42"/>
      <c r="C1681" s="42"/>
      <c r="D1681" s="42"/>
      <c r="E1681" s="42"/>
      <c r="F1681" s="42"/>
      <c r="G1681" s="126"/>
      <c r="H1681" s="21"/>
      <c r="I1681" s="22"/>
    </row>
    <row r="1682" spans="8:8" s="16" ht="16.5" customFormat="1">
      <c r="A1682" s="126"/>
      <c r="B1682" s="42"/>
      <c r="C1682" s="42"/>
      <c r="D1682" s="42"/>
      <c r="E1682" s="42"/>
      <c r="F1682" s="42"/>
      <c r="G1682" s="126"/>
      <c r="H1682" s="21"/>
      <c r="I1682" s="22"/>
    </row>
    <row r="1683" spans="8:8" s="16" ht="16.5" customFormat="1">
      <c r="A1683" s="126"/>
      <c r="B1683" s="42"/>
      <c r="C1683" s="42"/>
      <c r="D1683" s="42"/>
      <c r="E1683" s="42"/>
      <c r="F1683" s="42"/>
      <c r="G1683" s="126"/>
      <c r="H1683" s="21"/>
      <c r="I1683" s="22"/>
    </row>
    <row r="1684" spans="8:8" s="16" ht="16.5" customFormat="1">
      <c r="A1684" s="126"/>
      <c r="B1684" s="42"/>
      <c r="C1684" s="42"/>
      <c r="D1684" s="42"/>
      <c r="E1684" s="42"/>
      <c r="F1684" s="42"/>
      <c r="G1684" s="126"/>
      <c r="H1684" s="21"/>
      <c r="I1684" s="22"/>
    </row>
    <row r="1685" spans="8:8" s="16" ht="16.5" customFormat="1">
      <c r="A1685" s="126"/>
      <c r="B1685" s="42"/>
      <c r="C1685" s="42"/>
      <c r="D1685" s="42"/>
      <c r="E1685" s="42"/>
      <c r="F1685" s="42"/>
      <c r="G1685" s="126"/>
      <c r="H1685" s="21"/>
      <c r="I1685" s="22"/>
    </row>
    <row r="1686" spans="8:8" s="16" ht="16.5" customFormat="1">
      <c r="A1686" s="126"/>
      <c r="B1686" s="42"/>
      <c r="C1686" s="42"/>
      <c r="D1686" s="42"/>
      <c r="E1686" s="42"/>
      <c r="F1686" s="42"/>
      <c r="G1686" s="126"/>
      <c r="H1686" s="21"/>
      <c r="I1686" s="22"/>
    </row>
    <row r="1687" spans="8:8" s="16" ht="16.5" customFormat="1">
      <c r="A1687" s="126"/>
      <c r="B1687" s="42"/>
      <c r="C1687" s="42"/>
      <c r="D1687" s="42"/>
      <c r="E1687" s="42"/>
      <c r="F1687" s="42"/>
      <c r="G1687" s="126"/>
      <c r="H1687" s="21"/>
      <c r="I1687" s="22"/>
    </row>
    <row r="1688" spans="8:8" s="16" ht="16.5" customFormat="1">
      <c r="A1688" s="126"/>
      <c r="B1688" s="42"/>
      <c r="C1688" s="42"/>
      <c r="D1688" s="42"/>
      <c r="E1688" s="42"/>
      <c r="F1688" s="42"/>
      <c r="G1688" s="126"/>
      <c r="H1688" s="21"/>
      <c r="I1688" s="22"/>
    </row>
    <row r="1689" spans="8:8" s="16" ht="16.5" customFormat="1">
      <c r="A1689" s="126"/>
      <c r="B1689" s="42"/>
      <c r="C1689" s="42"/>
      <c r="D1689" s="42"/>
      <c r="E1689" s="42"/>
      <c r="F1689" s="42"/>
      <c r="G1689" s="126"/>
      <c r="H1689" s="21"/>
      <c r="I1689" s="22"/>
    </row>
    <row r="1690" spans="8:8" s="16" ht="16.5" customFormat="1">
      <c r="A1690" s="126"/>
      <c r="B1690" s="42"/>
      <c r="C1690" s="42"/>
      <c r="D1690" s="42"/>
      <c r="E1690" s="42"/>
      <c r="F1690" s="42"/>
      <c r="G1690" s="126"/>
      <c r="H1690" s="21"/>
      <c r="I1690" s="22"/>
    </row>
    <row r="1691" spans="8:8" s="16" ht="16.5" customFormat="1">
      <c r="A1691" s="126"/>
      <c r="B1691" s="42"/>
      <c r="C1691" s="42"/>
      <c r="D1691" s="42"/>
      <c r="E1691" s="42"/>
      <c r="F1691" s="42"/>
      <c r="G1691" s="126"/>
      <c r="H1691" s="21"/>
      <c r="I1691" s="22"/>
    </row>
    <row r="1692" spans="8:8" s="16" ht="16.5" customFormat="1">
      <c r="A1692" s="126"/>
      <c r="B1692" s="42"/>
      <c r="C1692" s="42"/>
      <c r="D1692" s="42"/>
      <c r="E1692" s="42"/>
      <c r="F1692" s="42"/>
      <c r="G1692" s="126"/>
      <c r="H1692" s="21"/>
      <c r="I1692" s="22"/>
    </row>
    <row r="1693" spans="8:8" s="16" ht="16.5" customFormat="1">
      <c r="A1693" s="126"/>
      <c r="B1693" s="42"/>
      <c r="C1693" s="42"/>
      <c r="D1693" s="42"/>
      <c r="E1693" s="42"/>
      <c r="F1693" s="42"/>
      <c r="G1693" s="126"/>
      <c r="H1693" s="21"/>
      <c r="I1693" s="22"/>
    </row>
    <row r="1694" spans="8:8" s="16" ht="16.5" customFormat="1">
      <c r="A1694" s="126"/>
      <c r="B1694" s="42"/>
      <c r="C1694" s="42"/>
      <c r="D1694" s="42"/>
      <c r="E1694" s="42"/>
      <c r="F1694" s="42"/>
      <c r="G1694" s="126"/>
      <c r="H1694" s="21"/>
      <c r="I1694" s="22"/>
    </row>
    <row r="1695" spans="8:8" s="16" ht="16.5" customFormat="1">
      <c r="A1695" s="126"/>
      <c r="B1695" s="42"/>
      <c r="C1695" s="42"/>
      <c r="D1695" s="42"/>
      <c r="E1695" s="42"/>
      <c r="F1695" s="42"/>
      <c r="G1695" s="126"/>
      <c r="H1695" s="21"/>
      <c r="I1695" s="22"/>
    </row>
    <row r="1696" spans="8:8" s="16" ht="16.5" customFormat="1">
      <c r="A1696" s="126"/>
      <c r="B1696" s="42"/>
      <c r="C1696" s="42"/>
      <c r="D1696" s="42"/>
      <c r="E1696" s="42"/>
      <c r="F1696" s="42"/>
      <c r="G1696" s="126"/>
      <c r="H1696" s="21"/>
      <c r="I1696" s="22"/>
    </row>
    <row r="1697" spans="8:8" s="16" ht="16.5" customFormat="1">
      <c r="A1697" s="126"/>
      <c r="B1697" s="42"/>
      <c r="C1697" s="42"/>
      <c r="D1697" s="42"/>
      <c r="E1697" s="42"/>
      <c r="F1697" s="42"/>
      <c r="G1697" s="126"/>
      <c r="H1697" s="21"/>
      <c r="I1697" s="22"/>
    </row>
    <row r="1698" spans="8:8" s="16" ht="16.5" customFormat="1">
      <c r="A1698" s="126"/>
      <c r="B1698" s="42"/>
      <c r="C1698" s="42"/>
      <c r="D1698" s="42"/>
      <c r="E1698" s="42"/>
      <c r="F1698" s="42"/>
      <c r="G1698" s="126"/>
      <c r="H1698" s="21"/>
      <c r="I1698" s="22"/>
    </row>
    <row r="1699" spans="8:8" s="16" ht="16.5" customFormat="1">
      <c r="A1699" s="126"/>
      <c r="B1699" s="42"/>
      <c r="C1699" s="42"/>
      <c r="D1699" s="42"/>
      <c r="E1699" s="42"/>
      <c r="F1699" s="42"/>
      <c r="G1699" s="126"/>
      <c r="H1699" s="21"/>
      <c r="I1699" s="22"/>
    </row>
    <row r="1700" spans="8:8" s="16" ht="16.5" customFormat="1">
      <c r="A1700" s="126"/>
      <c r="B1700" s="42"/>
      <c r="C1700" s="42"/>
      <c r="D1700" s="42"/>
      <c r="E1700" s="42"/>
      <c r="F1700" s="42"/>
      <c r="G1700" s="126"/>
      <c r="H1700" s="21"/>
      <c r="I1700" s="22"/>
    </row>
    <row r="1701" spans="8:8" s="16" ht="16.5" customFormat="1">
      <c r="A1701" s="126"/>
      <c r="B1701" s="42"/>
      <c r="C1701" s="42"/>
      <c r="D1701" s="42"/>
      <c r="E1701" s="42"/>
      <c r="F1701" s="42"/>
      <c r="G1701" s="126"/>
      <c r="H1701" s="21"/>
      <c r="I1701" s="22"/>
    </row>
    <row r="1702" spans="8:8" s="16" ht="16.5" customFormat="1">
      <c r="A1702" s="126"/>
      <c r="B1702" s="42"/>
      <c r="C1702" s="42"/>
      <c r="D1702" s="42"/>
      <c r="E1702" s="42"/>
      <c r="F1702" s="42"/>
      <c r="G1702" s="126"/>
      <c r="H1702" s="21"/>
      <c r="I1702" s="22"/>
    </row>
    <row r="1703" spans="8:8" s="16" ht="16.5" customFormat="1">
      <c r="A1703" s="126"/>
      <c r="B1703" s="42"/>
      <c r="C1703" s="42"/>
      <c r="D1703" s="42"/>
      <c r="E1703" s="42"/>
      <c r="F1703" s="42"/>
      <c r="G1703" s="126"/>
      <c r="H1703" s="21"/>
      <c r="I1703" s="22"/>
    </row>
    <row r="1704" spans="8:8" s="16" ht="16.5" customFormat="1">
      <c r="A1704" s="126"/>
      <c r="B1704" s="42"/>
      <c r="C1704" s="42"/>
      <c r="D1704" s="42"/>
      <c r="E1704" s="42"/>
      <c r="F1704" s="42"/>
      <c r="G1704" s="126"/>
      <c r="H1704" s="21"/>
      <c r="I1704" s="22"/>
    </row>
    <row r="1705" spans="8:8" s="16" ht="16.5" customFormat="1">
      <c r="A1705" s="126"/>
      <c r="B1705" s="42"/>
      <c r="C1705" s="42"/>
      <c r="D1705" s="42"/>
      <c r="E1705" s="42"/>
      <c r="F1705" s="42"/>
      <c r="G1705" s="126"/>
      <c r="H1705" s="21"/>
      <c r="I1705" s="22"/>
    </row>
    <row r="1706" spans="8:8" s="16" ht="16.5" customFormat="1">
      <c r="A1706" s="126"/>
      <c r="B1706" s="42"/>
      <c r="C1706" s="42"/>
      <c r="D1706" s="42"/>
      <c r="E1706" s="42"/>
      <c r="F1706" s="42"/>
      <c r="G1706" s="126"/>
      <c r="H1706" s="21"/>
      <c r="I1706" s="22"/>
    </row>
    <row r="1707" spans="8:8" s="16" ht="16.5" customFormat="1">
      <c r="A1707" s="126"/>
      <c r="B1707" s="42"/>
      <c r="C1707" s="42"/>
      <c r="D1707" s="42"/>
      <c r="E1707" s="42"/>
      <c r="F1707" s="42"/>
      <c r="G1707" s="126"/>
      <c r="H1707" s="21"/>
      <c r="I1707" s="22"/>
    </row>
    <row r="1708" spans="8:8" s="16" ht="16.5" customFormat="1">
      <c r="A1708" s="126"/>
      <c r="B1708" s="42"/>
      <c r="C1708" s="42"/>
      <c r="D1708" s="42"/>
      <c r="E1708" s="42"/>
      <c r="F1708" s="42"/>
      <c r="G1708" s="126"/>
      <c r="H1708" s="21"/>
      <c r="I1708" s="22"/>
    </row>
    <row r="1709" spans="8:8" s="16" ht="16.5" customFormat="1">
      <c r="A1709" s="126"/>
      <c r="B1709" s="42"/>
      <c r="C1709" s="42"/>
      <c r="D1709" s="42"/>
      <c r="E1709" s="42"/>
      <c r="F1709" s="42"/>
      <c r="G1709" s="126"/>
      <c r="H1709" s="21"/>
      <c r="I1709" s="22"/>
    </row>
    <row r="1710" spans="8:8" s="16" ht="16.5" customFormat="1">
      <c r="A1710" s="126"/>
      <c r="B1710" s="42"/>
      <c r="C1710" s="42"/>
      <c r="D1710" s="42"/>
      <c r="E1710" s="42"/>
      <c r="F1710" s="42"/>
      <c r="G1710" s="126"/>
      <c r="H1710" s="21"/>
      <c r="I1710" s="22"/>
    </row>
    <row r="1711" spans="8:8" s="16" ht="16.5" customFormat="1">
      <c r="A1711" s="126"/>
      <c r="B1711" s="42"/>
      <c r="C1711" s="42"/>
      <c r="D1711" s="42"/>
      <c r="E1711" s="42"/>
      <c r="F1711" s="42"/>
      <c r="G1711" s="126"/>
      <c r="H1711" s="21"/>
      <c r="I1711" s="22"/>
    </row>
    <row r="1712" spans="8:8" s="16" ht="16.5" customFormat="1">
      <c r="A1712" s="126"/>
      <c r="B1712" s="42"/>
      <c r="C1712" s="42"/>
      <c r="D1712" s="42"/>
      <c r="E1712" s="42"/>
      <c r="F1712" s="42"/>
      <c r="G1712" s="126"/>
      <c r="H1712" s="21"/>
      <c r="I1712" s="22"/>
    </row>
    <row r="1713" spans="8:8" s="16" ht="16.5" customFormat="1">
      <c r="A1713" s="126"/>
      <c r="B1713" s="42"/>
      <c r="C1713" s="42"/>
      <c r="D1713" s="42"/>
      <c r="E1713" s="42"/>
      <c r="F1713" s="42"/>
      <c r="G1713" s="126"/>
      <c r="H1713" s="21"/>
      <c r="I1713" s="22"/>
    </row>
    <row r="1714" spans="8:8" s="16" ht="16.5" customFormat="1">
      <c r="A1714" s="126"/>
      <c r="B1714" s="42"/>
      <c r="C1714" s="42"/>
      <c r="D1714" s="42"/>
      <c r="E1714" s="42"/>
      <c r="F1714" s="42"/>
      <c r="G1714" s="126"/>
      <c r="H1714" s="21"/>
      <c r="I1714" s="22"/>
    </row>
    <row r="1715" spans="8:8" s="16" ht="16.5" customFormat="1">
      <c r="A1715" s="126"/>
      <c r="B1715" s="42"/>
      <c r="C1715" s="42"/>
      <c r="D1715" s="42"/>
      <c r="E1715" s="42"/>
      <c r="F1715" s="42"/>
      <c r="G1715" s="126"/>
      <c r="H1715" s="21"/>
      <c r="I1715" s="22"/>
    </row>
    <row r="1716" spans="8:8" s="16" ht="16.5" customFormat="1">
      <c r="A1716" s="126"/>
      <c r="B1716" s="42"/>
      <c r="C1716" s="42"/>
      <c r="D1716" s="42"/>
      <c r="E1716" s="42"/>
      <c r="F1716" s="42"/>
      <c r="G1716" s="126"/>
      <c r="H1716" s="21"/>
      <c r="I1716" s="22"/>
    </row>
    <row r="1717" spans="8:8" s="16" ht="16.5" customFormat="1">
      <c r="A1717" s="126"/>
      <c r="B1717" s="42"/>
      <c r="C1717" s="42"/>
      <c r="D1717" s="42"/>
      <c r="E1717" s="42"/>
      <c r="F1717" s="42"/>
      <c r="G1717" s="126"/>
      <c r="H1717" s="21"/>
      <c r="I1717" s="22"/>
    </row>
    <row r="1718" spans="8:8" s="16" ht="16.5" customFormat="1">
      <c r="A1718" s="126"/>
      <c r="B1718" s="42"/>
      <c r="C1718" s="42"/>
      <c r="D1718" s="42"/>
      <c r="E1718" s="42"/>
      <c r="F1718" s="42"/>
      <c r="G1718" s="126"/>
      <c r="H1718" s="21"/>
      <c r="I1718" s="22"/>
    </row>
    <row r="1719" spans="8:8" s="16" ht="16.5" customFormat="1">
      <c r="A1719" s="126"/>
      <c r="B1719" s="42"/>
      <c r="C1719" s="42"/>
      <c r="D1719" s="42"/>
      <c r="E1719" s="42"/>
      <c r="F1719" s="42"/>
      <c r="G1719" s="126"/>
      <c r="H1719" s="21"/>
      <c r="I1719" s="22"/>
    </row>
    <row r="1720" spans="8:8" s="16" ht="16.5" customFormat="1">
      <c r="A1720" s="126"/>
      <c r="B1720" s="42"/>
      <c r="C1720" s="42"/>
      <c r="D1720" s="42"/>
      <c r="E1720" s="42"/>
      <c r="F1720" s="42"/>
      <c r="G1720" s="126"/>
      <c r="H1720" s="21"/>
      <c r="I1720" s="22"/>
    </row>
    <row r="1721" spans="8:8" s="16" ht="16.5" customFormat="1">
      <c r="A1721" s="126"/>
      <c r="B1721" s="42"/>
      <c r="C1721" s="42"/>
      <c r="D1721" s="42"/>
      <c r="E1721" s="42"/>
      <c r="F1721" s="42"/>
      <c r="G1721" s="126"/>
      <c r="H1721" s="21"/>
      <c r="I1721" s="22"/>
    </row>
    <row r="1722" spans="8:8" s="16" ht="16.5" customFormat="1">
      <c r="A1722" s="126"/>
      <c r="B1722" s="42"/>
      <c r="C1722" s="42"/>
      <c r="D1722" s="42"/>
      <c r="E1722" s="42"/>
      <c r="F1722" s="42"/>
      <c r="G1722" s="126"/>
      <c r="H1722" s="21"/>
      <c r="I1722" s="22"/>
    </row>
    <row r="1723" spans="8:8" s="16" ht="16.5" customFormat="1">
      <c r="A1723" s="126"/>
      <c r="B1723" s="42"/>
      <c r="C1723" s="42"/>
      <c r="D1723" s="42"/>
      <c r="E1723" s="42"/>
      <c r="F1723" s="42"/>
      <c r="G1723" s="126"/>
      <c r="H1723" s="21"/>
      <c r="I1723" s="22"/>
    </row>
    <row r="1724" spans="8:8" s="16" ht="16.5" customFormat="1">
      <c r="A1724" s="126"/>
      <c r="B1724" s="42"/>
      <c r="C1724" s="42"/>
      <c r="D1724" s="42"/>
      <c r="E1724" s="42"/>
      <c r="F1724" s="42"/>
      <c r="G1724" s="126"/>
      <c r="H1724" s="21"/>
      <c r="I1724" s="22"/>
    </row>
    <row r="1725" spans="8:8" s="16" ht="16.5" customFormat="1">
      <c r="A1725" s="126"/>
      <c r="B1725" s="42"/>
      <c r="C1725" s="42"/>
      <c r="D1725" s="42"/>
      <c r="E1725" s="42"/>
      <c r="F1725" s="42"/>
      <c r="G1725" s="126"/>
      <c r="H1725" s="21"/>
      <c r="I1725" s="22"/>
    </row>
    <row r="1726" spans="8:8" s="16" ht="16.5" customFormat="1">
      <c r="A1726" s="126"/>
      <c r="B1726" s="42"/>
      <c r="C1726" s="42"/>
      <c r="D1726" s="42"/>
      <c r="E1726" s="42"/>
      <c r="F1726" s="42"/>
      <c r="G1726" s="126"/>
      <c r="H1726" s="21"/>
      <c r="I1726" s="22"/>
    </row>
    <row r="1727" spans="8:8" s="16" ht="16.5" customFormat="1">
      <c r="A1727" s="126"/>
      <c r="B1727" s="42"/>
      <c r="C1727" s="42"/>
      <c r="D1727" s="42"/>
      <c r="E1727" s="42"/>
      <c r="F1727" s="42"/>
      <c r="G1727" s="126"/>
      <c r="H1727" s="21"/>
      <c r="I1727" s="22"/>
    </row>
    <row r="1728" spans="8:8" s="16" ht="16.5" customFormat="1">
      <c r="A1728" s="126"/>
      <c r="B1728" s="42"/>
      <c r="C1728" s="42"/>
      <c r="D1728" s="42"/>
      <c r="E1728" s="42"/>
      <c r="F1728" s="42"/>
      <c r="G1728" s="126"/>
      <c r="H1728" s="21"/>
      <c r="I1728" s="22"/>
    </row>
    <row r="1729" spans="8:8" s="16" ht="16.5" customFormat="1">
      <c r="A1729" s="126"/>
      <c r="B1729" s="42"/>
      <c r="C1729" s="42"/>
      <c r="D1729" s="42"/>
      <c r="E1729" s="42"/>
      <c r="F1729" s="42"/>
      <c r="G1729" s="126"/>
      <c r="H1729" s="21"/>
      <c r="I1729" s="22"/>
    </row>
    <row r="1730" spans="8:8" s="16" ht="16.5" customFormat="1">
      <c r="A1730" s="126"/>
      <c r="B1730" s="42"/>
      <c r="C1730" s="42"/>
      <c r="D1730" s="42"/>
      <c r="E1730" s="42"/>
      <c r="F1730" s="42"/>
      <c r="G1730" s="126"/>
      <c r="H1730" s="21"/>
      <c r="I1730" s="22"/>
    </row>
    <row r="1731" spans="8:8" s="16" ht="16.5" customFormat="1">
      <c r="A1731" s="126"/>
      <c r="B1731" s="42"/>
      <c r="C1731" s="42"/>
      <c r="D1731" s="42"/>
      <c r="E1731" s="42"/>
      <c r="F1731" s="42"/>
      <c r="G1731" s="126"/>
      <c r="H1731" s="21"/>
      <c r="I1731" s="22"/>
    </row>
    <row r="1732" spans="8:8" s="16" ht="16.5" customFormat="1">
      <c r="A1732" s="126"/>
      <c r="B1732" s="42"/>
      <c r="C1732" s="42"/>
      <c r="D1732" s="42"/>
      <c r="E1732" s="42"/>
      <c r="F1732" s="42"/>
      <c r="G1732" s="126"/>
      <c r="H1732" s="21"/>
      <c r="I1732" s="22"/>
    </row>
    <row r="1733" spans="8:8" s="16" ht="16.5" customFormat="1">
      <c r="A1733" s="126"/>
      <c r="B1733" s="42"/>
      <c r="C1733" s="42"/>
      <c r="D1733" s="42"/>
      <c r="E1733" s="42"/>
      <c r="F1733" s="42"/>
      <c r="G1733" s="126"/>
      <c r="H1733" s="21"/>
      <c r="I1733" s="22"/>
    </row>
    <row r="1734" spans="8:8" s="16" ht="16.5" customFormat="1">
      <c r="A1734" s="126"/>
      <c r="B1734" s="42"/>
      <c r="C1734" s="42"/>
      <c r="D1734" s="42"/>
      <c r="E1734" s="42"/>
      <c r="F1734" s="42"/>
      <c r="G1734" s="126"/>
      <c r="H1734" s="21"/>
      <c r="I1734" s="22"/>
    </row>
    <row r="1735" spans="8:8" s="16" ht="16.5" customFormat="1">
      <c r="A1735" s="126"/>
      <c r="B1735" s="42"/>
      <c r="C1735" s="42"/>
      <c r="D1735" s="42"/>
      <c r="E1735" s="42"/>
      <c r="F1735" s="42"/>
      <c r="G1735" s="126"/>
      <c r="H1735" s="21"/>
      <c r="I1735" s="22"/>
    </row>
    <row r="1736" spans="8:8" s="16" ht="16.5" customFormat="1">
      <c r="A1736" s="126"/>
      <c r="B1736" s="42"/>
      <c r="C1736" s="42"/>
      <c r="D1736" s="42"/>
      <c r="E1736" s="42"/>
      <c r="F1736" s="42"/>
      <c r="G1736" s="126"/>
      <c r="H1736" s="21"/>
      <c r="I1736" s="22"/>
    </row>
    <row r="1737" spans="8:8" s="16" ht="16.5" customFormat="1">
      <c r="A1737" s="126"/>
      <c r="B1737" s="42"/>
      <c r="C1737" s="42"/>
      <c r="D1737" s="42"/>
      <c r="E1737" s="42"/>
      <c r="F1737" s="42"/>
      <c r="G1737" s="126"/>
      <c r="H1737" s="21"/>
      <c r="I1737" s="22"/>
    </row>
    <row r="1738" spans="8:8" s="16" ht="16.5" customFormat="1">
      <c r="A1738" s="126"/>
      <c r="B1738" s="42"/>
      <c r="C1738" s="42"/>
      <c r="D1738" s="42"/>
      <c r="E1738" s="42"/>
      <c r="F1738" s="42"/>
      <c r="G1738" s="126"/>
      <c r="H1738" s="21"/>
      <c r="I1738" s="22"/>
    </row>
    <row r="1739" spans="8:8" s="16" ht="16.5" customFormat="1">
      <c r="A1739" s="126"/>
      <c r="B1739" s="42"/>
      <c r="C1739" s="42"/>
      <c r="D1739" s="42"/>
      <c r="E1739" s="42"/>
      <c r="F1739" s="42"/>
      <c r="G1739" s="126"/>
      <c r="H1739" s="21"/>
      <c r="I1739" s="22"/>
    </row>
    <row r="1740" spans="8:8" s="16" ht="16.5" customFormat="1">
      <c r="A1740" s="126"/>
      <c r="B1740" s="42"/>
      <c r="C1740" s="42"/>
      <c r="D1740" s="42"/>
      <c r="E1740" s="42"/>
      <c r="F1740" s="42"/>
      <c r="G1740" s="126"/>
      <c r="H1740" s="21"/>
      <c r="I1740" s="22"/>
    </row>
    <row r="1741" spans="8:8" s="16" ht="16.5" customFormat="1">
      <c r="A1741" s="126"/>
      <c r="B1741" s="42"/>
      <c r="C1741" s="42"/>
      <c r="D1741" s="42"/>
      <c r="E1741" s="42"/>
      <c r="F1741" s="42"/>
      <c r="G1741" s="126"/>
      <c r="H1741" s="21"/>
      <c r="I1741" s="22"/>
    </row>
    <row r="1742" spans="8:8" s="16" ht="16.5" customFormat="1">
      <c r="A1742" s="126"/>
      <c r="B1742" s="42"/>
      <c r="C1742" s="42"/>
      <c r="D1742" s="42"/>
      <c r="E1742" s="42"/>
      <c r="F1742" s="42"/>
      <c r="G1742" s="126"/>
      <c r="H1742" s="21"/>
      <c r="I1742" s="22"/>
    </row>
    <row r="1743" spans="8:8" s="16" ht="16.5" customFormat="1">
      <c r="A1743" s="126"/>
      <c r="B1743" s="42"/>
      <c r="C1743" s="42"/>
      <c r="D1743" s="42"/>
      <c r="E1743" s="42"/>
      <c r="F1743" s="42"/>
      <c r="G1743" s="126"/>
      <c r="H1743" s="21"/>
      <c r="I1743" s="22"/>
    </row>
    <row r="1744" spans="8:8" s="16" ht="16.5" customFormat="1">
      <c r="A1744" s="126"/>
      <c r="B1744" s="42"/>
      <c r="C1744" s="42"/>
      <c r="D1744" s="42"/>
      <c r="E1744" s="42"/>
      <c r="F1744" s="42"/>
      <c r="G1744" s="126"/>
      <c r="H1744" s="21"/>
      <c r="I1744" s="22"/>
    </row>
    <row r="1745" spans="8:8" s="16" ht="16.5" customFormat="1">
      <c r="A1745" s="126"/>
      <c r="B1745" s="42"/>
      <c r="C1745" s="42"/>
      <c r="D1745" s="42"/>
      <c r="E1745" s="42"/>
      <c r="F1745" s="42"/>
      <c r="G1745" s="126"/>
      <c r="H1745" s="21"/>
      <c r="I1745" s="22"/>
    </row>
    <row r="1746" spans="8:8" s="16" ht="16.5" customFormat="1">
      <c r="A1746" s="126"/>
      <c r="B1746" s="42"/>
      <c r="C1746" s="42"/>
      <c r="D1746" s="42"/>
      <c r="E1746" s="42"/>
      <c r="F1746" s="42"/>
      <c r="G1746" s="126"/>
      <c r="H1746" s="21"/>
      <c r="I1746" s="22"/>
    </row>
    <row r="1747" spans="8:8" s="16" ht="16.5" customFormat="1">
      <c r="A1747" s="126"/>
      <c r="B1747" s="42"/>
      <c r="C1747" s="42"/>
      <c r="D1747" s="42"/>
      <c r="E1747" s="42"/>
      <c r="F1747" s="42"/>
      <c r="G1747" s="126"/>
      <c r="H1747" s="21"/>
      <c r="I1747" s="22"/>
    </row>
    <row r="1748" spans="8:8" s="16" ht="16.5" customFormat="1">
      <c r="A1748" s="126"/>
      <c r="B1748" s="42"/>
      <c r="C1748" s="42"/>
      <c r="D1748" s="42"/>
      <c r="E1748" s="42"/>
      <c r="F1748" s="42"/>
      <c r="G1748" s="126"/>
      <c r="H1748" s="21"/>
      <c r="I1748" s="22"/>
    </row>
    <row r="1749" spans="8:8" ht="16.5">
      <c r="A1749" s="137"/>
      <c r="B1749" s="138"/>
      <c r="C1749" s="138"/>
      <c r="D1749" s="138"/>
      <c r="E1749" s="138"/>
      <c r="F1749" s="138"/>
      <c r="G1749" s="137"/>
      <c r="H1749" s="139"/>
      <c r="I1749" s="3"/>
    </row>
    <row r="1750" spans="8:8" ht="16.5">
      <c r="G1750" s="139"/>
    </row>
  </sheetData>
  <sheetProtection sheet="0" formatCells="0" insertHyperlinks="0" autoFilter="0"/>
  <mergeCells count="1">
    <mergeCell ref="B1:F1"/>
  </mergeCells>
  <pageMargins left="0.7" right="0.7" top="0.75" bottom="0.75" header="0.3" footer="0.3"/>
  <drawing r:id="rId1"/>
</worksheet>
</file>

<file path=xl/worksheets/sheet2.xml><?xml version="1.0" encoding="utf-8"?>
<worksheet xmlns:r="http://schemas.openxmlformats.org/officeDocument/2006/relationships" xmlns="http://schemas.openxmlformats.org/spreadsheetml/2006/main">
  <dimension ref="A1:JO199"/>
  <sheetViews>
    <sheetView workbookViewId="0" zoomScale="58">
      <pane xSplit="1" ySplit="2" topLeftCell="B3" state="frozen" activePane="bottomRight"/>
      <selection pane="bottomRight" activeCell="D52" sqref="D52"/>
    </sheetView>
  </sheetViews>
  <sheetFormatPr defaultRowHeight="16.5" defaultColWidth="9"/>
  <cols>
    <col min="1" max="1" customWidth="1" width="1.625" style="140"/>
    <col min="2" max="3" customWidth="1" width="25.625" style="141"/>
    <col min="4" max="4" customWidth="1" width="100.625" style="141"/>
    <col min="5" max="5" customWidth="1" width="50.625" style="141"/>
    <col min="6" max="6" customWidth="1" width="1.625" style="140"/>
    <col min="7" max="12" customWidth="1" width="25.625" style="142"/>
    <col min="13" max="16384" customWidth="0" width="9.0" style="142"/>
  </cols>
  <sheetData>
    <row r="1" spans="8:8" ht="25.0" customHeight="1">
      <c r="A1" s="143"/>
      <c r="B1" s="144"/>
      <c r="C1" s="144"/>
      <c r="D1" s="144"/>
      <c r="E1" s="144"/>
      <c r="F1" s="143"/>
    </row>
    <row r="2" spans="8:8" ht="28.45" customHeight="1">
      <c r="A2" s="143"/>
      <c r="B2" s="144" t="s">
        <v>814</v>
      </c>
      <c r="C2" s="144" t="s">
        <v>4807</v>
      </c>
      <c r="D2" s="144" t="s">
        <v>4963</v>
      </c>
      <c r="E2" s="144" t="s">
        <v>818</v>
      </c>
      <c r="F2" s="143"/>
    </row>
    <row r="3" spans="8:8" ht="21.0">
      <c r="A3" s="145"/>
      <c r="B3" s="146" t="s">
        <v>4964</v>
      </c>
      <c r="C3" s="146"/>
      <c r="D3" s="146"/>
      <c r="E3" s="146"/>
      <c r="F3" s="145"/>
    </row>
    <row r="4" spans="8:8" ht="21.0">
      <c r="A4" s="145"/>
      <c r="B4" s="146" t="s">
        <v>4965</v>
      </c>
      <c r="C4" s="146" t="s">
        <v>4807</v>
      </c>
      <c r="D4" s="146" t="s">
        <v>4966</v>
      </c>
      <c r="E4" s="146" t="s">
        <v>818</v>
      </c>
      <c r="F4" s="145"/>
    </row>
    <row r="5" spans="8:8" ht="33.0">
      <c r="A5" s="145"/>
      <c r="B5" s="42" t="s">
        <v>4967</v>
      </c>
      <c r="C5" s="42" t="s">
        <v>4968</v>
      </c>
      <c r="D5" s="42" t="s">
        <v>4969</v>
      </c>
      <c r="E5" s="42" t="s">
        <v>4970</v>
      </c>
      <c r="F5" s="145"/>
    </row>
    <row r="6" spans="8:8" ht="33.0">
      <c r="A6" s="145"/>
      <c r="B6" s="42" t="s">
        <v>4971</v>
      </c>
      <c r="C6" s="42" t="s">
        <v>4972</v>
      </c>
      <c r="D6" s="42" t="s">
        <v>4973</v>
      </c>
      <c r="E6" s="42" t="s">
        <v>4970</v>
      </c>
      <c r="F6" s="145"/>
    </row>
    <row r="7" spans="8:8" ht="21.0">
      <c r="A7" s="145"/>
      <c r="B7" s="42" t="s">
        <v>4974</v>
      </c>
      <c r="C7" s="42" t="s">
        <v>4975</v>
      </c>
      <c r="D7" s="42" t="s">
        <v>4976</v>
      </c>
      <c r="E7" s="42" t="s">
        <v>4970</v>
      </c>
      <c r="F7" s="145"/>
    </row>
    <row r="8" spans="8:8" ht="33.0">
      <c r="A8" s="145"/>
      <c r="B8" s="42" t="s">
        <v>4977</v>
      </c>
      <c r="C8" s="42" t="s">
        <v>4978</v>
      </c>
      <c r="D8" s="42" t="s">
        <v>4979</v>
      </c>
      <c r="E8" s="42" t="s">
        <v>4970</v>
      </c>
      <c r="F8" s="145"/>
    </row>
    <row r="9" spans="8:8" ht="21.0">
      <c r="A9" s="145"/>
      <c r="B9" s="42" t="s">
        <v>4980</v>
      </c>
      <c r="C9" s="42" t="s">
        <v>4981</v>
      </c>
      <c r="D9" s="42" t="s">
        <v>4982</v>
      </c>
      <c r="E9" s="42" t="s">
        <v>4970</v>
      </c>
      <c r="F9" s="145"/>
    </row>
    <row r="10" spans="8:8" ht="21.0">
      <c r="A10" s="145"/>
      <c r="B10" s="147" t="s">
        <v>4983</v>
      </c>
      <c r="C10" s="147" t="s">
        <v>4983</v>
      </c>
      <c r="D10" s="147" t="s">
        <v>4983</v>
      </c>
      <c r="E10" s="147" t="s">
        <v>4983</v>
      </c>
      <c r="F10" s="145"/>
    </row>
    <row r="11" spans="8:8" ht="21.0">
      <c r="A11" s="145"/>
      <c r="B11" s="42" t="s">
        <v>4984</v>
      </c>
      <c r="C11" s="42" t="s">
        <v>4985</v>
      </c>
      <c r="D11" s="42" t="s">
        <v>4986</v>
      </c>
      <c r="E11" s="42" t="s">
        <v>4970</v>
      </c>
      <c r="F11" s="145"/>
    </row>
    <row r="12" spans="8:8" ht="21.0">
      <c r="A12" s="145"/>
      <c r="B12" s="42" t="s">
        <v>4987</v>
      </c>
      <c r="C12" s="42" t="s">
        <v>4988</v>
      </c>
      <c r="D12" s="42" t="s">
        <v>4989</v>
      </c>
      <c r="E12" s="42" t="s">
        <v>4970</v>
      </c>
      <c r="F12" s="145"/>
    </row>
    <row r="13" spans="8:8" ht="21.0">
      <c r="A13" s="145"/>
      <c r="B13" s="42" t="s">
        <v>4990</v>
      </c>
      <c r="C13" s="42" t="s">
        <v>4991</v>
      </c>
      <c r="D13" s="42" t="s">
        <v>4992</v>
      </c>
      <c r="E13" s="42" t="s">
        <v>4970</v>
      </c>
      <c r="F13" s="145"/>
    </row>
    <row r="14" spans="8:8" ht="21.0">
      <c r="A14" s="145"/>
      <c r="B14" s="147" t="s">
        <v>4983</v>
      </c>
      <c r="C14" s="148" t="s">
        <v>4993</v>
      </c>
      <c r="D14" s="148" t="s">
        <v>4994</v>
      </c>
      <c r="E14" s="147" t="s">
        <v>4983</v>
      </c>
      <c r="F14" s="145"/>
    </row>
    <row r="15" spans="8:8" ht="33.0">
      <c r="A15" s="145"/>
      <c r="B15" s="42" t="s">
        <v>4995</v>
      </c>
      <c r="C15" s="42" t="s">
        <v>4996</v>
      </c>
      <c r="D15" s="42" t="s">
        <v>4997</v>
      </c>
      <c r="E15" s="42" t="s">
        <v>4998</v>
      </c>
      <c r="F15" s="145"/>
    </row>
    <row r="16" spans="8:8" ht="21.0">
      <c r="A16" s="145"/>
      <c r="B16" s="42" t="s">
        <v>4999</v>
      </c>
      <c r="C16" s="42" t="s">
        <v>5000</v>
      </c>
      <c r="D16" s="42" t="s">
        <v>5001</v>
      </c>
      <c r="E16" s="42" t="s">
        <v>5002</v>
      </c>
      <c r="F16" s="145"/>
    </row>
    <row r="17" spans="8:8" ht="21.0">
      <c r="A17" s="145"/>
      <c r="B17" s="42" t="s">
        <v>5003</v>
      </c>
      <c r="C17" s="42" t="s">
        <v>5004</v>
      </c>
      <c r="D17" s="42" t="s">
        <v>5005</v>
      </c>
      <c r="E17" s="42" t="s">
        <v>5002</v>
      </c>
      <c r="F17" s="145"/>
    </row>
    <row r="18" spans="8:8" ht="21.0">
      <c r="A18" s="145"/>
      <c r="B18" s="42" t="s">
        <v>5006</v>
      </c>
      <c r="C18" s="42" t="s">
        <v>5007</v>
      </c>
      <c r="D18" s="42" t="s">
        <v>5008</v>
      </c>
      <c r="E18" s="42" t="s">
        <v>5002</v>
      </c>
      <c r="F18" s="145"/>
    </row>
    <row r="19" spans="8:8" ht="21.0">
      <c r="A19" s="145"/>
      <c r="B19" s="42"/>
      <c r="C19" s="42"/>
      <c r="D19" s="42"/>
      <c r="E19" s="42"/>
      <c r="F19" s="145"/>
    </row>
    <row r="20" spans="8:8" ht="21.0">
      <c r="A20" s="149"/>
      <c r="B20" s="150" t="s">
        <v>5009</v>
      </c>
      <c r="C20" s="150"/>
      <c r="D20" s="150"/>
      <c r="E20" s="150"/>
      <c r="F20" s="149"/>
    </row>
    <row r="21" spans="8:8" ht="21.0">
      <c r="A21" s="149"/>
      <c r="B21" s="150" t="s">
        <v>814</v>
      </c>
      <c r="C21" s="150" t="s">
        <v>4807</v>
      </c>
      <c r="D21" s="150" t="s">
        <v>5010</v>
      </c>
      <c r="E21" s="150" t="s">
        <v>818</v>
      </c>
      <c r="F21" s="149"/>
    </row>
    <row r="22" spans="8:8" ht="21.0">
      <c r="A22" s="149"/>
      <c r="B22" s="42" t="s">
        <v>5011</v>
      </c>
      <c r="C22" s="42" t="s">
        <v>5012</v>
      </c>
      <c r="D22" s="42" t="s">
        <v>5013</v>
      </c>
      <c r="E22" s="42" t="s">
        <v>5014</v>
      </c>
      <c r="F22" s="149"/>
    </row>
    <row r="23" spans="8:8" ht="21.0">
      <c r="A23" s="149"/>
      <c r="B23" s="42" t="s">
        <v>5015</v>
      </c>
      <c r="C23" s="42" t="s">
        <v>5016</v>
      </c>
      <c r="D23" s="42" t="s">
        <v>5017</v>
      </c>
      <c r="E23" s="42" t="s">
        <v>5014</v>
      </c>
      <c r="F23" s="149"/>
    </row>
    <row r="24" spans="8:8" ht="21.0">
      <c r="A24" s="149"/>
      <c r="B24" s="42" t="s">
        <v>5018</v>
      </c>
      <c r="C24" s="42" t="s">
        <v>5019</v>
      </c>
      <c r="D24" s="42" t="s">
        <v>5020</v>
      </c>
      <c r="E24" s="42" t="s">
        <v>5014</v>
      </c>
      <c r="F24" s="149"/>
    </row>
    <row r="25" spans="8:8" ht="21.0">
      <c r="A25" s="149"/>
      <c r="B25" s="42" t="s">
        <v>5021</v>
      </c>
      <c r="C25" s="42" t="s">
        <v>5022</v>
      </c>
      <c r="D25" s="42" t="s">
        <v>5023</v>
      </c>
      <c r="E25" s="42" t="s">
        <v>5014</v>
      </c>
      <c r="F25" s="149"/>
    </row>
    <row r="26" spans="8:8" ht="21.0">
      <c r="A26" s="149"/>
      <c r="B26" s="42" t="s">
        <v>5024</v>
      </c>
      <c r="C26" s="42" t="s">
        <v>5025</v>
      </c>
      <c r="D26" s="42" t="s">
        <v>5026</v>
      </c>
      <c r="E26" s="42" t="s">
        <v>5014</v>
      </c>
      <c r="F26" s="149"/>
    </row>
    <row r="27" spans="8:8" ht="21.0">
      <c r="A27" s="149"/>
      <c r="B27" s="42" t="s">
        <v>5027</v>
      </c>
      <c r="C27" s="42" t="s">
        <v>5028</v>
      </c>
      <c r="D27" s="42" t="s">
        <v>5029</v>
      </c>
      <c r="E27" s="42" t="s">
        <v>5014</v>
      </c>
      <c r="F27" s="149"/>
    </row>
    <row r="28" spans="8:8" ht="21.0">
      <c r="A28" s="149"/>
      <c r="B28" s="42" t="s">
        <v>5030</v>
      </c>
      <c r="C28" s="42" t="s">
        <v>5031</v>
      </c>
      <c r="D28" s="42" t="s">
        <v>5032</v>
      </c>
      <c r="E28" s="42" t="s">
        <v>5014</v>
      </c>
      <c r="F28" s="149"/>
    </row>
    <row r="29" spans="8:8" ht="21.0">
      <c r="A29" s="149"/>
      <c r="B29" s="42" t="s">
        <v>5033</v>
      </c>
      <c r="C29" s="42" t="s">
        <v>5034</v>
      </c>
      <c r="D29" s="42" t="s">
        <v>5035</v>
      </c>
      <c r="E29" s="42" t="s">
        <v>5014</v>
      </c>
      <c r="F29" s="149"/>
    </row>
    <row r="30" spans="8:8" ht="21.0">
      <c r="A30" s="149"/>
      <c r="B30" s="42" t="s">
        <v>5036</v>
      </c>
      <c r="C30" s="42" t="s">
        <v>5037</v>
      </c>
      <c r="D30" s="42" t="s">
        <v>5038</v>
      </c>
      <c r="E30" s="42" t="s">
        <v>5014</v>
      </c>
      <c r="F30" s="149"/>
    </row>
    <row r="31" spans="8:8" ht="21.0">
      <c r="A31" s="149"/>
      <c r="B31" s="42" t="s">
        <v>5039</v>
      </c>
      <c r="C31" s="42" t="s">
        <v>5040</v>
      </c>
      <c r="D31" s="42" t="s">
        <v>5041</v>
      </c>
      <c r="E31" s="42" t="s">
        <v>5014</v>
      </c>
      <c r="F31" s="149"/>
    </row>
    <row r="32" spans="8:8" ht="21.0">
      <c r="A32" s="149"/>
      <c r="B32" s="42" t="s">
        <v>5042</v>
      </c>
      <c r="C32" s="42" t="s">
        <v>5043</v>
      </c>
      <c r="D32" s="42" t="s">
        <v>5044</v>
      </c>
      <c r="E32" s="42" t="s">
        <v>5014</v>
      </c>
      <c r="F32" s="149"/>
    </row>
    <row r="33" spans="8:8" ht="21.0">
      <c r="A33" s="149"/>
      <c r="B33" s="151" t="s">
        <v>4983</v>
      </c>
      <c r="C33" s="151" t="s">
        <v>4983</v>
      </c>
      <c r="D33" s="151" t="s">
        <v>4983</v>
      </c>
      <c r="E33" s="151" t="s">
        <v>4983</v>
      </c>
      <c r="F33" s="149"/>
    </row>
    <row r="34" spans="8:8" ht="21.0">
      <c r="A34" s="149"/>
      <c r="B34" s="42" t="s">
        <v>5045</v>
      </c>
      <c r="C34" s="42" t="s">
        <v>5046</v>
      </c>
      <c r="D34" s="42" t="s">
        <v>5047</v>
      </c>
      <c r="E34" s="42" t="s">
        <v>5014</v>
      </c>
      <c r="F34" s="149"/>
    </row>
    <row r="35" spans="8:8" ht="21.0">
      <c r="A35" s="149"/>
      <c r="B35" s="42" t="s">
        <v>5039</v>
      </c>
      <c r="C35" s="42" t="s">
        <v>5040</v>
      </c>
      <c r="D35" s="42" t="s">
        <v>5047</v>
      </c>
      <c r="E35" s="42" t="s">
        <v>5014</v>
      </c>
      <c r="F35" s="149"/>
    </row>
    <row r="36" spans="8:8" ht="21.0">
      <c r="A36" s="149"/>
      <c r="B36" s="42" t="s">
        <v>5048</v>
      </c>
      <c r="C36" s="42" t="s">
        <v>5049</v>
      </c>
      <c r="D36" s="42" t="s">
        <v>5047</v>
      </c>
      <c r="E36" s="42" t="s">
        <v>5014</v>
      </c>
      <c r="F36" s="149"/>
    </row>
    <row r="37" spans="8:8" ht="21.0">
      <c r="A37" s="149"/>
      <c r="B37" s="151" t="s">
        <v>4983</v>
      </c>
      <c r="C37" s="151" t="s">
        <v>4983</v>
      </c>
      <c r="D37" s="151" t="s">
        <v>4983</v>
      </c>
      <c r="E37" s="151" t="s">
        <v>4983</v>
      </c>
      <c r="F37" s="149"/>
    </row>
    <row r="38" spans="8:8" ht="21.0">
      <c r="A38" s="149"/>
      <c r="B38" s="42" t="s">
        <v>5050</v>
      </c>
      <c r="C38" s="42" t="s">
        <v>5051</v>
      </c>
      <c r="D38" s="42" t="s">
        <v>5052</v>
      </c>
      <c r="E38" s="42" t="s">
        <v>5014</v>
      </c>
      <c r="F38" s="149"/>
    </row>
    <row r="39" spans="8:8" ht="21.0">
      <c r="A39" s="149"/>
      <c r="B39" s="151" t="s">
        <v>4983</v>
      </c>
      <c r="C39" s="151" t="s">
        <v>4983</v>
      </c>
      <c r="D39" s="152" t="s">
        <v>5053</v>
      </c>
      <c r="E39" s="151" t="s">
        <v>4983</v>
      </c>
      <c r="F39" s="149"/>
    </row>
    <row r="40" spans="8:8" ht="21.0">
      <c r="A40" s="149"/>
      <c r="B40" s="42" t="s">
        <v>2802</v>
      </c>
      <c r="C40" s="42" t="s">
        <v>5054</v>
      </c>
      <c r="D40" s="42" t="s">
        <v>5055</v>
      </c>
      <c r="E40" s="42" t="s">
        <v>5056</v>
      </c>
      <c r="F40" s="149"/>
    </row>
    <row r="41" spans="8:8" ht="21.0">
      <c r="A41" s="149"/>
      <c r="B41" s="42" t="s">
        <v>5057</v>
      </c>
      <c r="C41" s="42" t="s">
        <v>5058</v>
      </c>
      <c r="D41" s="42" t="s">
        <v>5059</v>
      </c>
      <c r="E41" s="42" t="s">
        <v>3929</v>
      </c>
      <c r="F41" s="149"/>
    </row>
    <row r="42" spans="8:8" ht="21.0">
      <c r="A42" s="149"/>
      <c r="B42" s="42" t="s">
        <v>5060</v>
      </c>
      <c r="C42" s="42" t="s">
        <v>5061</v>
      </c>
      <c r="D42" s="42" t="s">
        <v>5062</v>
      </c>
      <c r="E42" s="42" t="s">
        <v>5063</v>
      </c>
      <c r="F42" s="149"/>
    </row>
    <row r="43" spans="8:8" ht="21.0">
      <c r="A43" s="149"/>
      <c r="B43" s="42" t="s">
        <v>5064</v>
      </c>
      <c r="C43" s="42" t="s">
        <v>5065</v>
      </c>
      <c r="D43" s="42" t="s">
        <v>5066</v>
      </c>
      <c r="E43" s="42" t="s">
        <v>851</v>
      </c>
      <c r="F43" s="149"/>
    </row>
    <row r="44" spans="8:8" ht="99.0">
      <c r="A44" s="149"/>
      <c r="B44" s="42" t="s">
        <v>5067</v>
      </c>
      <c r="C44" s="42" t="s">
        <v>5068</v>
      </c>
      <c r="D44" s="42" t="s">
        <v>5069</v>
      </c>
      <c r="E44" s="42" t="s">
        <v>5070</v>
      </c>
      <c r="F44" s="149"/>
    </row>
    <row r="45" spans="8:8" ht="21.0">
      <c r="A45" s="149"/>
      <c r="B45" s="42"/>
      <c r="C45" s="42"/>
      <c r="D45" s="42"/>
      <c r="E45" s="42"/>
      <c r="F45" s="149"/>
    </row>
    <row r="46" spans="8:8" ht="21.0">
      <c r="A46" s="153"/>
      <c r="B46" s="154" t="s">
        <v>5071</v>
      </c>
      <c r="C46" s="154"/>
      <c r="D46" s="154" t="s">
        <v>5072</v>
      </c>
      <c r="E46" s="154"/>
      <c r="F46" s="153"/>
    </row>
    <row r="47" spans="8:8" ht="21.0">
      <c r="A47" s="153"/>
      <c r="B47" s="154" t="s">
        <v>814</v>
      </c>
      <c r="C47" s="154" t="s">
        <v>4807</v>
      </c>
      <c r="D47" s="154" t="s">
        <v>5073</v>
      </c>
      <c r="E47" s="154" t="s">
        <v>818</v>
      </c>
      <c r="F47" s="153"/>
    </row>
    <row r="48" spans="8:8" ht="21.0">
      <c r="A48" s="153"/>
      <c r="B48" s="42" t="s">
        <v>5074</v>
      </c>
      <c r="C48" s="42" t="s">
        <v>5075</v>
      </c>
      <c r="D48" s="42" t="s">
        <v>5076</v>
      </c>
      <c r="E48" s="42" t="s">
        <v>5077</v>
      </c>
      <c r="F48" s="153"/>
    </row>
    <row r="49" spans="8:8" ht="21.0">
      <c r="A49" s="153"/>
      <c r="B49" s="42" t="s">
        <v>5078</v>
      </c>
      <c r="C49" s="42" t="s">
        <v>5079</v>
      </c>
      <c r="D49" s="42" t="s">
        <v>5080</v>
      </c>
      <c r="E49" s="42" t="s">
        <v>869</v>
      </c>
      <c r="F49" s="153"/>
    </row>
    <row r="50" spans="8:8" ht="33.0">
      <c r="A50" s="153"/>
      <c r="B50" s="42" t="s">
        <v>5064</v>
      </c>
      <c r="C50" s="42" t="s">
        <v>5065</v>
      </c>
      <c r="D50" s="42" t="s">
        <v>5081</v>
      </c>
      <c r="E50" s="42" t="s">
        <v>5082</v>
      </c>
      <c r="F50" s="153"/>
    </row>
    <row r="51" spans="8:8" ht="115.5">
      <c r="A51" s="153"/>
      <c r="B51" s="42" t="s">
        <v>5083</v>
      </c>
      <c r="C51" s="42" t="s">
        <v>5084</v>
      </c>
      <c r="D51" s="42" t="s">
        <v>5085</v>
      </c>
      <c r="E51" s="42" t="s">
        <v>5086</v>
      </c>
      <c r="F51" s="153"/>
    </row>
    <row r="52" spans="8:8" ht="115.5">
      <c r="A52" s="153"/>
      <c r="B52" s="42" t="s">
        <v>5087</v>
      </c>
      <c r="C52" s="42" t="s">
        <v>5088</v>
      </c>
      <c r="D52" s="42" t="s">
        <v>5089</v>
      </c>
      <c r="E52" s="42" t="s">
        <v>5086</v>
      </c>
      <c r="F52" s="153"/>
    </row>
    <row r="53" spans="8:8" ht="99.0">
      <c r="A53" s="153"/>
      <c r="B53" s="42" t="s">
        <v>5090</v>
      </c>
      <c r="C53" s="42" t="s">
        <v>5091</v>
      </c>
      <c r="D53" s="42" t="s">
        <v>5092</v>
      </c>
      <c r="E53" s="42" t="s">
        <v>869</v>
      </c>
      <c r="F53" s="153"/>
    </row>
    <row r="54" spans="8:8" ht="21.0">
      <c r="A54" s="153"/>
      <c r="B54" s="42" t="s">
        <v>5093</v>
      </c>
      <c r="C54" s="42" t="s">
        <v>5094</v>
      </c>
      <c r="D54" s="42" t="s">
        <v>5095</v>
      </c>
      <c r="E54" s="42" t="s">
        <v>123</v>
      </c>
      <c r="F54" s="153"/>
    </row>
    <row r="55" spans="8:8" ht="21.0">
      <c r="A55" s="153"/>
      <c r="B55" s="42"/>
      <c r="C55" s="42"/>
      <c r="D55" s="42"/>
      <c r="E55" s="42"/>
      <c r="F55" s="153"/>
    </row>
    <row r="56" spans="8:8" ht="21.0">
      <c r="A56" s="155"/>
      <c r="B56" s="156" t="s">
        <v>5096</v>
      </c>
      <c r="C56" s="156"/>
      <c r="D56" s="156" t="s">
        <v>5097</v>
      </c>
      <c r="E56" s="156"/>
      <c r="F56" s="155"/>
    </row>
    <row r="57" spans="8:8" ht="21.0">
      <c r="A57" s="155"/>
      <c r="B57" s="156" t="s">
        <v>814</v>
      </c>
      <c r="C57" s="156" t="s">
        <v>4807</v>
      </c>
      <c r="D57" s="156" t="s">
        <v>5098</v>
      </c>
      <c r="E57" s="156" t="s">
        <v>818</v>
      </c>
      <c r="F57" s="155"/>
    </row>
    <row r="58" spans="8:8" ht="21.0">
      <c r="A58" s="155"/>
      <c r="B58" s="42" t="s">
        <v>4391</v>
      </c>
      <c r="C58" s="42" t="s">
        <v>4392</v>
      </c>
      <c r="D58" s="42" t="s">
        <v>5099</v>
      </c>
      <c r="E58" s="42" t="s">
        <v>5063</v>
      </c>
      <c r="F58" s="155"/>
    </row>
    <row r="59" spans="8:8" ht="21.0">
      <c r="A59" s="155"/>
      <c r="B59" s="42" t="s">
        <v>5100</v>
      </c>
      <c r="C59" s="42" t="s">
        <v>5101</v>
      </c>
      <c r="D59" s="42" t="s">
        <v>5102</v>
      </c>
      <c r="E59" s="42" t="s">
        <v>5063</v>
      </c>
      <c r="F59" s="155"/>
    </row>
    <row r="60" spans="8:8" ht="21.0">
      <c r="A60" s="155"/>
      <c r="B60" s="42" t="s">
        <v>5103</v>
      </c>
      <c r="C60" s="42" t="s">
        <v>5104</v>
      </c>
      <c r="D60" s="42" t="s">
        <v>5105</v>
      </c>
      <c r="E60" s="42" t="s">
        <v>123</v>
      </c>
      <c r="F60" s="155"/>
    </row>
    <row r="61" spans="8:8" ht="154.3" customHeight="1">
      <c r="A61" s="155"/>
      <c r="B61" s="42" t="s">
        <v>5106</v>
      </c>
      <c r="C61" s="42" t="s">
        <v>5107</v>
      </c>
      <c r="D61" s="42" t="s">
        <v>5108</v>
      </c>
      <c r="E61" s="42" t="s">
        <v>5063</v>
      </c>
      <c r="F61" s="155"/>
    </row>
    <row r="62" spans="8:8" ht="49.5">
      <c r="A62" s="155"/>
      <c r="B62" s="42" t="s">
        <v>5109</v>
      </c>
      <c r="C62" s="42" t="s">
        <v>5110</v>
      </c>
      <c r="D62" s="42" t="s">
        <v>5111</v>
      </c>
      <c r="E62" s="42" t="s">
        <v>5112</v>
      </c>
      <c r="F62" s="155"/>
    </row>
    <row r="63" spans="8:8" ht="21.0">
      <c r="A63" s="155"/>
      <c r="B63" s="42" t="s">
        <v>5113</v>
      </c>
      <c r="C63" s="42" t="s">
        <v>5114</v>
      </c>
      <c r="D63" s="42" t="s">
        <v>5115</v>
      </c>
      <c r="E63" s="42" t="s">
        <v>5014</v>
      </c>
      <c r="F63" s="155"/>
    </row>
    <row r="64" spans="8:8" ht="21.0">
      <c r="A64" s="155"/>
      <c r="B64" s="42"/>
      <c r="C64" s="42"/>
      <c r="D64" s="42"/>
      <c r="E64" s="42"/>
      <c r="F64" s="155"/>
    </row>
    <row r="65" spans="8:8" ht="21.0">
      <c r="A65" s="157"/>
      <c r="B65" s="158" t="s">
        <v>5116</v>
      </c>
      <c r="C65" s="158"/>
      <c r="D65" s="158" t="s">
        <v>5117</v>
      </c>
      <c r="E65" s="158"/>
      <c r="F65" s="157"/>
    </row>
    <row r="66" spans="8:8" ht="21.0">
      <c r="A66" s="157"/>
      <c r="B66" s="158" t="s">
        <v>814</v>
      </c>
      <c r="C66" s="158" t="s">
        <v>4807</v>
      </c>
      <c r="D66" s="158" t="s">
        <v>5118</v>
      </c>
      <c r="E66" s="158" t="s">
        <v>818</v>
      </c>
      <c r="F66" s="157"/>
    </row>
    <row r="67" spans="8:8" ht="33.0">
      <c r="A67" s="157"/>
      <c r="B67" s="42" t="s">
        <v>5119</v>
      </c>
      <c r="C67" s="42" t="s">
        <v>5120</v>
      </c>
      <c r="D67" s="42" t="s">
        <v>5121</v>
      </c>
      <c r="E67" s="42" t="s">
        <v>2814</v>
      </c>
      <c r="F67" s="157"/>
    </row>
    <row r="68" spans="8:8" ht="21.0">
      <c r="A68" s="157"/>
      <c r="B68" s="42" t="s">
        <v>5122</v>
      </c>
      <c r="C68" s="42" t="s">
        <v>5123</v>
      </c>
      <c r="D68" s="42" t="s">
        <v>5124</v>
      </c>
      <c r="E68" s="42" t="s">
        <v>2814</v>
      </c>
      <c r="F68" s="157"/>
    </row>
    <row r="69" spans="8:8" ht="21.0">
      <c r="A69" s="157"/>
      <c r="B69" s="42" t="s">
        <v>5125</v>
      </c>
      <c r="C69" s="42" t="s">
        <v>5126</v>
      </c>
      <c r="D69" s="42" t="s">
        <v>5127</v>
      </c>
      <c r="E69" s="42" t="s">
        <v>2814</v>
      </c>
      <c r="F69" s="157"/>
    </row>
    <row r="70" spans="8:8" ht="21.0">
      <c r="A70" s="157"/>
      <c r="B70" s="42" t="s">
        <v>5128</v>
      </c>
      <c r="C70" s="42" t="s">
        <v>5129</v>
      </c>
      <c r="D70" s="42" t="s">
        <v>5130</v>
      </c>
      <c r="E70" s="42" t="s">
        <v>2814</v>
      </c>
      <c r="F70" s="157"/>
    </row>
    <row r="71" spans="8:8" ht="21.0">
      <c r="A71" s="157"/>
      <c r="B71" s="42" t="s">
        <v>5131</v>
      </c>
      <c r="C71" s="42" t="s">
        <v>5132</v>
      </c>
      <c r="D71" s="42" t="s">
        <v>5130</v>
      </c>
      <c r="E71" s="42" t="s">
        <v>2814</v>
      </c>
      <c r="F71" s="157"/>
    </row>
    <row r="72" spans="8:8" ht="21.0">
      <c r="A72" s="157"/>
      <c r="B72" s="159" t="s">
        <v>4983</v>
      </c>
      <c r="C72" s="159" t="s">
        <v>4983</v>
      </c>
      <c r="D72" s="160" t="s">
        <v>5133</v>
      </c>
      <c r="E72" s="159" t="s">
        <v>4983</v>
      </c>
      <c r="F72" s="157"/>
    </row>
    <row r="73" spans="8:8" ht="21.0">
      <c r="A73" s="157"/>
      <c r="B73" s="42" t="s">
        <v>1317</v>
      </c>
      <c r="C73" s="42" t="s">
        <v>5134</v>
      </c>
      <c r="D73" s="42" t="s">
        <v>5135</v>
      </c>
      <c r="E73" s="42" t="s">
        <v>5136</v>
      </c>
      <c r="F73" s="157"/>
    </row>
    <row r="74" spans="8:8" ht="21.0">
      <c r="A74" s="157"/>
      <c r="B74" s="42" t="s">
        <v>5137</v>
      </c>
      <c r="C74" s="42" t="s">
        <v>5138</v>
      </c>
      <c r="D74" s="42" t="s">
        <v>5139</v>
      </c>
      <c r="E74" s="42" t="s">
        <v>5136</v>
      </c>
      <c r="F74" s="157"/>
    </row>
    <row r="75" spans="8:8" ht="21.0">
      <c r="A75" s="157"/>
      <c r="B75" s="42" t="s">
        <v>5140</v>
      </c>
      <c r="C75" s="42" t="s">
        <v>5141</v>
      </c>
      <c r="D75" s="42" t="s">
        <v>5142</v>
      </c>
      <c r="E75" s="42" t="s">
        <v>5063</v>
      </c>
      <c r="F75" s="157"/>
    </row>
    <row r="76" spans="8:8" ht="21.0">
      <c r="A76" s="157"/>
      <c r="B76" s="42" t="s">
        <v>5143</v>
      </c>
      <c r="C76" s="42" t="s">
        <v>5144</v>
      </c>
      <c r="D76" s="42" t="s">
        <v>5145</v>
      </c>
      <c r="E76" s="42" t="s">
        <v>5136</v>
      </c>
      <c r="F76" s="157"/>
    </row>
    <row r="77" spans="8:8" ht="21.0">
      <c r="A77" s="157"/>
      <c r="B77" s="42" t="s">
        <v>5146</v>
      </c>
      <c r="C77" s="42" t="s">
        <v>5147</v>
      </c>
      <c r="D77" s="42" t="s">
        <v>5148</v>
      </c>
      <c r="E77" s="42" t="s">
        <v>123</v>
      </c>
      <c r="F77" s="157"/>
    </row>
    <row r="78" spans="8:8" ht="21.0">
      <c r="A78" s="157"/>
      <c r="B78" s="42" t="s">
        <v>1325</v>
      </c>
      <c r="C78" s="42" t="s">
        <v>5149</v>
      </c>
      <c r="D78" s="42" t="s">
        <v>5150</v>
      </c>
      <c r="E78" s="42" t="s">
        <v>5136</v>
      </c>
      <c r="F78" s="157"/>
    </row>
    <row r="79" spans="8:8" ht="21.0">
      <c r="A79" s="157"/>
      <c r="B79" s="159" t="s">
        <v>4983</v>
      </c>
      <c r="C79" s="159" t="s">
        <v>4983</v>
      </c>
      <c r="D79" s="160" t="s">
        <v>5151</v>
      </c>
      <c r="E79" s="159" t="s">
        <v>4983</v>
      </c>
      <c r="F79" s="157"/>
    </row>
    <row r="80" spans="8:8" ht="21.0">
      <c r="A80" s="157"/>
      <c r="B80" s="42" t="s">
        <v>5152</v>
      </c>
      <c r="C80" s="42" t="s">
        <v>5153</v>
      </c>
      <c r="D80" s="42" t="s">
        <v>5154</v>
      </c>
      <c r="E80" s="42" t="s">
        <v>5155</v>
      </c>
      <c r="F80" s="157"/>
    </row>
    <row r="81" spans="8:8" ht="21.0">
      <c r="A81" s="157"/>
      <c r="B81" s="42" t="s">
        <v>5156</v>
      </c>
      <c r="C81" s="42" t="s">
        <v>5157</v>
      </c>
      <c r="D81" s="42" t="s">
        <v>5154</v>
      </c>
      <c r="E81" s="42" t="s">
        <v>5155</v>
      </c>
      <c r="F81" s="157"/>
    </row>
    <row r="82" spans="8:8" ht="21.0">
      <c r="A82" s="157"/>
      <c r="B82" s="159" t="s">
        <v>4983</v>
      </c>
      <c r="C82" s="159" t="s">
        <v>4983</v>
      </c>
      <c r="D82" s="160" t="s">
        <v>5158</v>
      </c>
      <c r="E82" s="159" t="s">
        <v>4983</v>
      </c>
      <c r="F82" s="157"/>
    </row>
    <row r="83" spans="8:8" ht="21.0">
      <c r="A83" s="157"/>
      <c r="B83" s="42" t="s">
        <v>2814</v>
      </c>
      <c r="C83" s="42" t="s">
        <v>5159</v>
      </c>
      <c r="D83" s="42" t="s">
        <v>5160</v>
      </c>
      <c r="E83" s="42" t="s">
        <v>5063</v>
      </c>
      <c r="F83" s="161"/>
      <c r="G83" s="1"/>
      <c r="M83"/>
    </row>
    <row r="84" spans="8:8" ht="21.0">
      <c r="A84" s="157"/>
      <c r="B84" s="42" t="s">
        <v>5057</v>
      </c>
      <c r="C84" s="42" t="s">
        <v>5058</v>
      </c>
      <c r="D84" s="42" t="s">
        <v>5161</v>
      </c>
      <c r="E84" s="42" t="s">
        <v>3929</v>
      </c>
      <c r="F84" s="161"/>
      <c r="G84" s="1"/>
      <c r="M84"/>
    </row>
    <row r="85" spans="8:8" ht="21.0">
      <c r="A85" s="157"/>
      <c r="B85" s="159" t="s">
        <v>4983</v>
      </c>
      <c r="C85" s="159" t="s">
        <v>4983</v>
      </c>
      <c r="D85" s="160" t="s">
        <v>5162</v>
      </c>
      <c r="E85" s="159" t="s">
        <v>4983</v>
      </c>
      <c r="F85" s="157"/>
      <c r="G85" s="1"/>
      <c r="M85"/>
    </row>
    <row r="86" spans="8:8" ht="21.0">
      <c r="A86" s="157"/>
      <c r="B86" s="42" t="s">
        <v>5163</v>
      </c>
      <c r="C86" s="42" t="s">
        <v>5164</v>
      </c>
      <c r="D86" s="42" t="s">
        <v>5165</v>
      </c>
      <c r="E86" s="42" t="s">
        <v>123</v>
      </c>
      <c r="F86" s="161"/>
      <c r="G86" s="1"/>
      <c r="M86"/>
    </row>
    <row r="87" spans="8:8" ht="21.0">
      <c r="A87" s="157"/>
      <c r="B87" s="42" t="s">
        <v>5166</v>
      </c>
      <c r="C87" s="42" t="s">
        <v>5167</v>
      </c>
      <c r="D87" s="42" t="s">
        <v>5168</v>
      </c>
      <c r="E87" s="42" t="s">
        <v>869</v>
      </c>
      <c r="F87" s="161"/>
      <c r="G87" s="1"/>
      <c r="M87"/>
    </row>
    <row r="88" spans="8:8" ht="21.0">
      <c r="A88" s="157"/>
      <c r="B88" s="42" t="s">
        <v>5169</v>
      </c>
      <c r="C88" s="42" t="s">
        <v>5170</v>
      </c>
      <c r="D88" s="42" t="s">
        <v>5171</v>
      </c>
      <c r="E88" s="42" t="s">
        <v>5172</v>
      </c>
      <c r="F88" s="161"/>
      <c r="G88" s="1"/>
      <c r="M88"/>
    </row>
    <row r="89" spans="8:8" ht="21.0">
      <c r="A89" s="157"/>
      <c r="B89" s="42" t="s">
        <v>5173</v>
      </c>
      <c r="C89" s="42" t="s">
        <v>5174</v>
      </c>
      <c r="D89" s="42" t="s">
        <v>5175</v>
      </c>
      <c r="E89" s="42" t="s">
        <v>1444</v>
      </c>
      <c r="F89" s="161"/>
      <c r="G89" s="1"/>
      <c r="M89"/>
    </row>
    <row r="90" spans="8:8" ht="21.0">
      <c r="A90" s="157"/>
      <c r="B90" s="42" t="s">
        <v>3541</v>
      </c>
      <c r="C90" s="42" t="s">
        <v>5176</v>
      </c>
      <c r="D90" s="42" t="s">
        <v>5177</v>
      </c>
      <c r="E90" s="42" t="s">
        <v>869</v>
      </c>
      <c r="F90" s="161"/>
      <c r="G90" s="1"/>
      <c r="M90"/>
    </row>
    <row r="91" spans="8:8" ht="21.0">
      <c r="A91" s="157"/>
      <c r="B91" s="42"/>
      <c r="C91" s="42"/>
      <c r="D91" s="42"/>
      <c r="E91" s="42"/>
      <c r="F91" s="157"/>
    </row>
    <row r="92" spans="8:8" ht="21.0">
      <c r="A92" s="162"/>
      <c r="B92" s="163" t="s">
        <v>5153</v>
      </c>
      <c r="C92" s="163"/>
      <c r="D92" s="163" t="s">
        <v>5152</v>
      </c>
      <c r="E92" s="163"/>
      <c r="F92" s="162"/>
    </row>
    <row r="93" spans="8:8" ht="21.0">
      <c r="A93" s="162"/>
      <c r="B93" s="163" t="s">
        <v>814</v>
      </c>
      <c r="C93" s="163" t="s">
        <v>4807</v>
      </c>
      <c r="D93" s="163" t="s">
        <v>5178</v>
      </c>
      <c r="E93" s="163" t="s">
        <v>818</v>
      </c>
      <c r="F93" s="162"/>
    </row>
    <row r="94" spans="8:8" ht="21.0">
      <c r="A94" s="162"/>
      <c r="B94" s="42" t="s">
        <v>5179</v>
      </c>
      <c r="C94" s="42" t="s">
        <v>5180</v>
      </c>
      <c r="D94" s="42" t="s">
        <v>5181</v>
      </c>
      <c r="E94" s="42" t="s">
        <v>869</v>
      </c>
      <c r="F94" s="162"/>
    </row>
    <row r="95" spans="8:8" ht="21.0">
      <c r="A95" s="162"/>
      <c r="B95" s="42" t="s">
        <v>5156</v>
      </c>
      <c r="C95" s="42" t="s">
        <v>5182</v>
      </c>
      <c r="D95" s="42" t="s">
        <v>5181</v>
      </c>
      <c r="E95" s="42" t="s">
        <v>869</v>
      </c>
      <c r="F95" s="162"/>
    </row>
    <row r="96" spans="8:8" ht="21.0">
      <c r="A96" s="162"/>
      <c r="B96" s="42"/>
      <c r="C96" s="42"/>
      <c r="D96" s="42"/>
      <c r="E96" s="42"/>
      <c r="F96" s="162"/>
    </row>
    <row r="97" spans="8:8" ht="21.0">
      <c r="A97" s="162"/>
      <c r="B97" s="163" t="s">
        <v>5178</v>
      </c>
      <c r="C97" s="163"/>
      <c r="D97" s="163" t="s">
        <v>5183</v>
      </c>
      <c r="E97" s="163"/>
      <c r="F97" s="162"/>
    </row>
    <row r="98" spans="8:8" ht="21.0">
      <c r="A98" s="162"/>
      <c r="B98" s="163" t="s">
        <v>814</v>
      </c>
      <c r="C98" s="163" t="s">
        <v>4807</v>
      </c>
      <c r="D98" s="163" t="s">
        <v>5178</v>
      </c>
      <c r="E98" s="163" t="s">
        <v>818</v>
      </c>
      <c r="F98" s="162"/>
    </row>
    <row r="99" spans="8:8" ht="21.0">
      <c r="A99" s="162"/>
      <c r="B99" s="42" t="s">
        <v>5184</v>
      </c>
      <c r="C99" s="42" t="s">
        <v>5153</v>
      </c>
      <c r="D99" s="42" t="s">
        <v>5154</v>
      </c>
      <c r="E99" s="42" t="s">
        <v>5155</v>
      </c>
      <c r="F99" s="162"/>
    </row>
    <row r="100" spans="8:8" ht="21.0">
      <c r="A100" s="162"/>
      <c r="B100" s="42"/>
      <c r="C100" s="42"/>
      <c r="D100" s="42"/>
      <c r="E100" s="42"/>
      <c r="F100" s="162"/>
    </row>
    <row r="101" spans="8:8" ht="21.0">
      <c r="A101" s="164"/>
      <c r="B101" s="165" t="s">
        <v>5185</v>
      </c>
      <c r="C101" s="165"/>
      <c r="D101" s="165" t="s">
        <v>5186</v>
      </c>
      <c r="E101" s="165"/>
      <c r="F101" s="164"/>
    </row>
    <row r="102" spans="8:8" ht="21.0">
      <c r="A102" s="164"/>
      <c r="B102" s="165" t="s">
        <v>814</v>
      </c>
      <c r="C102" s="165" t="s">
        <v>4807</v>
      </c>
      <c r="D102" s="165" t="s">
        <v>5187</v>
      </c>
      <c r="E102" s="165" t="s">
        <v>818</v>
      </c>
      <c r="F102" s="164"/>
    </row>
    <row r="103" spans="8:8" ht="21.0">
      <c r="A103" s="164"/>
      <c r="B103" s="42" t="s">
        <v>5188</v>
      </c>
      <c r="C103" s="42" t="s">
        <v>5189</v>
      </c>
      <c r="D103" s="42" t="s">
        <v>5190</v>
      </c>
      <c r="E103" s="42" t="s">
        <v>5191</v>
      </c>
      <c r="F103" s="164"/>
    </row>
    <row r="104" spans="8:8" ht="21.0">
      <c r="A104" s="164"/>
      <c r="B104" s="42" t="s">
        <v>5192</v>
      </c>
      <c r="C104" s="42" t="s">
        <v>5193</v>
      </c>
      <c r="D104" s="42" t="s">
        <v>5194</v>
      </c>
      <c r="E104" s="42" t="s">
        <v>5014</v>
      </c>
      <c r="F104" s="164"/>
    </row>
    <row r="105" spans="8:8" ht="21.0">
      <c r="A105" s="164"/>
      <c r="B105" s="42"/>
      <c r="C105" s="42"/>
      <c r="D105" s="42"/>
      <c r="E105" s="42"/>
      <c r="F105" s="164"/>
    </row>
    <row r="106" spans="8:8" ht="21.0">
      <c r="A106" s="161"/>
      <c r="B106" s="166" t="s">
        <v>5195</v>
      </c>
      <c r="C106" s="166"/>
      <c r="D106" s="166" t="s">
        <v>5196</v>
      </c>
      <c r="E106" s="166"/>
      <c r="F106" s="161"/>
    </row>
    <row r="107" spans="8:8" ht="21.0">
      <c r="A107" s="161"/>
      <c r="B107" s="166" t="s">
        <v>814</v>
      </c>
      <c r="C107" s="166" t="s">
        <v>4807</v>
      </c>
      <c r="D107" s="166" t="s">
        <v>816</v>
      </c>
      <c r="E107" s="166" t="s">
        <v>818</v>
      </c>
      <c r="F107" s="161"/>
    </row>
    <row r="108" spans="8:8" ht="18.0">
      <c r="A108" s="167"/>
      <c r="B108" s="168" t="s">
        <v>5197</v>
      </c>
      <c r="C108" s="169" t="s">
        <v>4983</v>
      </c>
      <c r="D108" s="168" t="s">
        <v>5198</v>
      </c>
      <c r="E108" s="169" t="s">
        <v>4983</v>
      </c>
      <c r="F108" s="167"/>
    </row>
    <row r="109" spans="8:8" ht="21.0">
      <c r="A109" s="161"/>
      <c r="B109" s="42" t="s">
        <v>5199</v>
      </c>
      <c r="C109" s="42" t="s">
        <v>5200</v>
      </c>
      <c r="D109" s="42" t="s">
        <v>5201</v>
      </c>
      <c r="E109" s="42" t="s">
        <v>5056</v>
      </c>
      <c r="F109" s="161"/>
    </row>
    <row r="110" spans="8:8" ht="21.0">
      <c r="A110" s="161"/>
      <c r="B110" s="42" t="s">
        <v>5202</v>
      </c>
      <c r="C110" s="42" t="s">
        <v>5203</v>
      </c>
      <c r="D110" s="42" t="s">
        <v>5204</v>
      </c>
      <c r="E110" s="42" t="s">
        <v>5063</v>
      </c>
      <c r="F110" s="161"/>
    </row>
    <row r="111" spans="8:8" ht="21.0">
      <c r="A111" s="161"/>
      <c r="B111" s="42" t="s">
        <v>5205</v>
      </c>
      <c r="C111" s="42" t="s">
        <v>5206</v>
      </c>
      <c r="D111" s="42" t="s">
        <v>5207</v>
      </c>
      <c r="E111" s="42" t="s">
        <v>5063</v>
      </c>
      <c r="F111" s="161"/>
    </row>
    <row r="112" spans="8:8" ht="21.0">
      <c r="A112" s="161"/>
      <c r="B112" s="42" t="s">
        <v>5208</v>
      </c>
      <c r="C112" s="42" t="s">
        <v>5209</v>
      </c>
      <c r="D112" s="42" t="s">
        <v>5210</v>
      </c>
      <c r="E112" s="42" t="s">
        <v>123</v>
      </c>
      <c r="F112" s="161"/>
    </row>
    <row r="113" spans="8:8" ht="21.0">
      <c r="A113" s="161"/>
      <c r="B113" s="42" t="s">
        <v>5211</v>
      </c>
      <c r="C113" s="42" t="s">
        <v>5212</v>
      </c>
      <c r="D113" s="42" t="s">
        <v>5213</v>
      </c>
      <c r="E113" s="42" t="s">
        <v>123</v>
      </c>
      <c r="F113" s="161"/>
    </row>
    <row r="114" spans="8:8" ht="21.0">
      <c r="A114" s="161"/>
      <c r="B114" s="42" t="s">
        <v>5214</v>
      </c>
      <c r="C114" s="42" t="s">
        <v>5215</v>
      </c>
      <c r="D114" s="42" t="s">
        <v>5216</v>
      </c>
      <c r="E114" s="42" t="s">
        <v>123</v>
      </c>
      <c r="F114" s="161"/>
    </row>
    <row r="115" spans="8:8" ht="21.0">
      <c r="A115" s="161"/>
      <c r="B115" s="42" t="s">
        <v>5217</v>
      </c>
      <c r="C115" s="42" t="s">
        <v>5218</v>
      </c>
      <c r="D115" s="42" t="s">
        <v>5219</v>
      </c>
      <c r="E115" s="42" t="s">
        <v>5063</v>
      </c>
      <c r="F115" s="161"/>
    </row>
    <row r="116" spans="8:8" ht="21.0">
      <c r="A116" s="161"/>
      <c r="B116" s="42" t="s">
        <v>5220</v>
      </c>
      <c r="C116" s="42" t="s">
        <v>5221</v>
      </c>
      <c r="D116" s="42" t="s">
        <v>5222</v>
      </c>
      <c r="E116" s="42" t="s">
        <v>123</v>
      </c>
      <c r="F116" s="161"/>
    </row>
    <row r="117" spans="8:8" ht="21.0">
      <c r="A117" s="161"/>
      <c r="B117" s="42" t="s">
        <v>5223</v>
      </c>
      <c r="C117" s="42" t="s">
        <v>5224</v>
      </c>
      <c r="D117" s="42" t="s">
        <v>5225</v>
      </c>
      <c r="E117" s="42" t="s">
        <v>123</v>
      </c>
      <c r="F117" s="161"/>
    </row>
    <row r="118" spans="8:8" ht="21.0">
      <c r="A118" s="161"/>
      <c r="B118" s="42" t="s">
        <v>5226</v>
      </c>
      <c r="C118" s="42" t="s">
        <v>5227</v>
      </c>
      <c r="D118" s="42" t="s">
        <v>5228</v>
      </c>
      <c r="E118" s="42" t="s">
        <v>123</v>
      </c>
      <c r="F118" s="161"/>
    </row>
    <row r="119" spans="8:8" ht="21.0">
      <c r="A119" s="161"/>
      <c r="B119" s="42" t="s">
        <v>5229</v>
      </c>
      <c r="C119" s="42" t="s">
        <v>5230</v>
      </c>
      <c r="D119" s="42" t="s">
        <v>5231</v>
      </c>
      <c r="E119" s="42" t="s">
        <v>123</v>
      </c>
      <c r="F119" s="161"/>
    </row>
    <row r="120" spans="8:8" ht="21.0">
      <c r="A120" s="161"/>
      <c r="B120" s="42" t="s">
        <v>5232</v>
      </c>
      <c r="C120" s="42" t="s">
        <v>5233</v>
      </c>
      <c r="D120" s="42" t="s">
        <v>5234</v>
      </c>
      <c r="E120" s="42" t="s">
        <v>123</v>
      </c>
      <c r="F120" s="161"/>
    </row>
    <row r="121" spans="8:8" ht="21.0">
      <c r="A121" s="161"/>
      <c r="B121" s="42" t="s">
        <v>5235</v>
      </c>
      <c r="C121" s="42" t="s">
        <v>5236</v>
      </c>
      <c r="D121" s="42" t="s">
        <v>5237</v>
      </c>
      <c r="E121" s="42" t="s">
        <v>123</v>
      </c>
      <c r="F121" s="161"/>
    </row>
    <row r="122" spans="8:8" ht="21.0">
      <c r="A122" s="161"/>
      <c r="B122" s="42" t="s">
        <v>5238</v>
      </c>
      <c r="C122" s="42" t="s">
        <v>5239</v>
      </c>
      <c r="D122" s="42" t="s">
        <v>5240</v>
      </c>
      <c r="E122" s="42" t="s">
        <v>4816</v>
      </c>
      <c r="F122" s="161"/>
    </row>
    <row r="123" spans="8:8" ht="21.0">
      <c r="A123" s="161"/>
      <c r="B123" s="42" t="s">
        <v>5241</v>
      </c>
      <c r="C123" s="42" t="s">
        <v>5242</v>
      </c>
      <c r="D123" s="42" t="s">
        <v>5243</v>
      </c>
      <c r="E123" s="42" t="s">
        <v>123</v>
      </c>
      <c r="F123" s="161"/>
    </row>
    <row r="124" spans="8:8" ht="21.0">
      <c r="A124" s="161"/>
      <c r="B124" s="42"/>
      <c r="C124" s="42"/>
      <c r="D124" s="42"/>
      <c r="E124" s="42"/>
      <c r="F124" s="161"/>
    </row>
    <row r="125" spans="8:8" ht="21.0">
      <c r="A125" s="170"/>
      <c r="B125" s="171" t="s">
        <v>5244</v>
      </c>
      <c r="C125" s="171"/>
      <c r="D125" s="171" t="s">
        <v>5245</v>
      </c>
      <c r="E125" s="171"/>
      <c r="F125" s="170"/>
    </row>
    <row r="126" spans="8:8" ht="21.0">
      <c r="A126" s="170"/>
      <c r="B126" s="171" t="s">
        <v>814</v>
      </c>
      <c r="C126" s="171" t="s">
        <v>4807</v>
      </c>
      <c r="D126" s="171" t="s">
        <v>5246</v>
      </c>
      <c r="E126" s="171" t="s">
        <v>818</v>
      </c>
      <c r="F126" s="170"/>
    </row>
    <row r="127" spans="8:8" ht="21.0">
      <c r="A127" s="170"/>
      <c r="B127" s="42" t="s">
        <v>4959</v>
      </c>
      <c r="C127" s="42" t="s">
        <v>5247</v>
      </c>
      <c r="D127" s="42" t="s">
        <v>5248</v>
      </c>
      <c r="E127" s="42" t="s">
        <v>5063</v>
      </c>
      <c r="F127" s="170"/>
    </row>
    <row r="128" spans="8:8" ht="21.0">
      <c r="A128" s="170"/>
      <c r="B128" s="42" t="s">
        <v>4961</v>
      </c>
      <c r="C128" s="42" t="s">
        <v>5249</v>
      </c>
      <c r="D128" s="42" t="s">
        <v>5250</v>
      </c>
      <c r="E128" s="42" t="s">
        <v>5063</v>
      </c>
      <c r="F128" s="170"/>
    </row>
    <row r="129" spans="8:8" ht="21.0">
      <c r="A129" s="170"/>
      <c r="B129" s="42"/>
      <c r="C129" s="42"/>
      <c r="D129" s="42"/>
      <c r="E129" s="42"/>
      <c r="F129" s="170"/>
    </row>
    <row r="130" spans="8:8" ht="21.0">
      <c r="A130" s="172"/>
      <c r="B130" s="173" t="s">
        <v>5251</v>
      </c>
      <c r="C130" s="173"/>
      <c r="D130" s="173" t="s">
        <v>5252</v>
      </c>
      <c r="E130" s="173"/>
      <c r="F130" s="172"/>
    </row>
    <row r="131" spans="8:8" ht="21.0">
      <c r="A131" s="172"/>
      <c r="B131" s="173" t="s">
        <v>814</v>
      </c>
      <c r="C131" s="173" t="s">
        <v>4807</v>
      </c>
      <c r="D131" s="173" t="s">
        <v>5253</v>
      </c>
      <c r="E131" s="173" t="s">
        <v>818</v>
      </c>
      <c r="F131" s="172"/>
    </row>
    <row r="132" spans="8:8" ht="21.0">
      <c r="A132" s="172"/>
      <c r="B132" s="42" t="s">
        <v>5057</v>
      </c>
      <c r="C132" s="42" t="s">
        <v>5058</v>
      </c>
      <c r="D132" s="42" t="s">
        <v>5161</v>
      </c>
      <c r="E132" s="42" t="s">
        <v>3929</v>
      </c>
      <c r="F132" s="172"/>
    </row>
    <row r="133" spans="8:8" ht="21.0">
      <c r="A133" s="172"/>
      <c r="B133" s="42" t="s">
        <v>3162</v>
      </c>
      <c r="C133" s="42" t="s">
        <v>1518</v>
      </c>
      <c r="D133" s="42" t="s">
        <v>5254</v>
      </c>
      <c r="E133" s="42" t="s">
        <v>1521</v>
      </c>
      <c r="F133" s="172"/>
    </row>
    <row r="134" spans="8:8" ht="21.0">
      <c r="A134" s="172"/>
      <c r="B134" s="42"/>
      <c r="C134" s="42"/>
      <c r="D134" s="42"/>
      <c r="E134" s="42"/>
      <c r="F134" s="172"/>
    </row>
    <row r="135" spans="8:8" ht="21.0">
      <c r="A135" s="174"/>
      <c r="B135" s="175" t="s">
        <v>5255</v>
      </c>
      <c r="C135" s="175"/>
      <c r="D135" s="175" t="s">
        <v>5256</v>
      </c>
      <c r="E135" s="175"/>
      <c r="F135" s="174"/>
    </row>
    <row r="136" spans="8:8" ht="21.0">
      <c r="A136" s="174"/>
      <c r="B136" s="175" t="s">
        <v>814</v>
      </c>
      <c r="C136" s="175" t="s">
        <v>4807</v>
      </c>
      <c r="D136" s="175" t="s">
        <v>816</v>
      </c>
      <c r="E136" s="175" t="s">
        <v>818</v>
      </c>
      <c r="F136" s="174"/>
    </row>
    <row r="137" spans="8:8" ht="21.0">
      <c r="A137" s="174"/>
      <c r="B137" s="42" t="s">
        <v>5257</v>
      </c>
      <c r="C137" s="42" t="s">
        <v>5258</v>
      </c>
      <c r="D137" s="42" t="s">
        <v>5259</v>
      </c>
      <c r="E137" s="42" t="s">
        <v>1444</v>
      </c>
      <c r="F137" s="174"/>
    </row>
    <row r="138" spans="8:8" ht="21.0">
      <c r="A138" s="174"/>
      <c r="B138" s="42" t="s">
        <v>5260</v>
      </c>
      <c r="C138" s="42" t="s">
        <v>5261</v>
      </c>
      <c r="D138" s="42" t="s">
        <v>5262</v>
      </c>
      <c r="E138" s="42" t="s">
        <v>5063</v>
      </c>
      <c r="F138" s="174"/>
    </row>
    <row r="139" spans="8:8" ht="21.0">
      <c r="A139" s="174"/>
      <c r="B139" s="42" t="s">
        <v>5263</v>
      </c>
      <c r="C139" s="42" t="s">
        <v>5264</v>
      </c>
      <c r="D139" s="42" t="s">
        <v>5265</v>
      </c>
      <c r="E139" s="42" t="s">
        <v>851</v>
      </c>
      <c r="F139" s="174"/>
    </row>
    <row r="140" spans="8:8" ht="21.0">
      <c r="A140" s="174"/>
      <c r="B140" s="42" t="s">
        <v>5266</v>
      </c>
      <c r="C140" s="42" t="s">
        <v>5267</v>
      </c>
      <c r="D140" s="42" t="s">
        <v>5268</v>
      </c>
      <c r="E140" s="42" t="s">
        <v>851</v>
      </c>
      <c r="F140" s="174"/>
    </row>
    <row r="141" spans="8:8" ht="21.0">
      <c r="A141" s="174"/>
      <c r="B141" s="42" t="s">
        <v>2752</v>
      </c>
      <c r="C141" s="42" t="s">
        <v>2753</v>
      </c>
      <c r="D141" s="42" t="s">
        <v>5269</v>
      </c>
      <c r="E141" s="42" t="s">
        <v>869</v>
      </c>
      <c r="F141" s="174"/>
    </row>
    <row r="142" spans="8:8" ht="21.0">
      <c r="A142" s="174"/>
      <c r="B142" s="42" t="s">
        <v>5270</v>
      </c>
      <c r="C142" s="42" t="s">
        <v>5271</v>
      </c>
      <c r="D142" s="42" t="s">
        <v>5272</v>
      </c>
      <c r="E142" s="42" t="s">
        <v>869</v>
      </c>
      <c r="F142" s="174"/>
    </row>
    <row r="143" spans="8:8" ht="21.0">
      <c r="A143" s="174"/>
      <c r="B143" s="42" t="s">
        <v>5273</v>
      </c>
      <c r="C143" s="42" t="s">
        <v>5274</v>
      </c>
      <c r="D143" s="42" t="s">
        <v>5275</v>
      </c>
      <c r="E143" s="42" t="s">
        <v>5276</v>
      </c>
      <c r="F143" s="174"/>
    </row>
    <row r="144" spans="8:8" ht="21.0">
      <c r="A144" s="174"/>
      <c r="B144" s="42"/>
      <c r="C144" s="42"/>
      <c r="D144" s="42"/>
      <c r="E144" s="42"/>
      <c r="F144" s="174"/>
    </row>
    <row r="145" spans="8:8" ht="21.0">
      <c r="A145" s="176"/>
      <c r="B145" s="177" t="s">
        <v>5277</v>
      </c>
      <c r="C145" s="177"/>
      <c r="D145" s="177" t="s">
        <v>5278</v>
      </c>
      <c r="E145" s="177"/>
      <c r="F145" s="176"/>
    </row>
    <row r="146" spans="8:8" ht="21.0">
      <c r="A146" s="176"/>
      <c r="B146" s="177" t="s">
        <v>814</v>
      </c>
      <c r="C146" s="177" t="s">
        <v>4807</v>
      </c>
      <c r="D146" s="177" t="s">
        <v>5279</v>
      </c>
      <c r="E146" s="177" t="s">
        <v>818</v>
      </c>
      <c r="F146" s="176"/>
    </row>
    <row r="147" spans="8:8" ht="21.0">
      <c r="A147" s="176"/>
      <c r="B147" s="42" t="s">
        <v>5280</v>
      </c>
      <c r="C147" s="42" t="s">
        <v>5281</v>
      </c>
      <c r="D147" s="42" t="s">
        <v>5282</v>
      </c>
      <c r="E147" s="42" t="s">
        <v>5063</v>
      </c>
      <c r="F147" s="176"/>
    </row>
    <row r="148" spans="8:8" ht="21.0">
      <c r="A148" s="176"/>
      <c r="B148" s="42" t="s">
        <v>4100</v>
      </c>
      <c r="C148" s="42" t="s">
        <v>5283</v>
      </c>
      <c r="D148" s="42" t="s">
        <v>5284</v>
      </c>
      <c r="E148" s="42" t="s">
        <v>5063</v>
      </c>
      <c r="F148" s="176"/>
    </row>
    <row r="149" spans="8:8" ht="21.0">
      <c r="A149" s="176"/>
      <c r="B149" s="42"/>
      <c r="C149" s="42"/>
      <c r="D149" s="42"/>
      <c r="E149" s="42"/>
      <c r="F149" s="176"/>
    </row>
    <row r="150" spans="8:8" s="178" ht="22.5" customFormat="1">
      <c r="A150" s="179"/>
      <c r="B150" s="180" t="s">
        <v>5285</v>
      </c>
      <c r="C150" s="180"/>
      <c r="D150" s="180" t="s">
        <v>5286</v>
      </c>
      <c r="E150" s="180"/>
      <c r="F150" s="179"/>
      <c r="G150" s="181"/>
    </row>
    <row r="151" spans="8:8" s="178" ht="20.15" customFormat="1" customHeight="1">
      <c r="A151" s="179"/>
      <c r="B151" s="180" t="s">
        <v>814</v>
      </c>
      <c r="C151" s="180" t="s">
        <v>4807</v>
      </c>
      <c r="D151" s="180" t="s">
        <v>5287</v>
      </c>
      <c r="E151" s="180" t="s">
        <v>818</v>
      </c>
      <c r="F151" s="179"/>
      <c r="G151" s="181"/>
    </row>
    <row r="152" spans="8:8" ht="22.5" customFormat="1">
      <c r="A152" s="179"/>
      <c r="B152" s="42" t="s">
        <v>3633</v>
      </c>
      <c r="C152" s="42" t="s">
        <v>5288</v>
      </c>
      <c r="D152" s="42" t="s">
        <v>5289</v>
      </c>
      <c r="E152" s="42" t="s">
        <v>851</v>
      </c>
      <c r="F152" s="179"/>
      <c r="G152" s="1"/>
    </row>
    <row r="153" spans="8:8" ht="22.5" customFormat="1">
      <c r="A153" s="179"/>
      <c r="B153" s="42"/>
      <c r="C153" s="42"/>
      <c r="D153" s="42"/>
      <c r="E153" s="42"/>
      <c r="F153" s="179"/>
      <c r="G153" s="1"/>
    </row>
    <row r="154" spans="8:8" s="182" ht="22.5" customFormat="1">
      <c r="A154" s="183"/>
      <c r="B154" s="184" t="s">
        <v>5290</v>
      </c>
      <c r="C154" s="184"/>
      <c r="D154" s="184" t="s">
        <v>5291</v>
      </c>
      <c r="E154" s="184"/>
      <c r="F154" s="183"/>
      <c r="G154" s="185"/>
    </row>
    <row r="155" spans="8:8" s="182" ht="22.5" customFormat="1">
      <c r="A155" s="183"/>
      <c r="B155" s="184" t="s">
        <v>814</v>
      </c>
      <c r="C155" s="184" t="s">
        <v>4807</v>
      </c>
      <c r="D155" s="184" t="s">
        <v>5292</v>
      </c>
      <c r="E155" s="184" t="s">
        <v>818</v>
      </c>
      <c r="F155" s="183"/>
      <c r="G155" s="185"/>
    </row>
    <row r="156" spans="8:8" s="142" ht="22.5" customFormat="1">
      <c r="A156" s="183"/>
      <c r="B156" s="42"/>
      <c r="C156" s="42"/>
      <c r="D156" s="42"/>
      <c r="E156" s="42"/>
      <c r="F156" s="183"/>
      <c r="G156" s="140"/>
    </row>
    <row r="157" spans="8:8" s="178" ht="22.5" customFormat="1">
      <c r="A157" s="186"/>
      <c r="B157" s="187" t="s">
        <v>5293</v>
      </c>
      <c r="C157" s="187"/>
      <c r="D157" s="187" t="s">
        <v>5294</v>
      </c>
      <c r="E157" s="187"/>
      <c r="F157" s="186"/>
      <c r="G157" s="181"/>
    </row>
    <row r="158" spans="8:8" s="178" ht="18.9" customFormat="1" customHeight="1">
      <c r="A158" s="186"/>
      <c r="B158" s="187" t="s">
        <v>814</v>
      </c>
      <c r="C158" s="187" t="s">
        <v>4807</v>
      </c>
      <c r="D158" s="187" t="s">
        <v>5295</v>
      </c>
      <c r="E158" s="187" t="s">
        <v>818</v>
      </c>
      <c r="F158" s="186"/>
      <c r="G158" s="181"/>
    </row>
    <row r="159" spans="8:8" s="142" ht="22.5" customFormat="1">
      <c r="A159" s="186"/>
      <c r="B159" s="42"/>
      <c r="C159" s="42"/>
      <c r="D159" s="42"/>
      <c r="E159" s="42"/>
      <c r="F159" s="186"/>
      <c r="G159" s="140"/>
    </row>
    <row r="160" spans="8:8" s="178" ht="22.5" customFormat="1">
      <c r="A160" s="188"/>
      <c r="B160" s="189" t="s">
        <v>5296</v>
      </c>
      <c r="C160" s="189"/>
      <c r="D160" s="189" t="s">
        <v>5297</v>
      </c>
      <c r="E160" s="189"/>
      <c r="F160" s="188"/>
      <c r="G160" s="181"/>
    </row>
    <row r="161" spans="8:8" s="178" ht="19.35" customFormat="1" customHeight="1">
      <c r="A161" s="188"/>
      <c r="B161" s="189" t="s">
        <v>814</v>
      </c>
      <c r="C161" s="189" t="s">
        <v>4807</v>
      </c>
      <c r="D161" s="189" t="s">
        <v>5298</v>
      </c>
      <c r="E161" s="189" t="s">
        <v>818</v>
      </c>
      <c r="F161" s="188"/>
      <c r="G161" s="181"/>
    </row>
    <row r="162" spans="8:8" s="142" ht="22.5" customFormat="1">
      <c r="A162" s="188"/>
      <c r="B162" s="42"/>
      <c r="C162" s="42"/>
      <c r="D162" s="42"/>
      <c r="E162" s="42"/>
      <c r="F162" s="188"/>
      <c r="G162" s="140"/>
    </row>
    <row r="163" spans="8:8" s="182" ht="22.5" customFormat="1">
      <c r="A163" s="4"/>
      <c r="B163" s="190" t="s">
        <v>5299</v>
      </c>
      <c r="C163" s="190"/>
      <c r="D163" s="190" t="s">
        <v>5300</v>
      </c>
      <c r="E163" s="190"/>
      <c r="F163" s="4"/>
      <c r="G163" s="185"/>
    </row>
    <row r="164" spans="8:8" s="182" ht="20.15" customFormat="1" customHeight="1">
      <c r="A164" s="4"/>
      <c r="B164" s="190" t="s">
        <v>814</v>
      </c>
      <c r="C164" s="190" t="s">
        <v>4807</v>
      </c>
      <c r="D164" s="190" t="s">
        <v>5301</v>
      </c>
      <c r="E164" s="190" t="s">
        <v>818</v>
      </c>
      <c r="F164" s="4"/>
      <c r="G164" s="185"/>
    </row>
    <row r="165" spans="8:8" s="142" ht="22.5" customFormat="1">
      <c r="A165" s="4"/>
      <c r="B165" s="42"/>
      <c r="C165" s="42"/>
      <c r="D165" s="42"/>
      <c r="E165" s="42"/>
      <c r="F165" s="4"/>
      <c r="G165" s="140"/>
    </row>
    <row r="166" spans="8:8" s="182" ht="22.5" customFormat="1">
      <c r="A166" s="191"/>
      <c r="B166" s="192" t="s">
        <v>5302</v>
      </c>
      <c r="C166" s="192"/>
      <c r="D166" s="192" t="s">
        <v>5303</v>
      </c>
      <c r="E166" s="192"/>
      <c r="F166" s="191"/>
      <c r="G166" s="185"/>
    </row>
    <row r="167" spans="8:8" s="182" ht="19.55" customFormat="1" customHeight="1">
      <c r="A167" s="191"/>
      <c r="B167" s="192" t="s">
        <v>814</v>
      </c>
      <c r="C167" s="192" t="s">
        <v>4807</v>
      </c>
      <c r="D167" s="192" t="s">
        <v>5304</v>
      </c>
      <c r="E167" s="192" t="s">
        <v>818</v>
      </c>
      <c r="F167" s="191"/>
      <c r="G167" s="185"/>
    </row>
    <row r="168" spans="8:8" s="142" ht="15.95" customFormat="1" customHeight="1">
      <c r="A168" s="191"/>
      <c r="B168" s="42"/>
      <c r="C168" s="42"/>
      <c r="D168" s="42"/>
      <c r="E168" s="42"/>
      <c r="F168" s="191"/>
      <c r="G168" s="140"/>
    </row>
    <row r="169" spans="8:8" s="142" ht="22.5" customFormat="1">
      <c r="A169" s="193"/>
      <c r="B169" s="194" t="s">
        <v>5305</v>
      </c>
      <c r="C169" s="194"/>
      <c r="D169" s="194" t="s">
        <v>5306</v>
      </c>
      <c r="E169" s="194"/>
      <c r="F169" s="193"/>
      <c r="G169" s="140"/>
    </row>
    <row r="170" spans="8:8" s="142" ht="18.7" customFormat="1" customHeight="1">
      <c r="A170" s="193"/>
      <c r="B170" s="194" t="s">
        <v>814</v>
      </c>
      <c r="C170" s="194" t="s">
        <v>4807</v>
      </c>
      <c r="D170" s="194" t="s">
        <v>5307</v>
      </c>
      <c r="E170" s="194" t="s">
        <v>818</v>
      </c>
      <c r="F170" s="193"/>
      <c r="G170" s="140"/>
    </row>
    <row r="171" spans="8:8" s="142" ht="22.5" customFormat="1">
      <c r="A171" s="193"/>
      <c r="B171" s="42"/>
      <c r="C171" s="42"/>
      <c r="D171" s="42"/>
      <c r="E171" s="42"/>
      <c r="F171" s="193"/>
      <c r="G171" s="140"/>
    </row>
    <row r="172" spans="8:8" s="142" ht="22.5" customFormat="1">
      <c r="A172" s="195"/>
      <c r="B172" s="196" t="s">
        <v>5308</v>
      </c>
      <c r="C172" s="196"/>
      <c r="D172" s="196" t="s">
        <v>5309</v>
      </c>
      <c r="E172" s="196"/>
      <c r="F172" s="195"/>
      <c r="G172" s="140"/>
    </row>
    <row r="173" spans="8:8" s="142" ht="18.3" customFormat="1" customHeight="1">
      <c r="A173" s="195"/>
      <c r="B173" s="196" t="s">
        <v>814</v>
      </c>
      <c r="C173" s="196" t="s">
        <v>4807</v>
      </c>
      <c r="D173" s="196" t="s">
        <v>5310</v>
      </c>
      <c r="E173" s="196" t="s">
        <v>818</v>
      </c>
      <c r="F173" s="195"/>
      <c r="G173" s="140"/>
    </row>
    <row r="174" spans="8:8" s="142" ht="22.5" customFormat="1">
      <c r="A174" s="195"/>
      <c r="B174" s="42"/>
      <c r="C174" s="42"/>
      <c r="D174" s="42"/>
      <c r="E174" s="42"/>
      <c r="F174" s="195"/>
      <c r="G174" s="140"/>
    </row>
    <row r="175" spans="8:8">
      <c r="A175" s="197"/>
      <c r="B175" s="198" t="s">
        <v>5311</v>
      </c>
      <c r="C175" s="198"/>
      <c r="D175" s="198"/>
      <c r="E175" s="198"/>
      <c r="F175" s="197"/>
    </row>
    <row r="176" spans="8:8">
      <c r="A176" s="197"/>
      <c r="B176" s="198"/>
      <c r="C176" s="198"/>
      <c r="D176" s="198"/>
      <c r="E176" s="198"/>
      <c r="F176" s="197"/>
    </row>
    <row r="177" spans="8:8" ht="48.0" customHeight="1">
      <c r="A177" s="197"/>
      <c r="B177" s="42" t="s">
        <v>5097</v>
      </c>
      <c r="C177" s="42" t="s">
        <v>5312</v>
      </c>
      <c r="D177" s="42"/>
      <c r="E177" s="42"/>
      <c r="F177" s="197"/>
    </row>
    <row r="178" spans="8:8" ht="48.0" customHeight="1">
      <c r="A178" s="197"/>
      <c r="B178" s="42" t="s">
        <v>5313</v>
      </c>
      <c r="C178" s="42" t="s">
        <v>5314</v>
      </c>
      <c r="D178" s="42"/>
      <c r="E178" s="42"/>
      <c r="F178" s="197"/>
    </row>
    <row r="179" spans="8:8" ht="48.0" customHeight="1">
      <c r="A179" s="197"/>
      <c r="B179" s="42" t="s">
        <v>5315</v>
      </c>
      <c r="C179" s="42" t="s">
        <v>5316</v>
      </c>
      <c r="D179" s="42"/>
      <c r="E179" s="42"/>
      <c r="F179" s="197"/>
    </row>
    <row r="180" spans="8:8" ht="48.0" customHeight="1">
      <c r="A180" s="197"/>
      <c r="B180" s="42" t="s">
        <v>5196</v>
      </c>
      <c r="C180" s="42" t="s">
        <v>5317</v>
      </c>
      <c r="D180" s="42"/>
      <c r="E180" s="42"/>
      <c r="F180" s="197"/>
    </row>
    <row r="181" spans="8:8" ht="48.0" customHeight="1">
      <c r="A181" s="197"/>
      <c r="B181" s="42" t="s">
        <v>5256</v>
      </c>
      <c r="C181" s="42" t="s">
        <v>5318</v>
      </c>
      <c r="D181" s="42"/>
      <c r="E181" s="42"/>
      <c r="F181" s="197"/>
    </row>
    <row r="182" spans="8:8" ht="48.0" customHeight="1">
      <c r="A182" s="197"/>
      <c r="B182" s="42" t="s">
        <v>5278</v>
      </c>
      <c r="C182" s="42" t="s">
        <v>5319</v>
      </c>
      <c r="D182" s="42"/>
      <c r="E182" s="42"/>
      <c r="F182" s="197"/>
    </row>
    <row r="183" spans="8:8" ht="48.0" customHeight="1">
      <c r="A183" s="197"/>
      <c r="B183" s="42" t="s">
        <v>5320</v>
      </c>
      <c r="C183" s="42" t="s">
        <v>5321</v>
      </c>
      <c r="D183" s="42"/>
      <c r="E183" s="42"/>
      <c r="F183" s="197"/>
    </row>
    <row r="184" spans="8:8" ht="48.0" customHeight="1">
      <c r="A184" s="197"/>
      <c r="B184" s="42" t="s">
        <v>5291</v>
      </c>
      <c r="C184" s="42" t="s">
        <v>5322</v>
      </c>
      <c r="D184" s="42"/>
      <c r="E184" s="42"/>
      <c r="F184" s="197"/>
    </row>
    <row r="185" spans="8:8" ht="48.0" customHeight="1">
      <c r="A185" s="197"/>
      <c r="B185" s="42" t="s">
        <v>5286</v>
      </c>
      <c r="C185" s="42" t="s">
        <v>5323</v>
      </c>
      <c r="D185" s="42"/>
      <c r="E185" s="42"/>
      <c r="F185" s="197"/>
    </row>
    <row r="186" spans="8:8" ht="48.0" customHeight="1">
      <c r="A186" s="197"/>
      <c r="B186" s="42" t="s">
        <v>5186</v>
      </c>
      <c r="C186" s="42" t="s">
        <v>5324</v>
      </c>
      <c r="D186" s="42"/>
      <c r="E186" s="42"/>
      <c r="F186" s="197"/>
    </row>
    <row r="187" spans="8:8" ht="48.0" customHeight="1">
      <c r="A187" s="197"/>
      <c r="B187" s="42" t="s">
        <v>5294</v>
      </c>
      <c r="C187" s="42" t="s">
        <v>5325</v>
      </c>
      <c r="D187" s="42"/>
      <c r="E187" s="42"/>
      <c r="F187" s="197"/>
    </row>
    <row r="188" spans="8:8" ht="48.0" customHeight="1">
      <c r="A188" s="197"/>
      <c r="B188" s="42" t="s">
        <v>5297</v>
      </c>
      <c r="C188" s="42" t="s">
        <v>5326</v>
      </c>
      <c r="D188" s="42"/>
      <c r="E188" s="42"/>
      <c r="F188" s="197"/>
    </row>
    <row r="189" spans="8:8" ht="48.0" customHeight="1">
      <c r="A189" s="197"/>
      <c r="B189" s="42" t="s">
        <v>5300</v>
      </c>
      <c r="C189" s="42" t="s">
        <v>5327</v>
      </c>
      <c r="D189" s="42"/>
      <c r="E189" s="42"/>
      <c r="F189" s="197"/>
    </row>
    <row r="190" spans="8:8" ht="48.0" customHeight="1">
      <c r="A190" s="197"/>
      <c r="B190" s="42" t="s">
        <v>5303</v>
      </c>
      <c r="C190" s="42" t="s">
        <v>5328</v>
      </c>
      <c r="D190" s="42"/>
      <c r="E190" s="42"/>
      <c r="F190" s="197"/>
    </row>
    <row r="191" spans="8:8" ht="48.0" customHeight="1">
      <c r="A191" s="197"/>
      <c r="B191" s="42" t="s">
        <v>5306</v>
      </c>
      <c r="C191" s="42" t="s">
        <v>5329</v>
      </c>
      <c r="D191" s="42"/>
      <c r="E191" s="42"/>
      <c r="F191" s="197"/>
    </row>
    <row r="192" spans="8:8" ht="48.0" customHeight="1">
      <c r="A192" s="197"/>
      <c r="B192" s="42" t="s">
        <v>5152</v>
      </c>
      <c r="C192" s="42" t="s">
        <v>5330</v>
      </c>
      <c r="D192" s="42"/>
      <c r="E192" s="42"/>
      <c r="F192" s="197"/>
    </row>
    <row r="193" spans="8:8" ht="48.0" customHeight="1">
      <c r="A193" s="197"/>
      <c r="B193" s="42" t="s">
        <v>5183</v>
      </c>
      <c r="C193" s="42" t="s">
        <v>5331</v>
      </c>
      <c r="D193" s="42"/>
      <c r="E193" s="42"/>
      <c r="F193" s="197"/>
    </row>
    <row r="194" spans="8:8" ht="48.0" customHeight="1">
      <c r="A194" s="197"/>
      <c r="B194" s="42" t="s">
        <v>5309</v>
      </c>
      <c r="C194" s="42" t="s">
        <v>5332</v>
      </c>
      <c r="D194" s="42"/>
      <c r="E194" s="42"/>
      <c r="F194" s="197"/>
    </row>
    <row r="195" spans="8:8" ht="48.0" customHeight="1">
      <c r="A195" s="197"/>
      <c r="B195" s="42" t="s">
        <v>5245</v>
      </c>
      <c r="C195" s="42" t="s">
        <v>5246</v>
      </c>
      <c r="D195" s="42"/>
      <c r="E195" s="42"/>
      <c r="F195" s="197"/>
    </row>
    <row r="196" spans="8:8">
      <c r="A196" s="197"/>
      <c r="B196" s="199"/>
      <c r="C196" s="199"/>
      <c r="D196" s="199"/>
      <c r="E196" s="199"/>
      <c r="F196" s="197"/>
    </row>
    <row r="198" spans="8:8">
      <c r="B198" s="141" t="s">
        <v>5333</v>
      </c>
    </row>
    <row r="199" spans="8:8">
      <c r="B199" s="141" t="s">
        <v>5334</v>
      </c>
    </row>
  </sheetData>
  <sheetProtection sheet="0" formatCells="0" insertHyperlinks="0" autoFilter="0"/>
  <mergeCells count="20">
    <mergeCell ref="B175:E176"/>
    <mergeCell ref="C194:E194"/>
    <mergeCell ref="C195:E195"/>
    <mergeCell ref="C178:E178"/>
    <mergeCell ref="C177:E177"/>
    <mergeCell ref="C192:E192"/>
    <mergeCell ref="C193:E193"/>
    <mergeCell ref="C180:E180"/>
    <mergeCell ref="C179:E179"/>
    <mergeCell ref="C190:E190"/>
    <mergeCell ref="C191:E191"/>
    <mergeCell ref="C182:E182"/>
    <mergeCell ref="C181:E181"/>
    <mergeCell ref="C189:E189"/>
    <mergeCell ref="C186:E186"/>
    <mergeCell ref="C184:E184"/>
    <mergeCell ref="C187:E187"/>
    <mergeCell ref="C183:E183"/>
    <mergeCell ref="C188:E188"/>
    <mergeCell ref="C185:E185"/>
  </mergeCells>
  <pageMargins left="0.75" right="0.75" top="1.0" bottom="1.0" header="0.5" footer="0.5"/>
  <drawing r:id="rId1"/>
</worksheet>
</file>

<file path=xl/worksheets/sheet3.xml><?xml version="1.0" encoding="utf-8"?>
<worksheet xmlns:r="http://schemas.openxmlformats.org/officeDocument/2006/relationships" xmlns="http://schemas.openxmlformats.org/spreadsheetml/2006/main">
  <dimension ref="A1:NF656"/>
  <sheetViews>
    <sheetView workbookViewId="0" zoomScale="41">
      <selection activeCell="W27" sqref="W27"/>
    </sheetView>
  </sheetViews>
  <sheetFormatPr defaultRowHeight="15.0" defaultColWidth="9"/>
  <cols>
    <col min="1" max="1" customWidth="0" width="9.0" style="200"/>
    <col min="2" max="2" customWidth="1" width="13.363281" style="200"/>
    <col min="3" max="3" customWidth="1" width="7.5390625" style="200"/>
    <col min="4" max="4" customWidth="1" width="7.6328125" style="200"/>
    <col min="5" max="5" customWidth="1" width="8.2734375" style="200"/>
    <col min="6" max="6" customWidth="1" width="12.449219" style="200"/>
    <col min="7" max="7" customWidth="1" width="15.0" style="200"/>
    <col min="8" max="8" customWidth="0" width="9.0" style="200"/>
    <col min="9" max="9" customWidth="1" width="10.625" style="200"/>
    <col min="10" max="10" customWidth="1" width="9.125" style="200"/>
    <col min="11" max="12" customWidth="0" width="9.0" style="200"/>
    <col min="13" max="16" customWidth="1" width="9.0078125" style="200"/>
    <col min="17" max="18" customWidth="0" width="9.0" style="200"/>
    <col min="19" max="19" customWidth="1" bestFit="1" width="11.6328125" style="200"/>
    <col min="20" max="20" customWidth="1" bestFit="1" width="11.984375" style="200"/>
    <col min="21" max="21" customWidth="1" bestFit="1" width="12.066406" style="200"/>
    <col min="22" max="30" customWidth="0" width="9.0" style="200"/>
    <col min="31" max="32" customWidth="0" width="9.375" style="200"/>
    <col min="33" max="34" customWidth="0" width="9.0" style="200"/>
    <col min="35" max="36" customWidth="0" width="10.625" style="200"/>
    <col min="37" max="37" customWidth="0" width="9.0" style="200"/>
    <col min="38" max="38" customWidth="0" width="10.25" style="200"/>
    <col min="39" max="39" customWidth="0" width="10.625" style="200"/>
    <col min="40" max="42" customWidth="0" width="9.0" style="200"/>
    <col min="43" max="52" customWidth="1" width="10.28125" style="200"/>
    <col min="53" max="16384" customWidth="0" width="9.0" style="200"/>
  </cols>
  <sheetData>
    <row r="1" spans="8:8">
      <c r="A1" s="201"/>
      <c r="B1" s="201"/>
      <c r="C1" s="201"/>
      <c r="D1" s="201"/>
      <c r="E1" s="201"/>
      <c r="F1" s="201"/>
      <c r="G1" s="201"/>
      <c r="H1" s="201"/>
      <c r="I1" s="201"/>
      <c r="J1" s="201"/>
      <c r="K1" s="201"/>
      <c r="L1" s="201"/>
      <c r="M1" s="201"/>
      <c r="N1" s="201"/>
      <c r="O1" s="201"/>
      <c r="P1" s="201"/>
      <c r="Q1" s="201"/>
      <c r="R1" s="201"/>
      <c r="S1" s="201"/>
      <c r="T1" s="201"/>
      <c r="U1" s="201"/>
      <c r="V1" s="201"/>
      <c r="W1" s="201"/>
      <c r="X1" s="201"/>
      <c r="Y1" s="201"/>
      <c r="Z1" s="201"/>
      <c r="AA1" s="201"/>
      <c r="AB1" s="201"/>
      <c r="AC1" s="201"/>
      <c r="AD1" s="201"/>
      <c r="AE1" s="201"/>
      <c r="AF1" s="201"/>
      <c r="AG1" s="201"/>
      <c r="AH1" s="201"/>
      <c r="AI1" s="201"/>
      <c r="AJ1" s="201"/>
      <c r="AK1" s="201"/>
      <c r="AL1" s="201"/>
      <c r="AM1" s="201"/>
      <c r="AN1" s="201"/>
      <c r="AO1" s="201"/>
      <c r="AP1" s="201"/>
    </row>
    <row r="2" spans="8:8" ht="26.45">
      <c r="A2" s="201"/>
      <c r="B2" s="202" t="s">
        <v>5335</v>
      </c>
      <c r="C2" s="203"/>
      <c r="D2" s="203"/>
      <c r="E2" s="202"/>
      <c r="F2" s="203"/>
      <c r="G2" s="203"/>
      <c r="H2" s="201"/>
      <c r="I2" s="201"/>
      <c r="J2" s="201"/>
      <c r="K2" s="201"/>
      <c r="L2" s="201"/>
      <c r="M2" s="201"/>
      <c r="R2" s="201"/>
      <c r="AA2" s="201"/>
      <c r="AB2" s="201"/>
      <c r="AC2" s="201"/>
      <c r="AD2" s="204" t="s">
        <v>5336</v>
      </c>
      <c r="AE2" s="204"/>
      <c r="AF2" s="204"/>
      <c r="AG2" s="204"/>
      <c r="AH2" s="204"/>
      <c r="AI2" s="204"/>
      <c r="AJ2" s="204"/>
      <c r="AK2" s="204"/>
      <c r="AL2" s="204"/>
      <c r="AM2" s="204">
        <v>1.15</v>
      </c>
      <c r="AN2" s="205"/>
      <c r="AO2" s="205"/>
      <c r="AP2" s="205"/>
      <c r="AQ2" s="205"/>
      <c r="AR2" s="205"/>
      <c r="AS2" s="205"/>
      <c r="AT2" s="205"/>
      <c r="AU2" s="205"/>
      <c r="AW2" s="206" t="s">
        <v>10171</v>
      </c>
      <c r="AX2" s="206"/>
      <c r="AY2" s="206"/>
      <c r="AZ2" s="206"/>
      <c r="BA2" s="206"/>
      <c r="BB2" s="206" t="s">
        <v>5338</v>
      </c>
      <c r="BC2" s="206"/>
      <c r="BD2" s="206"/>
      <c r="BE2" s="206"/>
      <c r="BF2" s="206"/>
      <c r="BG2" s="206"/>
      <c r="BH2" s="206"/>
      <c r="BI2" s="206"/>
      <c r="BJ2" s="206"/>
      <c r="BK2" s="206"/>
      <c r="BL2" s="206"/>
      <c r="BM2" s="206"/>
      <c r="BN2" s="206"/>
      <c r="BO2" s="206"/>
      <c r="BP2" s="206"/>
      <c r="BQ2" s="206"/>
      <c r="BR2" s="206"/>
      <c r="BS2" s="206"/>
      <c r="BT2" s="206"/>
      <c r="BU2" s="206"/>
      <c r="BV2" s="206"/>
      <c r="BW2" s="206"/>
    </row>
    <row r="3" spans="8:8" ht="24.5">
      <c r="A3" s="201"/>
      <c r="B3" s="207" t="s">
        <v>5339</v>
      </c>
      <c r="C3" s="207"/>
      <c r="D3" s="207"/>
      <c r="E3" s="208" t="s">
        <v>5340</v>
      </c>
      <c r="F3" s="208"/>
      <c r="G3" s="208"/>
      <c r="H3" s="201"/>
      <c r="I3" s="201"/>
      <c r="J3" s="201"/>
      <c r="K3" s="201"/>
      <c r="L3" s="201"/>
      <c r="M3" s="201"/>
      <c r="N3" s="209" t="s">
        <v>5343</v>
      </c>
      <c r="O3" s="209"/>
      <c r="P3" s="209"/>
      <c r="Q3" s="209"/>
      <c r="R3" s="209" t="s">
        <v>5344</v>
      </c>
      <c r="S3" s="209"/>
      <c r="T3" s="209"/>
      <c r="U3" s="209"/>
      <c r="AA3" s="201"/>
      <c r="AB3" s="201"/>
      <c r="AC3" s="201"/>
      <c r="AD3" s="210" t="s">
        <v>5345</v>
      </c>
      <c r="AE3" s="210"/>
      <c r="AF3" s="210"/>
      <c r="AG3" s="210"/>
      <c r="AH3" s="210"/>
      <c r="AI3" s="210"/>
      <c r="AJ3" s="210"/>
      <c r="AK3" s="210"/>
      <c r="AL3" s="210"/>
      <c r="AM3" s="210" t="s">
        <v>5346</v>
      </c>
      <c r="AN3" s="210"/>
      <c r="AO3" s="210"/>
      <c r="AP3" s="210"/>
      <c r="AQ3" s="210"/>
      <c r="AR3" s="210"/>
      <c r="AS3" s="210"/>
      <c r="AT3" s="210"/>
      <c r="AU3" s="210"/>
      <c r="AW3" s="211" t="s">
        <v>5347</v>
      </c>
      <c r="AX3" s="212"/>
      <c r="AY3" s="212"/>
      <c r="AZ3" s="212"/>
      <c r="BA3" s="212"/>
      <c r="BB3" s="212" t="s">
        <v>5348</v>
      </c>
      <c r="BC3" s="212"/>
      <c r="BD3" s="212"/>
      <c r="BE3" s="212"/>
      <c r="BF3" s="212"/>
      <c r="BG3" s="212"/>
      <c r="BH3" s="212"/>
      <c r="BI3" s="212"/>
      <c r="BJ3" s="212"/>
      <c r="BK3" s="212"/>
      <c r="BL3" s="212"/>
      <c r="BM3" s="212"/>
      <c r="BN3" s="212"/>
      <c r="BO3" s="212"/>
      <c r="BP3" s="212"/>
      <c r="BQ3" s="212"/>
      <c r="BR3" s="212"/>
      <c r="BS3" s="212"/>
      <c r="BT3" s="212"/>
      <c r="BU3" s="212"/>
      <c r="BV3" s="212"/>
      <c r="BW3" s="213"/>
    </row>
    <row r="4" spans="8:8" ht="31.8" customHeight="1">
      <c r="A4" s="201"/>
      <c r="B4" s="207"/>
      <c r="C4" s="207"/>
      <c r="D4" s="207"/>
      <c r="E4" s="208"/>
      <c r="F4" s="208"/>
      <c r="G4" s="208"/>
      <c r="H4" s="201"/>
      <c r="I4" s="201"/>
      <c r="J4" s="201"/>
      <c r="K4" s="201"/>
      <c r="L4" s="201"/>
      <c r="M4" s="201"/>
      <c r="N4" s="214" t="s">
        <v>2752</v>
      </c>
      <c r="O4" s="214"/>
      <c r="P4" s="214" t="s">
        <v>2753</v>
      </c>
      <c r="Q4" s="214"/>
      <c r="R4" s="214" t="s">
        <v>5349</v>
      </c>
      <c r="S4" s="214"/>
      <c r="T4" s="214" t="s">
        <v>5350</v>
      </c>
      <c r="U4" s="214"/>
      <c r="AA4" s="201"/>
      <c r="AB4" s="201"/>
      <c r="AC4" s="201"/>
      <c r="AD4" s="210" t="s">
        <v>5351</v>
      </c>
      <c r="AE4" s="210"/>
      <c r="AF4" s="210"/>
      <c r="AG4" s="210"/>
      <c r="AH4" s="210" t="s">
        <v>5352</v>
      </c>
      <c r="AI4" s="210"/>
      <c r="AJ4" s="210"/>
      <c r="AK4" s="210"/>
      <c r="AL4" s="210"/>
      <c r="AM4" s="210" t="s">
        <v>5353</v>
      </c>
      <c r="AN4" s="210"/>
      <c r="AO4" s="210"/>
      <c r="AP4" s="210"/>
      <c r="AQ4" s="210" t="s">
        <v>5354</v>
      </c>
      <c r="AR4" s="210"/>
      <c r="AS4" s="210"/>
      <c r="AT4" s="210"/>
      <c r="AU4" s="210"/>
      <c r="AW4" s="215" t="s">
        <v>5355</v>
      </c>
      <c r="AX4" s="216"/>
      <c r="AY4" s="216"/>
      <c r="AZ4" s="216"/>
      <c r="BA4" s="216"/>
      <c r="BB4" s="216" t="s">
        <v>5356</v>
      </c>
      <c r="BC4" s="216"/>
      <c r="BD4" s="216"/>
      <c r="BE4" s="216"/>
      <c r="BF4" s="216"/>
      <c r="BG4" s="216"/>
      <c r="BH4" s="216"/>
      <c r="BI4" s="216"/>
      <c r="BJ4" s="216"/>
      <c r="BK4" s="216"/>
      <c r="BL4" s="216"/>
      <c r="BM4" s="216"/>
      <c r="BN4" s="216"/>
      <c r="BO4" s="216"/>
      <c r="BP4" s="216"/>
      <c r="BQ4" s="216"/>
      <c r="BR4" s="216"/>
      <c r="BS4" s="216"/>
      <c r="BT4" s="216"/>
      <c r="BU4" s="216"/>
      <c r="BV4" s="216"/>
      <c r="BW4" s="217"/>
    </row>
    <row r="5" spans="8:8" ht="34.8" customHeight="1">
      <c r="A5" s="201"/>
      <c r="B5" s="207"/>
      <c r="C5" s="207"/>
      <c r="D5" s="207"/>
      <c r="E5" s="208"/>
      <c r="F5" s="208"/>
      <c r="G5" s="208"/>
      <c r="H5" s="201"/>
      <c r="I5" s="201"/>
      <c r="J5" s="201"/>
      <c r="K5" s="201"/>
      <c r="L5" s="201"/>
      <c r="M5" s="201"/>
      <c r="N5" s="214" t="s">
        <v>869</v>
      </c>
      <c r="O5" s="214"/>
      <c r="P5" s="214" t="s">
        <v>5357</v>
      </c>
      <c r="Q5" s="214"/>
      <c r="R5" s="214" t="s">
        <v>5358</v>
      </c>
      <c r="S5" s="214"/>
      <c r="T5" s="214" t="s">
        <v>5359</v>
      </c>
      <c r="U5" s="214"/>
      <c r="W5" s="218" t="s">
        <v>5360</v>
      </c>
      <c r="X5" s="218"/>
      <c r="Y5" s="218"/>
      <c r="Z5" s="218"/>
      <c r="AA5" s="218"/>
      <c r="AB5" s="218"/>
      <c r="AC5" s="201"/>
      <c r="AD5" s="210" t="s">
        <v>5361</v>
      </c>
      <c r="AE5" s="210"/>
      <c r="AF5" s="210"/>
      <c r="AG5" s="210"/>
      <c r="AH5" s="210" t="s">
        <v>5362</v>
      </c>
      <c r="AI5" s="210"/>
      <c r="AJ5" s="210"/>
      <c r="AK5" s="210"/>
      <c r="AL5" s="210"/>
      <c r="AM5" s="210" t="s">
        <v>5363</v>
      </c>
      <c r="AN5" s="210"/>
      <c r="AO5" s="210"/>
      <c r="AP5" s="210"/>
      <c r="AQ5" s="210" t="s">
        <v>5364</v>
      </c>
      <c r="AR5" s="210"/>
      <c r="AS5" s="210"/>
      <c r="AT5" s="210"/>
      <c r="AU5" s="210"/>
      <c r="AW5" s="215" t="s">
        <v>5365</v>
      </c>
      <c r="AX5" s="216"/>
      <c r="AY5" s="216"/>
      <c r="AZ5" s="216"/>
      <c r="BA5" s="216"/>
      <c r="BB5" s="216" t="s">
        <v>5366</v>
      </c>
      <c r="BC5" s="216"/>
      <c r="BD5" s="216"/>
      <c r="BE5" s="216"/>
      <c r="BF5" s="216"/>
      <c r="BG5" s="216"/>
      <c r="BH5" s="216"/>
      <c r="BI5" s="216"/>
      <c r="BJ5" s="216"/>
      <c r="BK5" s="216"/>
      <c r="BL5" s="216"/>
      <c r="BM5" s="216"/>
      <c r="BN5" s="216"/>
      <c r="BO5" s="216"/>
      <c r="BP5" s="216"/>
      <c r="BQ5" s="216"/>
      <c r="BR5" s="216"/>
      <c r="BS5" s="216"/>
      <c r="BT5" s="216"/>
      <c r="BU5" s="216"/>
      <c r="BV5" s="216"/>
      <c r="BW5" s="217"/>
    </row>
    <row r="6" spans="8:8" ht="31.45" customHeight="1">
      <c r="A6" s="201"/>
      <c r="B6" s="207"/>
      <c r="C6" s="207"/>
      <c r="D6" s="207"/>
      <c r="E6" s="208"/>
      <c r="F6" s="208"/>
      <c r="G6" s="208"/>
      <c r="H6" s="201"/>
      <c r="I6" s="201"/>
      <c r="J6" s="201"/>
      <c r="K6" s="201"/>
      <c r="L6" s="201"/>
      <c r="M6" s="201"/>
      <c r="N6" s="214" t="s">
        <v>123</v>
      </c>
      <c r="O6" s="214"/>
      <c r="P6" s="214" t="s">
        <v>5367</v>
      </c>
      <c r="Q6" s="214"/>
      <c r="R6" s="214" t="s">
        <v>5368</v>
      </c>
      <c r="S6" s="214"/>
      <c r="T6" s="214" t="s">
        <v>5369</v>
      </c>
      <c r="U6" s="214"/>
      <c r="W6" s="219" t="s">
        <v>5186</v>
      </c>
      <c r="X6" s="219"/>
      <c r="Y6" s="219"/>
      <c r="Z6" s="219" t="s">
        <v>2455</v>
      </c>
      <c r="AA6" s="219"/>
      <c r="AB6" s="219"/>
      <c r="AC6" s="201"/>
      <c r="AD6" s="210" t="s">
        <v>5370</v>
      </c>
      <c r="AE6" s="210"/>
      <c r="AF6" s="210"/>
      <c r="AG6" s="210"/>
      <c r="AH6" s="210" t="s">
        <v>5371</v>
      </c>
      <c r="AI6" s="210"/>
      <c r="AJ6" s="210"/>
      <c r="AK6" s="210"/>
      <c r="AL6" s="210"/>
      <c r="AM6" s="210" t="s">
        <v>5372</v>
      </c>
      <c r="AN6" s="210"/>
      <c r="AO6" s="210"/>
      <c r="AP6" s="210"/>
      <c r="AQ6" s="210" t="s">
        <v>5373</v>
      </c>
      <c r="AR6" s="210"/>
      <c r="AS6" s="210"/>
      <c r="AT6" s="210"/>
      <c r="AU6" s="210"/>
      <c r="AW6" s="215" t="s">
        <v>5374</v>
      </c>
      <c r="AX6" s="216"/>
      <c r="AY6" s="216"/>
      <c r="AZ6" s="216"/>
      <c r="BA6" s="216"/>
      <c r="BB6" s="216" t="s">
        <v>5375</v>
      </c>
      <c r="BC6" s="216"/>
      <c r="BD6" s="216"/>
      <c r="BE6" s="216"/>
      <c r="BF6" s="216"/>
      <c r="BG6" s="216"/>
      <c r="BH6" s="216"/>
      <c r="BI6" s="216"/>
      <c r="BJ6" s="216"/>
      <c r="BK6" s="216"/>
      <c r="BL6" s="216"/>
      <c r="BM6" s="216"/>
      <c r="BN6" s="216"/>
      <c r="BO6" s="216"/>
      <c r="BP6" s="216"/>
      <c r="BQ6" s="216"/>
      <c r="BR6" s="216"/>
      <c r="BS6" s="216"/>
      <c r="BT6" s="216"/>
      <c r="BU6" s="216"/>
      <c r="BV6" s="216"/>
      <c r="BW6" s="217"/>
    </row>
    <row r="7" spans="8:8" ht="28.5" customHeight="1">
      <c r="A7" s="201"/>
      <c r="B7" s="207"/>
      <c r="C7" s="207"/>
      <c r="D7" s="207"/>
      <c r="E7" s="208"/>
      <c r="F7" s="208"/>
      <c r="G7" s="208"/>
      <c r="H7" s="201"/>
      <c r="I7" s="201"/>
      <c r="J7" s="201"/>
      <c r="K7" s="201"/>
      <c r="L7" s="201"/>
      <c r="M7" s="201"/>
      <c r="N7" s="214" t="s">
        <v>2439</v>
      </c>
      <c r="O7" s="214"/>
      <c r="P7" s="214" t="s">
        <v>5376</v>
      </c>
      <c r="Q7" s="214"/>
      <c r="R7" s="214" t="s">
        <v>5377</v>
      </c>
      <c r="S7" s="214"/>
      <c r="T7" s="214" t="s">
        <v>5378</v>
      </c>
      <c r="U7" s="214"/>
      <c r="W7" s="219" t="s">
        <v>4910</v>
      </c>
      <c r="X7" s="219"/>
      <c r="Y7" s="219"/>
      <c r="Z7" s="219" t="s">
        <v>5379</v>
      </c>
      <c r="AA7" s="219"/>
      <c r="AB7" s="219"/>
      <c r="AC7" s="201"/>
      <c r="AD7" s="210" t="s">
        <v>5380</v>
      </c>
      <c r="AE7" s="210"/>
      <c r="AF7" s="210"/>
      <c r="AG7" s="210"/>
      <c r="AH7" s="210" t="s">
        <v>5381</v>
      </c>
      <c r="AI7" s="210"/>
      <c r="AJ7" s="210"/>
      <c r="AK7" s="210"/>
      <c r="AL7" s="210"/>
      <c r="AM7" s="210" t="s">
        <v>5382</v>
      </c>
      <c r="AN7" s="210"/>
      <c r="AO7" s="210"/>
      <c r="AP7" s="210"/>
      <c r="AQ7" s="210" t="s">
        <v>5383</v>
      </c>
      <c r="AR7" s="210"/>
      <c r="AS7" s="210"/>
      <c r="AT7" s="210"/>
      <c r="AU7" s="210"/>
      <c r="AW7" s="215" t="s">
        <v>5384</v>
      </c>
      <c r="AX7" s="216"/>
      <c r="AY7" s="216"/>
      <c r="AZ7" s="216"/>
      <c r="BA7" s="216"/>
      <c r="BB7" s="216" t="s">
        <v>4804</v>
      </c>
      <c r="BC7" s="216"/>
      <c r="BD7" s="216"/>
      <c r="BE7" s="216"/>
      <c r="BF7" s="216"/>
      <c r="BG7" s="216"/>
      <c r="BH7" s="216"/>
      <c r="BI7" s="216"/>
      <c r="BJ7" s="216"/>
      <c r="BK7" s="216"/>
      <c r="BL7" s="216"/>
      <c r="BM7" s="216"/>
      <c r="BN7" s="216"/>
      <c r="BO7" s="216"/>
      <c r="BP7" s="216"/>
      <c r="BQ7" s="216"/>
      <c r="BR7" s="216"/>
      <c r="BS7" s="216"/>
      <c r="BT7" s="216"/>
      <c r="BU7" s="216"/>
      <c r="BV7" s="216"/>
      <c r="BW7" s="217"/>
    </row>
    <row r="8" spans="8:8" ht="29.25">
      <c r="A8" s="201"/>
      <c r="B8" s="207"/>
      <c r="C8" s="207"/>
      <c r="D8" s="207"/>
      <c r="E8" s="208"/>
      <c r="F8" s="208"/>
      <c r="G8" s="208"/>
      <c r="H8" s="201"/>
      <c r="I8" s="220" t="s">
        <v>5385</v>
      </c>
      <c r="J8" s="220"/>
      <c r="K8" s="220"/>
      <c r="L8" s="201"/>
      <c r="M8" s="201"/>
      <c r="N8" s="214" t="s">
        <v>2802</v>
      </c>
      <c r="O8" s="214"/>
      <c r="P8" s="214" t="s">
        <v>5054</v>
      </c>
      <c r="Q8" s="214"/>
      <c r="R8" s="214" t="s">
        <v>5386</v>
      </c>
      <c r="S8" s="214"/>
      <c r="T8" s="214" t="s">
        <v>5387</v>
      </c>
      <c r="U8" s="214"/>
      <c r="W8" s="219" t="s">
        <v>5388</v>
      </c>
      <c r="X8" s="219"/>
      <c r="Y8" s="219"/>
      <c r="Z8" s="219" t="s">
        <v>5389</v>
      </c>
      <c r="AA8" s="219"/>
      <c r="AB8" s="219"/>
      <c r="AC8" s="201"/>
      <c r="AD8" s="210" t="s">
        <v>5390</v>
      </c>
      <c r="AE8" s="210"/>
      <c r="AF8" s="210"/>
      <c r="AG8" s="210"/>
      <c r="AH8" s="210" t="s">
        <v>5391</v>
      </c>
      <c r="AI8" s="210"/>
      <c r="AJ8" s="210"/>
      <c r="AK8" s="210"/>
      <c r="AL8" s="210"/>
      <c r="AM8" s="210" t="s">
        <v>5392</v>
      </c>
      <c r="AN8" s="210"/>
      <c r="AO8" s="210"/>
      <c r="AP8" s="210"/>
      <c r="AQ8" s="210" t="s">
        <v>5393</v>
      </c>
      <c r="AR8" s="210"/>
      <c r="AS8" s="210"/>
      <c r="AT8" s="210"/>
      <c r="AU8" s="210"/>
      <c r="AW8" s="215" t="s">
        <v>5394</v>
      </c>
      <c r="AX8" s="216"/>
      <c r="AY8" s="216"/>
      <c r="AZ8" s="216"/>
      <c r="BA8" s="216"/>
      <c r="BB8" s="216" t="s">
        <v>4960</v>
      </c>
      <c r="BC8" s="216"/>
      <c r="BD8" s="216"/>
      <c r="BE8" s="216"/>
      <c r="BF8" s="216"/>
      <c r="BG8" s="216"/>
      <c r="BH8" s="216"/>
      <c r="BI8" s="216"/>
      <c r="BJ8" s="216"/>
      <c r="BK8" s="216"/>
      <c r="BL8" s="216"/>
      <c r="BM8" s="216"/>
      <c r="BN8" s="216"/>
      <c r="BO8" s="216"/>
      <c r="BP8" s="216"/>
      <c r="BQ8" s="216"/>
      <c r="BR8" s="216"/>
      <c r="BS8" s="216"/>
      <c r="BT8" s="216"/>
      <c r="BU8" s="216"/>
      <c r="BV8" s="216"/>
      <c r="BW8" s="217"/>
    </row>
    <row r="9" spans="8:8" ht="27.35" customHeight="1">
      <c r="A9" s="201"/>
      <c r="B9" s="207"/>
      <c r="C9" s="207"/>
      <c r="D9" s="207"/>
      <c r="E9" s="208"/>
      <c r="F9" s="208"/>
      <c r="G9" s="208"/>
      <c r="H9" s="201"/>
      <c r="I9" s="221" t="s">
        <v>5395</v>
      </c>
      <c r="J9" s="221"/>
      <c r="K9" s="221" t="s">
        <v>5396</v>
      </c>
      <c r="L9" s="201"/>
      <c r="M9" s="201"/>
      <c r="N9" s="214" t="s">
        <v>2665</v>
      </c>
      <c r="O9" s="214"/>
      <c r="P9" s="214" t="s">
        <v>5397</v>
      </c>
      <c r="Q9" s="214"/>
      <c r="R9" s="201"/>
      <c r="W9" s="219" t="s">
        <v>5398</v>
      </c>
      <c r="X9" s="219"/>
      <c r="Y9" s="219"/>
      <c r="Z9" s="219" t="s">
        <v>5399</v>
      </c>
      <c r="AA9" s="219"/>
      <c r="AB9" s="219"/>
      <c r="AC9" s="201"/>
      <c r="AD9" s="210" t="s">
        <v>5400</v>
      </c>
      <c r="AE9" s="210"/>
      <c r="AF9" s="210"/>
      <c r="AG9" s="210"/>
      <c r="AH9" s="210" t="s">
        <v>5401</v>
      </c>
      <c r="AI9" s="210"/>
      <c r="AJ9" s="210"/>
      <c r="AK9" s="210"/>
      <c r="AL9" s="210"/>
      <c r="AM9" s="210" t="s">
        <v>5402</v>
      </c>
      <c r="AN9" s="210"/>
      <c r="AO9" s="210"/>
      <c r="AP9" s="210"/>
      <c r="AQ9" s="210" t="s">
        <v>5403</v>
      </c>
      <c r="AR9" s="210"/>
      <c r="AS9" s="210"/>
      <c r="AT9" s="210"/>
      <c r="AU9" s="210"/>
      <c r="AW9" s="215" t="s">
        <v>5404</v>
      </c>
      <c r="AX9" s="216"/>
      <c r="AY9" s="216"/>
      <c r="AZ9" s="216"/>
      <c r="BA9" s="216"/>
      <c r="BB9" s="216" t="s">
        <v>5405</v>
      </c>
      <c r="BC9" s="216"/>
      <c r="BD9" s="216"/>
      <c r="BE9" s="216"/>
      <c r="BF9" s="216"/>
      <c r="BG9" s="216"/>
      <c r="BH9" s="216"/>
      <c r="BI9" s="216"/>
      <c r="BJ9" s="216"/>
      <c r="BK9" s="216"/>
      <c r="BL9" s="216"/>
      <c r="BM9" s="216"/>
      <c r="BN9" s="216"/>
      <c r="BO9" s="216"/>
      <c r="BP9" s="216"/>
      <c r="BQ9" s="216"/>
      <c r="BR9" s="216"/>
      <c r="BS9" s="216"/>
      <c r="BT9" s="216"/>
      <c r="BU9" s="216"/>
      <c r="BV9" s="216"/>
      <c r="BW9" s="217"/>
    </row>
    <row r="10" spans="8:8" ht="33.65" customHeight="1">
      <c r="A10" s="201"/>
      <c r="B10" s="207"/>
      <c r="C10" s="207"/>
      <c r="D10" s="207"/>
      <c r="E10" s="208"/>
      <c r="F10" s="208"/>
      <c r="G10" s="208"/>
      <c r="H10" s="201"/>
      <c r="I10" s="221" t="s">
        <v>5406</v>
      </c>
      <c r="J10" s="221"/>
      <c r="K10" s="221" t="s">
        <v>5407</v>
      </c>
      <c r="L10" s="201"/>
      <c r="M10" s="201"/>
      <c r="N10" s="214" t="s">
        <v>851</v>
      </c>
      <c r="O10" s="214"/>
      <c r="P10" s="214" t="s">
        <v>5408</v>
      </c>
      <c r="Q10" s="214"/>
      <c r="R10" s="201"/>
      <c r="S10" s="201"/>
      <c r="T10" s="201"/>
      <c r="U10" s="201"/>
      <c r="V10" s="201"/>
      <c r="W10" s="219" t="s">
        <v>5409</v>
      </c>
      <c r="X10" s="219"/>
      <c r="Y10" s="219"/>
      <c r="Z10" s="219" t="s">
        <v>5410</v>
      </c>
      <c r="AA10" s="219"/>
      <c r="AB10" s="219"/>
      <c r="AC10" s="201"/>
      <c r="AD10" s="210" t="s">
        <v>5411</v>
      </c>
      <c r="AE10" s="210"/>
      <c r="AF10" s="210"/>
      <c r="AG10" s="210"/>
      <c r="AH10" s="210" t="s">
        <v>5412</v>
      </c>
      <c r="AI10" s="210"/>
      <c r="AJ10" s="210"/>
      <c r="AK10" s="210"/>
      <c r="AL10" s="210"/>
      <c r="AM10" s="210" t="s">
        <v>5413</v>
      </c>
      <c r="AN10" s="210"/>
      <c r="AO10" s="210"/>
      <c r="AP10" s="210"/>
      <c r="AQ10" s="210" t="s">
        <v>5414</v>
      </c>
      <c r="AR10" s="210"/>
      <c r="AS10" s="210"/>
      <c r="AT10" s="210"/>
      <c r="AU10" s="210"/>
      <c r="AW10" s="215" t="s">
        <v>5415</v>
      </c>
      <c r="AX10" s="216"/>
      <c r="AY10" s="216"/>
      <c r="AZ10" s="216"/>
      <c r="BA10" s="216"/>
      <c r="BB10" s="216" t="s">
        <v>5416</v>
      </c>
      <c r="BC10" s="216"/>
      <c r="BD10" s="216"/>
      <c r="BE10" s="216"/>
      <c r="BF10" s="216"/>
      <c r="BG10" s="216"/>
      <c r="BH10" s="216"/>
      <c r="BI10" s="216"/>
      <c r="BJ10" s="216"/>
      <c r="BK10" s="216"/>
      <c r="BL10" s="216"/>
      <c r="BM10" s="216"/>
      <c r="BN10" s="216"/>
      <c r="BO10" s="216"/>
      <c r="BP10" s="216"/>
      <c r="BQ10" s="216"/>
      <c r="BR10" s="216"/>
      <c r="BS10" s="216"/>
      <c r="BT10" s="216"/>
      <c r="BU10" s="216"/>
      <c r="BV10" s="216"/>
      <c r="BW10" s="217"/>
    </row>
    <row r="11" spans="8:8" ht="18.0">
      <c r="A11" s="201"/>
      <c r="H11" s="201"/>
      <c r="I11" s="221" t="s">
        <v>5417</v>
      </c>
      <c r="J11" s="221"/>
      <c r="K11" s="221" t="s">
        <v>5418</v>
      </c>
      <c r="L11" s="201"/>
      <c r="M11" s="201"/>
      <c r="N11" s="201"/>
      <c r="R11" s="201"/>
      <c r="S11" s="201"/>
      <c r="T11" s="201"/>
      <c r="U11" s="201"/>
      <c r="V11" s="201"/>
      <c r="W11" s="219" t="s">
        <v>5419</v>
      </c>
      <c r="X11" s="219"/>
      <c r="Y11" s="219"/>
      <c r="Z11" s="219" t="s">
        <v>1091</v>
      </c>
      <c r="AA11" s="219"/>
      <c r="AB11" s="219"/>
      <c r="AC11" s="201"/>
      <c r="AD11" s="210" t="s">
        <v>5420</v>
      </c>
      <c r="AE11" s="210"/>
      <c r="AF11" s="210"/>
      <c r="AG11" s="210"/>
      <c r="AH11" s="210" t="s">
        <v>5421</v>
      </c>
      <c r="AI11" s="210"/>
      <c r="AJ11" s="210"/>
      <c r="AK11" s="210"/>
      <c r="AL11" s="210"/>
      <c r="AM11" s="210" t="s">
        <v>5422</v>
      </c>
      <c r="AN11" s="210"/>
      <c r="AO11" s="210"/>
      <c r="AP11" s="210"/>
      <c r="AQ11" s="210" t="s">
        <v>5423</v>
      </c>
      <c r="AR11" s="210"/>
      <c r="AS11" s="210"/>
      <c r="AT11" s="210"/>
      <c r="AU11" s="210"/>
      <c r="AW11" s="215" t="s">
        <v>5424</v>
      </c>
      <c r="AX11" s="216"/>
      <c r="AY11" s="216"/>
      <c r="AZ11" s="216"/>
      <c r="BA11" s="216"/>
      <c r="BB11" s="216" t="s">
        <v>5425</v>
      </c>
      <c r="BC11" s="216"/>
      <c r="BD11" s="216"/>
      <c r="BE11" s="216"/>
      <c r="BF11" s="216"/>
      <c r="BG11" s="216"/>
      <c r="BH11" s="216"/>
      <c r="BI11" s="216"/>
      <c r="BJ11" s="216"/>
      <c r="BK11" s="216"/>
      <c r="BL11" s="216"/>
      <c r="BM11" s="216"/>
      <c r="BN11" s="216"/>
      <c r="BO11" s="216"/>
      <c r="BP11" s="216"/>
      <c r="BQ11" s="216"/>
      <c r="BR11" s="216"/>
      <c r="BS11" s="216"/>
      <c r="BT11" s="216"/>
      <c r="BU11" s="216"/>
      <c r="BV11" s="216"/>
      <c r="BW11" s="217"/>
    </row>
    <row r="12" spans="8:8" ht="29.25">
      <c r="A12" s="201"/>
      <c r="B12" s="222" t="s">
        <v>5426</v>
      </c>
      <c r="C12" s="223"/>
      <c r="D12" s="223"/>
      <c r="E12" s="223"/>
      <c r="F12" s="223"/>
      <c r="G12" s="223"/>
      <c r="H12" s="201"/>
      <c r="I12" s="221" t="s">
        <v>5427</v>
      </c>
      <c r="J12" s="221"/>
      <c r="K12" s="221" t="s">
        <v>5428</v>
      </c>
      <c r="M12" s="224" t="s">
        <v>5429</v>
      </c>
      <c r="N12" s="225"/>
      <c r="O12" s="225"/>
      <c r="P12" s="225"/>
      <c r="Q12" s="225"/>
      <c r="R12" s="225"/>
      <c r="S12" s="225"/>
      <c r="T12" s="226"/>
      <c r="W12" s="219" t="s">
        <v>4785</v>
      </c>
      <c r="X12" s="219"/>
      <c r="Y12" s="219"/>
      <c r="Z12" s="219" t="s">
        <v>4786</v>
      </c>
      <c r="AA12" s="219"/>
      <c r="AB12" s="219"/>
      <c r="AC12" s="201"/>
      <c r="AD12" s="210" t="s">
        <v>5430</v>
      </c>
      <c r="AE12" s="210"/>
      <c r="AF12" s="210"/>
      <c r="AG12" s="210"/>
      <c r="AH12" s="210" t="s">
        <v>5431</v>
      </c>
      <c r="AI12" s="210"/>
      <c r="AJ12" s="210"/>
      <c r="AK12" s="210"/>
      <c r="AL12" s="210"/>
      <c r="AM12" s="210" t="s">
        <v>5432</v>
      </c>
      <c r="AN12" s="210"/>
      <c r="AO12" s="210"/>
      <c r="AP12" s="210"/>
      <c r="AQ12" s="210" t="s">
        <v>5433</v>
      </c>
      <c r="AR12" s="210"/>
      <c r="AS12" s="210"/>
      <c r="AT12" s="210"/>
      <c r="AU12" s="210"/>
      <c r="AW12" s="215" t="s">
        <v>5434</v>
      </c>
      <c r="AX12" s="216"/>
      <c r="AY12" s="216"/>
      <c r="AZ12" s="216"/>
      <c r="BA12" s="216"/>
      <c r="BB12" s="216" t="s">
        <v>5435</v>
      </c>
      <c r="BC12" s="216"/>
      <c r="BD12" s="216"/>
      <c r="BE12" s="216"/>
      <c r="BF12" s="216"/>
      <c r="BG12" s="216"/>
      <c r="BH12" s="216"/>
      <c r="BI12" s="216"/>
      <c r="BJ12" s="216"/>
      <c r="BK12" s="216"/>
      <c r="BL12" s="216"/>
      <c r="BM12" s="216"/>
      <c r="BN12" s="216"/>
      <c r="BO12" s="216"/>
      <c r="BP12" s="216"/>
      <c r="BQ12" s="216"/>
      <c r="BR12" s="216"/>
      <c r="BS12" s="216"/>
      <c r="BT12" s="216"/>
      <c r="BU12" s="216"/>
      <c r="BV12" s="216"/>
      <c r="BW12" s="217"/>
    </row>
    <row r="13" spans="8:8" ht="18.0">
      <c r="A13" s="201"/>
      <c r="B13" s="227" t="s">
        <v>5436</v>
      </c>
      <c r="C13" s="227"/>
      <c r="D13" s="227"/>
      <c r="E13" s="228">
        <v>0.4</v>
      </c>
      <c r="F13" s="227"/>
      <c r="G13" s="227"/>
      <c r="H13" s="201"/>
      <c r="I13" s="221" t="s">
        <v>5437</v>
      </c>
      <c r="J13" s="221"/>
      <c r="K13" s="221" t="s">
        <v>5438</v>
      </c>
      <c r="M13" s="229" t="s">
        <v>5439</v>
      </c>
      <c r="N13" s="229"/>
      <c r="O13" s="229"/>
      <c r="P13" s="229"/>
      <c r="Q13" s="229" t="s">
        <v>5440</v>
      </c>
      <c r="R13" s="229"/>
      <c r="S13" s="229"/>
      <c r="T13" s="229"/>
      <c r="W13" s="219" t="s">
        <v>4789</v>
      </c>
      <c r="X13" s="219"/>
      <c r="Y13" s="219"/>
      <c r="Z13" s="219" t="s">
        <v>4790</v>
      </c>
      <c r="AA13" s="219"/>
      <c r="AB13" s="219"/>
      <c r="AC13" s="201"/>
      <c r="AD13" s="210" t="s">
        <v>5441</v>
      </c>
      <c r="AE13" s="210"/>
      <c r="AF13" s="210"/>
      <c r="AG13" s="210"/>
      <c r="AH13" s="210" t="s">
        <v>5442</v>
      </c>
      <c r="AI13" s="210"/>
      <c r="AJ13" s="210"/>
      <c r="AK13" s="210"/>
      <c r="AL13" s="210"/>
      <c r="AM13" s="210" t="s">
        <v>5443</v>
      </c>
      <c r="AN13" s="210"/>
      <c r="AO13" s="210"/>
      <c r="AP13" s="210"/>
      <c r="AQ13" s="210" t="s">
        <v>5444</v>
      </c>
      <c r="AR13" s="210"/>
      <c r="AS13" s="210"/>
      <c r="AT13" s="210"/>
      <c r="AU13" s="210"/>
      <c r="AW13" s="215" t="s">
        <v>5445</v>
      </c>
      <c r="AX13" s="216"/>
      <c r="AY13" s="216"/>
      <c r="AZ13" s="216"/>
      <c r="BA13" s="216"/>
      <c r="BB13" s="216" t="s">
        <v>5446</v>
      </c>
      <c r="BC13" s="216"/>
      <c r="BD13" s="216"/>
      <c r="BE13" s="216"/>
      <c r="BF13" s="216"/>
      <c r="BG13" s="216"/>
      <c r="BH13" s="216"/>
      <c r="BI13" s="216"/>
      <c r="BJ13" s="216"/>
      <c r="BK13" s="216"/>
      <c r="BL13" s="216"/>
      <c r="BM13" s="216"/>
      <c r="BN13" s="216"/>
      <c r="BO13" s="216"/>
      <c r="BP13" s="216"/>
      <c r="BQ13" s="216"/>
      <c r="BR13" s="216"/>
      <c r="BS13" s="216"/>
      <c r="BT13" s="216"/>
      <c r="BU13" s="216"/>
      <c r="BV13" s="216"/>
      <c r="BW13" s="217"/>
    </row>
    <row r="14" spans="8:8" ht="17.1" customHeight="1">
      <c r="A14" s="201"/>
      <c r="B14" s="227" t="s">
        <v>5447</v>
      </c>
      <c r="C14" s="227"/>
      <c r="D14" s="227"/>
      <c r="E14" s="228">
        <v>0.7</v>
      </c>
      <c r="F14" s="227"/>
      <c r="G14" s="227"/>
      <c r="H14" s="201"/>
      <c r="I14" s="221" t="s">
        <v>3012</v>
      </c>
      <c r="J14" s="221"/>
      <c r="K14" s="221" t="s">
        <v>5448</v>
      </c>
      <c r="M14" s="229" t="s">
        <v>5449</v>
      </c>
      <c r="N14" s="229"/>
      <c r="O14" s="229"/>
      <c r="P14" s="229"/>
      <c r="Q14" s="229" t="s">
        <v>5450</v>
      </c>
      <c r="R14" s="229"/>
      <c r="S14" s="229"/>
      <c r="T14" s="229"/>
      <c r="W14" s="219" t="s">
        <v>5451</v>
      </c>
      <c r="X14" s="219"/>
      <c r="Y14" s="219"/>
      <c r="Z14" s="219" t="s">
        <v>10223</v>
      </c>
      <c r="AA14" s="219"/>
      <c r="AB14" s="219"/>
      <c r="AC14" s="201"/>
      <c r="AD14" s="210" t="s">
        <v>5453</v>
      </c>
      <c r="AE14" s="210"/>
      <c r="AF14" s="210"/>
      <c r="AG14" s="210"/>
      <c r="AH14" s="210" t="s">
        <v>5454</v>
      </c>
      <c r="AI14" s="210"/>
      <c r="AJ14" s="210"/>
      <c r="AK14" s="210"/>
      <c r="AL14" s="210"/>
      <c r="AM14" s="210" t="s">
        <v>5455</v>
      </c>
      <c r="AN14" s="210"/>
      <c r="AO14" s="210"/>
      <c r="AP14" s="210"/>
      <c r="AQ14" s="210" t="s">
        <v>5456</v>
      </c>
      <c r="AR14" s="210"/>
      <c r="AS14" s="210"/>
      <c r="AT14" s="210"/>
      <c r="AU14" s="210"/>
      <c r="AW14" s="215" t="s">
        <v>5457</v>
      </c>
      <c r="AX14" s="216"/>
      <c r="AY14" s="216"/>
      <c r="AZ14" s="216"/>
      <c r="BA14" s="216"/>
      <c r="BB14" s="216" t="s">
        <v>5458</v>
      </c>
      <c r="BC14" s="216"/>
      <c r="BD14" s="216"/>
      <c r="BE14" s="216"/>
      <c r="BF14" s="216"/>
      <c r="BG14" s="216"/>
      <c r="BH14" s="216"/>
      <c r="BI14" s="216"/>
      <c r="BJ14" s="216"/>
      <c r="BK14" s="216"/>
      <c r="BL14" s="216"/>
      <c r="BM14" s="216"/>
      <c r="BN14" s="216"/>
      <c r="BO14" s="216"/>
      <c r="BP14" s="216"/>
      <c r="BQ14" s="216"/>
      <c r="BR14" s="216"/>
      <c r="BS14" s="216"/>
      <c r="BT14" s="216"/>
      <c r="BU14" s="216"/>
      <c r="BV14" s="216"/>
      <c r="BW14" s="217"/>
    </row>
    <row r="15" spans="8:8" ht="18.0">
      <c r="A15" s="201"/>
      <c r="B15" s="227" t="s">
        <v>5459</v>
      </c>
      <c r="C15" s="227"/>
      <c r="D15" s="227"/>
      <c r="E15" s="228">
        <v>1.0</v>
      </c>
      <c r="F15" s="227"/>
      <c r="G15" s="227"/>
      <c r="H15" s="201"/>
      <c r="I15" s="221" t="s">
        <v>5460</v>
      </c>
      <c r="J15" s="221"/>
      <c r="K15" s="221" t="s">
        <v>5461</v>
      </c>
      <c r="M15" s="229" t="s">
        <v>5462</v>
      </c>
      <c r="N15" s="229"/>
      <c r="O15" s="229"/>
      <c r="P15" s="229"/>
      <c r="Q15" s="229" t="s">
        <v>5463</v>
      </c>
      <c r="R15" s="229"/>
      <c r="S15" s="229"/>
      <c r="T15" s="229"/>
      <c r="W15" s="219" t="s">
        <v>5464</v>
      </c>
      <c r="X15" s="219"/>
      <c r="Y15" s="219"/>
      <c r="Z15" s="219" t="s">
        <v>5465</v>
      </c>
      <c r="AA15" s="219"/>
      <c r="AB15" s="219"/>
      <c r="AC15" s="201"/>
      <c r="AD15" s="210" t="s">
        <v>5466</v>
      </c>
      <c r="AE15" s="210"/>
      <c r="AF15" s="210"/>
      <c r="AG15" s="210"/>
      <c r="AH15" s="210" t="s">
        <v>5467</v>
      </c>
      <c r="AI15" s="210"/>
      <c r="AJ15" s="210"/>
      <c r="AK15" s="210"/>
      <c r="AL15" s="210"/>
      <c r="AM15" s="210" t="s">
        <v>5468</v>
      </c>
      <c r="AN15" s="210"/>
      <c r="AO15" s="210"/>
      <c r="AP15" s="210"/>
      <c r="AQ15" s="210" t="s">
        <v>5469</v>
      </c>
      <c r="AR15" s="210"/>
      <c r="AS15" s="210"/>
      <c r="AT15" s="210"/>
      <c r="AU15" s="210"/>
      <c r="AW15" s="215" t="s">
        <v>5470</v>
      </c>
      <c r="AX15" s="216"/>
      <c r="AY15" s="216"/>
      <c r="AZ15" s="216"/>
      <c r="BA15" s="216"/>
      <c r="BB15" s="216" t="s">
        <v>5471</v>
      </c>
      <c r="BC15" s="216"/>
      <c r="BD15" s="216"/>
      <c r="BE15" s="216"/>
      <c r="BF15" s="216"/>
      <c r="BG15" s="216"/>
      <c r="BH15" s="216"/>
      <c r="BI15" s="216"/>
      <c r="BJ15" s="216"/>
      <c r="BK15" s="216"/>
      <c r="BL15" s="216"/>
      <c r="BM15" s="216"/>
      <c r="BN15" s="216"/>
      <c r="BO15" s="216"/>
      <c r="BP15" s="216"/>
      <c r="BQ15" s="216"/>
      <c r="BR15" s="216"/>
      <c r="BS15" s="216"/>
      <c r="BT15" s="216"/>
      <c r="BU15" s="216"/>
      <c r="BV15" s="216"/>
      <c r="BW15" s="217"/>
    </row>
    <row r="16" spans="8:8" ht="18.0">
      <c r="A16" s="201"/>
      <c r="B16" s="227" t="s">
        <v>5472</v>
      </c>
      <c r="C16" s="227"/>
      <c r="D16" s="227"/>
      <c r="E16" s="228">
        <v>1.4</v>
      </c>
      <c r="F16" s="227"/>
      <c r="G16" s="227"/>
      <c r="H16" s="201"/>
      <c r="I16" s="221" t="s">
        <v>5473</v>
      </c>
      <c r="J16" s="221"/>
      <c r="K16" s="221" t="s">
        <v>5474</v>
      </c>
      <c r="M16" s="229" t="s">
        <v>5475</v>
      </c>
      <c r="N16" s="229"/>
      <c r="O16" s="229"/>
      <c r="P16" s="229"/>
      <c r="Q16" s="229" t="s">
        <v>5476</v>
      </c>
      <c r="R16" s="229"/>
      <c r="S16" s="229"/>
      <c r="T16" s="229"/>
      <c r="W16" s="219" t="s">
        <v>5477</v>
      </c>
      <c r="X16" s="219"/>
      <c r="Y16" s="219"/>
      <c r="Z16" s="219" t="s">
        <v>5478</v>
      </c>
      <c r="AA16" s="219"/>
      <c r="AB16" s="219"/>
      <c r="AC16" s="201"/>
      <c r="AD16" s="210" t="s">
        <v>5479</v>
      </c>
      <c r="AE16" s="210"/>
      <c r="AF16" s="210"/>
      <c r="AG16" s="210"/>
      <c r="AH16" s="210" t="s">
        <v>5480</v>
      </c>
      <c r="AI16" s="210"/>
      <c r="AJ16" s="210"/>
      <c r="AK16" s="210"/>
      <c r="AL16" s="210"/>
      <c r="AM16" s="210" t="s">
        <v>5481</v>
      </c>
      <c r="AN16" s="210"/>
      <c r="AO16" s="210"/>
      <c r="AP16" s="210"/>
      <c r="AQ16" s="210" t="s">
        <v>5482</v>
      </c>
      <c r="AR16" s="210"/>
      <c r="AS16" s="210"/>
      <c r="AT16" s="210"/>
      <c r="AU16" s="210"/>
      <c r="AW16" s="215" t="s">
        <v>5483</v>
      </c>
      <c r="AX16" s="216"/>
      <c r="AY16" s="216"/>
      <c r="AZ16" s="216"/>
      <c r="BA16" s="216"/>
      <c r="BB16" s="216" t="s">
        <v>5484</v>
      </c>
      <c r="BC16" s="216"/>
      <c r="BD16" s="216"/>
      <c r="BE16" s="216"/>
      <c r="BF16" s="216"/>
      <c r="BG16" s="216"/>
      <c r="BH16" s="216"/>
      <c r="BI16" s="216"/>
      <c r="BJ16" s="216"/>
      <c r="BK16" s="216"/>
      <c r="BL16" s="216"/>
      <c r="BM16" s="216"/>
      <c r="BN16" s="216"/>
      <c r="BO16" s="216"/>
      <c r="BP16" s="216"/>
      <c r="BQ16" s="216"/>
      <c r="BR16" s="216"/>
      <c r="BS16" s="216"/>
      <c r="BT16" s="216"/>
      <c r="BU16" s="216"/>
      <c r="BV16" s="216"/>
      <c r="BW16" s="217"/>
    </row>
    <row r="17" spans="8:8" ht="17.1" customHeight="1">
      <c r="A17" s="201"/>
      <c r="B17" s="227" t="s">
        <v>5485</v>
      </c>
      <c r="C17" s="227"/>
      <c r="D17" s="227"/>
      <c r="E17" s="228">
        <v>1.8</v>
      </c>
      <c r="F17" s="227"/>
      <c r="G17" s="227"/>
      <c r="H17" s="201"/>
      <c r="I17" s="221" t="s">
        <v>5486</v>
      </c>
      <c r="J17" s="221"/>
      <c r="K17" s="221" t="s">
        <v>5487</v>
      </c>
      <c r="M17" s="229" t="s">
        <v>5488</v>
      </c>
      <c r="N17" s="229"/>
      <c r="O17" s="229"/>
      <c r="P17" s="229"/>
      <c r="Q17" s="229" t="s">
        <v>5489</v>
      </c>
      <c r="R17" s="229"/>
      <c r="S17" s="229"/>
      <c r="T17" s="229"/>
      <c r="W17" s="219" t="s">
        <v>5490</v>
      </c>
      <c r="X17" s="219"/>
      <c r="Y17" s="219"/>
      <c r="Z17" s="219" t="s">
        <v>10224</v>
      </c>
      <c r="AA17" s="219"/>
      <c r="AB17" s="219"/>
      <c r="AC17" s="201"/>
      <c r="AD17" s="210" t="s">
        <v>5492</v>
      </c>
      <c r="AE17" s="210"/>
      <c r="AF17" s="210"/>
      <c r="AG17" s="210"/>
      <c r="AH17" s="210" t="s">
        <v>5493</v>
      </c>
      <c r="AI17" s="210"/>
      <c r="AJ17" s="210"/>
      <c r="AK17" s="210"/>
      <c r="AL17" s="210"/>
      <c r="AM17" s="210" t="s">
        <v>5494</v>
      </c>
      <c r="AN17" s="210"/>
      <c r="AO17" s="210"/>
      <c r="AP17" s="210"/>
      <c r="AQ17" s="210" t="s">
        <v>5495</v>
      </c>
      <c r="AR17" s="210"/>
      <c r="AS17" s="210"/>
      <c r="AT17" s="210"/>
      <c r="AU17" s="210"/>
      <c r="AW17" s="215" t="s">
        <v>5496</v>
      </c>
      <c r="AX17" s="216"/>
      <c r="AY17" s="216"/>
      <c r="AZ17" s="216"/>
      <c r="BA17" s="216"/>
      <c r="BB17" s="216" t="s">
        <v>5497</v>
      </c>
      <c r="BC17" s="216"/>
      <c r="BD17" s="216"/>
      <c r="BE17" s="216"/>
      <c r="BF17" s="216"/>
      <c r="BG17" s="216"/>
      <c r="BH17" s="216"/>
      <c r="BI17" s="216"/>
      <c r="BJ17" s="216"/>
      <c r="BK17" s="216"/>
      <c r="BL17" s="216"/>
      <c r="BM17" s="216"/>
      <c r="BN17" s="216"/>
      <c r="BO17" s="216"/>
      <c r="BP17" s="216"/>
      <c r="BQ17" s="216"/>
      <c r="BR17" s="216"/>
      <c r="BS17" s="216"/>
      <c r="BT17" s="216"/>
      <c r="BU17" s="216"/>
      <c r="BV17" s="216"/>
      <c r="BW17" s="217"/>
    </row>
    <row r="18" spans="8:8" ht="18.0">
      <c r="A18" s="201"/>
      <c r="B18" s="227" t="s">
        <v>5498</v>
      </c>
      <c r="C18" s="227"/>
      <c r="D18" s="227"/>
      <c r="E18" s="228">
        <v>3.7</v>
      </c>
      <c r="F18" s="227"/>
      <c r="G18" s="227"/>
      <c r="H18" s="201"/>
      <c r="N18" s="201"/>
      <c r="W18" s="219" t="s">
        <v>5499</v>
      </c>
      <c r="X18" s="219"/>
      <c r="Y18" s="219"/>
      <c r="Z18" s="219" t="s">
        <v>5500</v>
      </c>
      <c r="AA18" s="219"/>
      <c r="AB18" s="219"/>
      <c r="AC18" s="201"/>
      <c r="AD18" s="210" t="s">
        <v>5501</v>
      </c>
      <c r="AE18" s="210"/>
      <c r="AF18" s="210"/>
      <c r="AG18" s="210"/>
      <c r="AH18" s="210" t="s">
        <v>5502</v>
      </c>
      <c r="AI18" s="210"/>
      <c r="AJ18" s="210"/>
      <c r="AK18" s="210"/>
      <c r="AL18" s="210"/>
      <c r="AM18" s="210" t="s">
        <v>5503</v>
      </c>
      <c r="AN18" s="210"/>
      <c r="AO18" s="210"/>
      <c r="AP18" s="210"/>
      <c r="AQ18" s="210" t="s">
        <v>5504</v>
      </c>
      <c r="AR18" s="210"/>
      <c r="AS18" s="210"/>
      <c r="AT18" s="210"/>
      <c r="AU18" s="210"/>
      <c r="AW18" s="215" t="s">
        <v>5505</v>
      </c>
      <c r="AX18" s="216"/>
      <c r="AY18" s="216"/>
      <c r="AZ18" s="216"/>
      <c r="BA18" s="216"/>
      <c r="BB18" s="216" t="s">
        <v>5506</v>
      </c>
      <c r="BC18" s="216"/>
      <c r="BD18" s="216"/>
      <c r="BE18" s="216"/>
      <c r="BF18" s="216"/>
      <c r="BG18" s="216"/>
      <c r="BH18" s="216"/>
      <c r="BI18" s="216"/>
      <c r="BJ18" s="216"/>
      <c r="BK18" s="216"/>
      <c r="BL18" s="216"/>
      <c r="BM18" s="216"/>
      <c r="BN18" s="216"/>
      <c r="BO18" s="216"/>
      <c r="BP18" s="216"/>
      <c r="BQ18" s="216"/>
      <c r="BR18" s="216"/>
      <c r="BS18" s="216"/>
      <c r="BT18" s="216"/>
      <c r="BU18" s="216"/>
      <c r="BV18" s="216"/>
      <c r="BW18" s="217"/>
    </row>
    <row r="19" spans="8:8" ht="18.0">
      <c r="A19" s="201"/>
      <c r="B19" s="201"/>
      <c r="C19" s="201"/>
      <c r="D19" s="201"/>
      <c r="E19" s="201"/>
      <c r="F19" s="201"/>
      <c r="G19" s="201"/>
      <c r="H19" s="201"/>
      <c r="I19" s="201"/>
      <c r="J19" s="201"/>
      <c r="K19" s="201"/>
      <c r="L19" s="201"/>
      <c r="M19" s="201"/>
      <c r="N19" s="201"/>
      <c r="O19" s="201"/>
      <c r="P19" s="201"/>
      <c r="Q19" s="201"/>
      <c r="R19" s="201"/>
      <c r="S19" s="201"/>
      <c r="T19" s="201"/>
      <c r="U19" s="201"/>
      <c r="V19" s="201"/>
      <c r="W19" s="219" t="s">
        <v>4918</v>
      </c>
      <c r="X19" s="219"/>
      <c r="Y19" s="219"/>
      <c r="Z19" s="219" t="s">
        <v>4919</v>
      </c>
      <c r="AA19" s="219"/>
      <c r="AB19" s="219"/>
      <c r="AC19" s="201"/>
      <c r="AD19" s="210" t="s">
        <v>4773</v>
      </c>
      <c r="AE19" s="210"/>
      <c r="AF19" s="210"/>
      <c r="AG19" s="210"/>
      <c r="AH19" s="210" t="s">
        <v>4774</v>
      </c>
      <c r="AI19" s="210"/>
      <c r="AJ19" s="210"/>
      <c r="AK19" s="210"/>
      <c r="AL19" s="210"/>
      <c r="AM19" s="210" t="s">
        <v>5507</v>
      </c>
      <c r="AN19" s="210"/>
      <c r="AO19" s="210"/>
      <c r="AP19" s="210"/>
      <c r="AQ19" s="210" t="s">
        <v>5508</v>
      </c>
      <c r="AR19" s="210"/>
      <c r="AS19" s="210"/>
      <c r="AT19" s="210"/>
      <c r="AU19" s="210"/>
      <c r="AW19" s="215" t="s">
        <v>5509</v>
      </c>
      <c r="AX19" s="216"/>
      <c r="AY19" s="216"/>
      <c r="AZ19" s="216"/>
      <c r="BA19" s="216"/>
      <c r="BB19" s="216" t="s">
        <v>5510</v>
      </c>
      <c r="BC19" s="216"/>
      <c r="BD19" s="216"/>
      <c r="BE19" s="216"/>
      <c r="BF19" s="216"/>
      <c r="BG19" s="216"/>
      <c r="BH19" s="216"/>
      <c r="BI19" s="216"/>
      <c r="BJ19" s="216"/>
      <c r="BK19" s="216"/>
      <c r="BL19" s="216"/>
      <c r="BM19" s="216"/>
      <c r="BN19" s="216"/>
      <c r="BO19" s="216"/>
      <c r="BP19" s="216"/>
      <c r="BQ19" s="216"/>
      <c r="BR19" s="216"/>
      <c r="BS19" s="216"/>
      <c r="BT19" s="216"/>
      <c r="BU19" s="216"/>
      <c r="BV19" s="216"/>
      <c r="BW19" s="217"/>
    </row>
    <row r="20" spans="8:8" s="200" ht="29.25" customFormat="1">
      <c r="A20" s="201"/>
      <c r="B20" s="230" t="s">
        <v>5511</v>
      </c>
      <c r="C20" s="230"/>
      <c r="D20" s="230"/>
      <c r="E20" s="230"/>
      <c r="F20" s="230"/>
      <c r="G20" s="230"/>
      <c r="H20" s="230"/>
      <c r="I20" s="230"/>
      <c r="J20" s="230"/>
      <c r="K20" s="230"/>
      <c r="L20" s="230"/>
      <c r="M20" s="230"/>
      <c r="N20" s="230"/>
      <c r="O20" s="230"/>
      <c r="P20" s="230"/>
      <c r="Q20" s="201"/>
      <c r="R20" s="230" t="s">
        <v>5512</v>
      </c>
      <c r="S20" s="230"/>
      <c r="T20" s="230"/>
      <c r="U20" s="230"/>
      <c r="V20" s="201"/>
      <c r="W20" s="219" t="s">
        <v>5513</v>
      </c>
      <c r="X20" s="219"/>
      <c r="Y20" s="219"/>
      <c r="Z20" s="219" t="s">
        <v>5514</v>
      </c>
      <c r="AA20" s="219"/>
      <c r="AB20" s="219"/>
      <c r="AC20" s="201"/>
      <c r="AD20" s="210" t="s">
        <v>5515</v>
      </c>
      <c r="AE20" s="210"/>
      <c r="AF20" s="210"/>
      <c r="AG20" s="210"/>
      <c r="AH20" s="210" t="s">
        <v>5516</v>
      </c>
      <c r="AI20" s="210"/>
      <c r="AJ20" s="210"/>
      <c r="AK20" s="210"/>
      <c r="AL20" s="210"/>
      <c r="AM20" s="210" t="s">
        <v>5517</v>
      </c>
      <c r="AN20" s="210"/>
      <c r="AO20" s="210"/>
      <c r="AP20" s="210"/>
      <c r="AQ20" s="210" t="s">
        <v>5518</v>
      </c>
      <c r="AR20" s="210"/>
      <c r="AS20" s="210"/>
      <c r="AT20" s="210"/>
      <c r="AU20" s="210"/>
      <c r="AV20" s="231"/>
      <c r="AW20" s="215" t="s">
        <v>5519</v>
      </c>
      <c r="AX20" s="216"/>
      <c r="AY20" s="216"/>
      <c r="AZ20" s="216"/>
      <c r="BA20" s="216"/>
      <c r="BB20" s="216" t="s">
        <v>5520</v>
      </c>
      <c r="BC20" s="216"/>
      <c r="BD20" s="216"/>
      <c r="BE20" s="216"/>
      <c r="BF20" s="216"/>
      <c r="BG20" s="216"/>
      <c r="BH20" s="216"/>
      <c r="BI20" s="216"/>
      <c r="BJ20" s="216"/>
      <c r="BK20" s="216"/>
      <c r="BL20" s="216"/>
      <c r="BM20" s="216"/>
      <c r="BN20" s="216"/>
      <c r="BO20" s="216"/>
      <c r="BP20" s="216"/>
      <c r="BQ20" s="216"/>
      <c r="BR20" s="216"/>
      <c r="BS20" s="216"/>
      <c r="BT20" s="216"/>
      <c r="BU20" s="216"/>
      <c r="BV20" s="216"/>
      <c r="BW20" s="217"/>
      <c r="BX20" s="232"/>
    </row>
    <row r="21" spans="8:8" s="200" ht="18.0" customFormat="1">
      <c r="A21" s="201"/>
      <c r="B21" s="233" t="s">
        <v>5521</v>
      </c>
      <c r="C21" s="233"/>
      <c r="D21" s="233"/>
      <c r="E21" s="233"/>
      <c r="F21" s="233" t="s">
        <v>5522</v>
      </c>
      <c r="G21" s="233"/>
      <c r="H21" s="233"/>
      <c r="I21" s="233"/>
      <c r="J21" s="233"/>
      <c r="K21" s="233"/>
      <c r="L21" s="233"/>
      <c r="M21" s="233"/>
      <c r="N21" s="233"/>
      <c r="O21" s="233"/>
      <c r="P21" s="233"/>
      <c r="Q21" s="201"/>
      <c r="R21" s="234" t="s">
        <v>5523</v>
      </c>
      <c r="S21" s="234"/>
      <c r="T21" s="234" t="s">
        <v>5524</v>
      </c>
      <c r="U21" s="234"/>
      <c r="V21" s="201"/>
      <c r="W21" s="219" t="s">
        <v>5525</v>
      </c>
      <c r="X21" s="219"/>
      <c r="Y21" s="219"/>
      <c r="Z21" s="219" t="s">
        <v>5526</v>
      </c>
      <c r="AA21" s="219"/>
      <c r="AB21" s="219"/>
      <c r="AC21" s="201"/>
      <c r="AD21" s="210" t="s">
        <v>5527</v>
      </c>
      <c r="AE21" s="210"/>
      <c r="AF21" s="210"/>
      <c r="AG21" s="210"/>
      <c r="AH21" s="210" t="s">
        <v>5528</v>
      </c>
      <c r="AI21" s="210"/>
      <c r="AJ21" s="210"/>
      <c r="AK21" s="210"/>
      <c r="AL21" s="210"/>
      <c r="AM21" s="210" t="s">
        <v>5529</v>
      </c>
      <c r="AN21" s="210"/>
      <c r="AO21" s="210"/>
      <c r="AP21" s="210"/>
      <c r="AQ21" s="210" t="s">
        <v>5530</v>
      </c>
      <c r="AR21" s="210"/>
      <c r="AS21" s="210"/>
      <c r="AT21" s="210"/>
      <c r="AU21" s="210"/>
      <c r="AV21" s="231"/>
      <c r="AW21" s="215" t="s">
        <v>5531</v>
      </c>
      <c r="AX21" s="216"/>
      <c r="AY21" s="216"/>
      <c r="AZ21" s="216"/>
      <c r="BA21" s="216"/>
      <c r="BB21" s="216" t="s">
        <v>5532</v>
      </c>
      <c r="BC21" s="216"/>
      <c r="BD21" s="216"/>
      <c r="BE21" s="216"/>
      <c r="BF21" s="216"/>
      <c r="BG21" s="216"/>
      <c r="BH21" s="216"/>
      <c r="BI21" s="216"/>
      <c r="BJ21" s="216"/>
      <c r="BK21" s="216"/>
      <c r="BL21" s="216"/>
      <c r="BM21" s="216"/>
      <c r="BN21" s="216"/>
      <c r="BO21" s="216"/>
      <c r="BP21" s="216"/>
      <c r="BQ21" s="216"/>
      <c r="BR21" s="216"/>
      <c r="BS21" s="216"/>
      <c r="BT21" s="216"/>
      <c r="BU21" s="216"/>
      <c r="BV21" s="216"/>
      <c r="BW21" s="217"/>
      <c r="BX21" s="232"/>
    </row>
    <row r="22" spans="8:8" s="200" ht="18.0" customFormat="1">
      <c r="A22" s="201"/>
      <c r="B22" s="233" t="s">
        <v>5533</v>
      </c>
      <c r="C22" s="233"/>
      <c r="D22" s="233"/>
      <c r="E22" s="233"/>
      <c r="F22" s="233" t="s">
        <v>5534</v>
      </c>
      <c r="G22" s="233"/>
      <c r="H22" s="233"/>
      <c r="I22" s="233"/>
      <c r="J22" s="233"/>
      <c r="K22" s="233"/>
      <c r="L22" s="233"/>
      <c r="M22" s="233"/>
      <c r="N22" s="233"/>
      <c r="O22" s="233"/>
      <c r="P22" s="233"/>
      <c r="Q22" s="201"/>
      <c r="R22" s="234" t="s">
        <v>5535</v>
      </c>
      <c r="S22" s="234"/>
      <c r="T22" s="234" t="s">
        <v>5536</v>
      </c>
      <c r="U22" s="234"/>
      <c r="V22" s="201"/>
      <c r="W22" s="219" t="s">
        <v>5537</v>
      </c>
      <c r="X22" s="219"/>
      <c r="Y22" s="219"/>
      <c r="Z22" s="219" t="s">
        <v>5538</v>
      </c>
      <c r="AA22" s="219"/>
      <c r="AB22" s="219"/>
      <c r="AC22" s="201"/>
      <c r="AD22" s="210" t="s">
        <v>5539</v>
      </c>
      <c r="AE22" s="210"/>
      <c r="AF22" s="210"/>
      <c r="AG22" s="210"/>
      <c r="AH22" s="210" t="s">
        <v>5540</v>
      </c>
      <c r="AI22" s="210"/>
      <c r="AJ22" s="210"/>
      <c r="AK22" s="210"/>
      <c r="AL22" s="210"/>
      <c r="AM22" s="210" t="s">
        <v>5541</v>
      </c>
      <c r="AN22" s="210"/>
      <c r="AO22" s="210"/>
      <c r="AP22" s="210"/>
      <c r="AQ22" s="210" t="s">
        <v>5542</v>
      </c>
      <c r="AR22" s="210"/>
      <c r="AS22" s="210"/>
      <c r="AT22" s="210"/>
      <c r="AU22" s="210"/>
      <c r="AV22" s="231"/>
      <c r="AW22" s="215" t="s">
        <v>5543</v>
      </c>
      <c r="AX22" s="216"/>
      <c r="AY22" s="216"/>
      <c r="AZ22" s="216"/>
      <c r="BA22" s="216"/>
      <c r="BB22" s="216" t="s">
        <v>5544</v>
      </c>
      <c r="BC22" s="216"/>
      <c r="BD22" s="216"/>
      <c r="BE22" s="216"/>
      <c r="BF22" s="216"/>
      <c r="BG22" s="216"/>
      <c r="BH22" s="216"/>
      <c r="BI22" s="216"/>
      <c r="BJ22" s="216"/>
      <c r="BK22" s="216"/>
      <c r="BL22" s="216"/>
      <c r="BM22" s="216"/>
      <c r="BN22" s="216"/>
      <c r="BO22" s="216"/>
      <c r="BP22" s="216"/>
      <c r="BQ22" s="216"/>
      <c r="BR22" s="216"/>
      <c r="BS22" s="216"/>
      <c r="BT22" s="216"/>
      <c r="BU22" s="216"/>
      <c r="BV22" s="216"/>
      <c r="BW22" s="217"/>
      <c r="BX22" s="232"/>
    </row>
    <row r="23" spans="8:8" s="200" ht="18.0" customFormat="1">
      <c r="A23" s="201"/>
      <c r="B23" s="233" t="s">
        <v>5545</v>
      </c>
      <c r="C23" s="233"/>
      <c r="D23" s="233"/>
      <c r="E23" s="233"/>
      <c r="F23" s="233" t="s">
        <v>5546</v>
      </c>
      <c r="G23" s="233"/>
      <c r="H23" s="233"/>
      <c r="I23" s="233"/>
      <c r="J23" s="233"/>
      <c r="K23" s="233"/>
      <c r="L23" s="233"/>
      <c r="M23" s="233"/>
      <c r="N23" s="233"/>
      <c r="O23" s="233"/>
      <c r="P23" s="233"/>
      <c r="Q23" s="201"/>
      <c r="R23" s="234" t="s">
        <v>5547</v>
      </c>
      <c r="S23" s="234"/>
      <c r="T23" s="234" t="s">
        <v>5548</v>
      </c>
      <c r="U23" s="234"/>
      <c r="V23" s="201"/>
      <c r="W23" s="201"/>
      <c r="X23" s="201"/>
      <c r="Y23" s="201"/>
      <c r="Z23" s="201"/>
      <c r="AA23" s="201"/>
      <c r="AB23" s="201"/>
      <c r="AC23" s="201"/>
      <c r="AD23" s="210" t="s">
        <v>5549</v>
      </c>
      <c r="AE23" s="210"/>
      <c r="AF23" s="210"/>
      <c r="AG23" s="210"/>
      <c r="AH23" s="210" t="s">
        <v>5550</v>
      </c>
      <c r="AI23" s="210"/>
      <c r="AJ23" s="210"/>
      <c r="AK23" s="210"/>
      <c r="AL23" s="210"/>
      <c r="AM23" s="210" t="s">
        <v>5551</v>
      </c>
      <c r="AN23" s="210"/>
      <c r="AO23" s="210"/>
      <c r="AP23" s="210"/>
      <c r="AQ23" s="210" t="s">
        <v>5552</v>
      </c>
      <c r="AR23" s="210"/>
      <c r="AS23" s="210"/>
      <c r="AT23" s="210"/>
      <c r="AU23" s="210"/>
      <c r="AV23" s="231"/>
      <c r="AW23" s="215" t="s">
        <v>5553</v>
      </c>
      <c r="AX23" s="216"/>
      <c r="AY23" s="216"/>
      <c r="AZ23" s="216"/>
      <c r="BA23" s="216"/>
      <c r="BB23" s="216" t="s">
        <v>5554</v>
      </c>
      <c r="BC23" s="216"/>
      <c r="BD23" s="216"/>
      <c r="BE23" s="216"/>
      <c r="BF23" s="216"/>
      <c r="BG23" s="216"/>
      <c r="BH23" s="216"/>
      <c r="BI23" s="216"/>
      <c r="BJ23" s="216"/>
      <c r="BK23" s="216"/>
      <c r="BL23" s="216"/>
      <c r="BM23" s="216"/>
      <c r="BN23" s="216"/>
      <c r="BO23" s="216"/>
      <c r="BP23" s="216"/>
      <c r="BQ23" s="216"/>
      <c r="BR23" s="216"/>
      <c r="BS23" s="216"/>
      <c r="BT23" s="216"/>
      <c r="BU23" s="216"/>
      <c r="BV23" s="216"/>
      <c r="BW23" s="217"/>
      <c r="BX23" s="232"/>
    </row>
    <row r="24" spans="8:8" s="200" ht="29.25" customFormat="1">
      <c r="A24" s="201"/>
      <c r="B24" s="233" t="s">
        <v>5555</v>
      </c>
      <c r="C24" s="233"/>
      <c r="D24" s="233"/>
      <c r="E24" s="233"/>
      <c r="F24" s="233" t="s">
        <v>5556</v>
      </c>
      <c r="G24" s="233"/>
      <c r="H24" s="233"/>
      <c r="I24" s="233"/>
      <c r="J24" s="233"/>
      <c r="K24" s="233"/>
      <c r="L24" s="233"/>
      <c r="M24" s="233"/>
      <c r="N24" s="233"/>
      <c r="O24" s="233"/>
      <c r="P24" s="233"/>
      <c r="Q24" s="201"/>
      <c r="R24" s="234" t="s">
        <v>5557</v>
      </c>
      <c r="S24" s="234"/>
      <c r="T24" s="234" t="s">
        <v>5558</v>
      </c>
      <c r="U24" s="234"/>
      <c r="V24" s="201"/>
      <c r="W24" s="201"/>
      <c r="X24" s="235" t="s">
        <v>5559</v>
      </c>
      <c r="Y24" s="235"/>
      <c r="Z24" s="235"/>
      <c r="AA24" s="235"/>
      <c r="AB24" s="201"/>
      <c r="AC24" s="201"/>
      <c r="AD24" s="210" t="s">
        <v>5560</v>
      </c>
      <c r="AE24" s="210"/>
      <c r="AF24" s="210"/>
      <c r="AG24" s="210"/>
      <c r="AH24" s="210" t="s">
        <v>5561</v>
      </c>
      <c r="AI24" s="210"/>
      <c r="AJ24" s="210"/>
      <c r="AK24" s="210"/>
      <c r="AL24" s="210"/>
      <c r="AM24" s="210" t="s">
        <v>5562</v>
      </c>
      <c r="AN24" s="210"/>
      <c r="AO24" s="210"/>
      <c r="AP24" s="210"/>
      <c r="AQ24" s="210" t="s">
        <v>5563</v>
      </c>
      <c r="AR24" s="210"/>
      <c r="AS24" s="210"/>
      <c r="AT24" s="210"/>
      <c r="AU24" s="210"/>
      <c r="AV24" s="231"/>
      <c r="AW24" s="215" t="s">
        <v>5564</v>
      </c>
      <c r="AX24" s="216"/>
      <c r="AY24" s="216"/>
      <c r="AZ24" s="216"/>
      <c r="BA24" s="216"/>
      <c r="BB24" s="216" t="s">
        <v>5565</v>
      </c>
      <c r="BC24" s="216"/>
      <c r="BD24" s="216"/>
      <c r="BE24" s="216"/>
      <c r="BF24" s="216"/>
      <c r="BG24" s="216"/>
      <c r="BH24" s="216"/>
      <c r="BI24" s="216"/>
      <c r="BJ24" s="216"/>
      <c r="BK24" s="216"/>
      <c r="BL24" s="216"/>
      <c r="BM24" s="216"/>
      <c r="BN24" s="216"/>
      <c r="BO24" s="216"/>
      <c r="BP24" s="216"/>
      <c r="BQ24" s="216"/>
      <c r="BR24" s="216"/>
      <c r="BS24" s="216"/>
      <c r="BT24" s="216"/>
      <c r="BU24" s="216"/>
      <c r="BV24" s="216"/>
      <c r="BW24" s="217"/>
      <c r="BX24" s="232"/>
    </row>
    <row r="25" spans="8:8" s="200" ht="18.0" customFormat="1">
      <c r="A25" s="201"/>
      <c r="B25" s="233" t="s">
        <v>5566</v>
      </c>
      <c r="C25" s="233"/>
      <c r="D25" s="233"/>
      <c r="E25" s="233"/>
      <c r="F25" s="233" t="s">
        <v>5567</v>
      </c>
      <c r="G25" s="233"/>
      <c r="H25" s="233"/>
      <c r="I25" s="233"/>
      <c r="J25" s="233"/>
      <c r="K25" s="233"/>
      <c r="L25" s="233"/>
      <c r="M25" s="233"/>
      <c r="N25" s="233"/>
      <c r="O25" s="233"/>
      <c r="P25" s="233"/>
      <c r="Q25" s="201"/>
      <c r="R25" s="234" t="s">
        <v>5568</v>
      </c>
      <c r="S25" s="234"/>
      <c r="T25" s="234" t="s">
        <v>5569</v>
      </c>
      <c r="U25" s="234"/>
      <c r="V25" s="201"/>
      <c r="W25" s="201"/>
      <c r="X25" s="236" t="s">
        <v>5570</v>
      </c>
      <c r="Y25" s="236"/>
      <c r="Z25" s="236" t="s">
        <v>5571</v>
      </c>
      <c r="AA25" s="236"/>
      <c r="AB25" s="201"/>
      <c r="AC25" s="201"/>
      <c r="AD25" s="210" t="s">
        <v>5572</v>
      </c>
      <c r="AE25" s="210"/>
      <c r="AF25" s="210"/>
      <c r="AG25" s="210"/>
      <c r="AH25" s="210" t="s">
        <v>5573</v>
      </c>
      <c r="AI25" s="210"/>
      <c r="AJ25" s="210"/>
      <c r="AK25" s="210"/>
      <c r="AL25" s="210"/>
      <c r="AM25" s="210" t="s">
        <v>5574</v>
      </c>
      <c r="AN25" s="210"/>
      <c r="AO25" s="210"/>
      <c r="AP25" s="210"/>
      <c r="AQ25" s="210" t="s">
        <v>5575</v>
      </c>
      <c r="AR25" s="210"/>
      <c r="AS25" s="210"/>
      <c r="AT25" s="210"/>
      <c r="AU25" s="210"/>
      <c r="AV25" s="231"/>
      <c r="AW25" s="215" t="s">
        <v>5576</v>
      </c>
      <c r="AX25" s="216"/>
      <c r="AY25" s="216"/>
      <c r="AZ25" s="216"/>
      <c r="BA25" s="216"/>
      <c r="BB25" s="216" t="s">
        <v>811</v>
      </c>
      <c r="BC25" s="216"/>
      <c r="BD25" s="216"/>
      <c r="BE25" s="216"/>
      <c r="BF25" s="216"/>
      <c r="BG25" s="216"/>
      <c r="BH25" s="216"/>
      <c r="BI25" s="216"/>
      <c r="BJ25" s="216"/>
      <c r="BK25" s="216"/>
      <c r="BL25" s="216"/>
      <c r="BM25" s="216"/>
      <c r="BN25" s="216"/>
      <c r="BO25" s="216"/>
      <c r="BP25" s="216"/>
      <c r="BQ25" s="216"/>
      <c r="BR25" s="216"/>
      <c r="BS25" s="216"/>
      <c r="BT25" s="216"/>
      <c r="BU25" s="216"/>
      <c r="BV25" s="216"/>
      <c r="BW25" s="217"/>
      <c r="BX25" s="232"/>
    </row>
    <row r="26" spans="8:8" s="200" ht="18.0" customFormat="1">
      <c r="A26" s="201"/>
      <c r="B26" s="233" t="s">
        <v>5577</v>
      </c>
      <c r="C26" s="233"/>
      <c r="D26" s="233"/>
      <c r="E26" s="233"/>
      <c r="F26" s="233" t="s">
        <v>5578</v>
      </c>
      <c r="G26" s="233"/>
      <c r="H26" s="233"/>
      <c r="I26" s="233"/>
      <c r="J26" s="233"/>
      <c r="K26" s="233"/>
      <c r="L26" s="233"/>
      <c r="M26" s="233"/>
      <c r="N26" s="233"/>
      <c r="O26" s="233"/>
      <c r="P26" s="233"/>
      <c r="Q26" s="201"/>
      <c r="R26" s="234" t="s">
        <v>5579</v>
      </c>
      <c r="S26" s="234"/>
      <c r="T26" s="234" t="s">
        <v>5580</v>
      </c>
      <c r="U26" s="234"/>
      <c r="V26" s="201"/>
      <c r="W26" s="201"/>
      <c r="X26" s="236" t="s">
        <v>5581</v>
      </c>
      <c r="Y26" s="236"/>
      <c r="Z26" s="236" t="s">
        <v>5582</v>
      </c>
      <c r="AA26" s="236"/>
      <c r="AB26" s="201"/>
      <c r="AC26" s="201"/>
      <c r="AD26" s="210" t="s">
        <v>5583</v>
      </c>
      <c r="AE26" s="210"/>
      <c r="AF26" s="210"/>
      <c r="AG26" s="210"/>
      <c r="AH26" s="210" t="s">
        <v>5584</v>
      </c>
      <c r="AI26" s="210"/>
      <c r="AJ26" s="210"/>
      <c r="AK26" s="210"/>
      <c r="AL26" s="210"/>
      <c r="AM26" s="210" t="s">
        <v>5585</v>
      </c>
      <c r="AN26" s="210"/>
      <c r="AO26" s="210"/>
      <c r="AP26" s="210"/>
      <c r="AQ26" s="210" t="s">
        <v>5586</v>
      </c>
      <c r="AR26" s="210"/>
      <c r="AS26" s="210"/>
      <c r="AT26" s="210"/>
      <c r="AU26" s="210"/>
      <c r="AV26" s="231"/>
      <c r="AW26" s="215" t="s">
        <v>5587</v>
      </c>
      <c r="AX26" s="216"/>
      <c r="AY26" s="216"/>
      <c r="AZ26" s="216"/>
      <c r="BA26" s="216"/>
      <c r="BB26" s="216" t="s">
        <v>5588</v>
      </c>
      <c r="BC26" s="216"/>
      <c r="BD26" s="216"/>
      <c r="BE26" s="216"/>
      <c r="BF26" s="216"/>
      <c r="BG26" s="216"/>
      <c r="BH26" s="216"/>
      <c r="BI26" s="216"/>
      <c r="BJ26" s="216"/>
      <c r="BK26" s="216"/>
      <c r="BL26" s="216"/>
      <c r="BM26" s="216"/>
      <c r="BN26" s="216"/>
      <c r="BO26" s="216"/>
      <c r="BP26" s="216"/>
      <c r="BQ26" s="216"/>
      <c r="BR26" s="216"/>
      <c r="BS26" s="216"/>
      <c r="BT26" s="216"/>
      <c r="BU26" s="216"/>
      <c r="BV26" s="216"/>
      <c r="BW26" s="217"/>
      <c r="BX26" s="232"/>
    </row>
    <row r="27" spans="8:8" s="200" ht="18.0" customFormat="1">
      <c r="A27" s="201"/>
      <c r="B27" s="233" t="s">
        <v>5589</v>
      </c>
      <c r="C27" s="233"/>
      <c r="D27" s="233"/>
      <c r="E27" s="233"/>
      <c r="F27" s="233" t="s">
        <v>5590</v>
      </c>
      <c r="G27" s="233"/>
      <c r="H27" s="233"/>
      <c r="I27" s="233"/>
      <c r="J27" s="233"/>
      <c r="K27" s="233"/>
      <c r="L27" s="233"/>
      <c r="M27" s="233"/>
      <c r="N27" s="233"/>
      <c r="O27" s="233"/>
      <c r="P27" s="233"/>
      <c r="Q27" s="201"/>
      <c r="R27" s="234" t="s">
        <v>5591</v>
      </c>
      <c r="S27" s="234"/>
      <c r="T27" s="234" t="s">
        <v>5592</v>
      </c>
      <c r="U27" s="234"/>
      <c r="V27" s="201"/>
      <c r="W27" s="201"/>
      <c r="X27" s="236" t="s">
        <v>5593</v>
      </c>
      <c r="Y27" s="236"/>
      <c r="Z27" s="236" t="s">
        <v>5594</v>
      </c>
      <c r="AA27" s="236"/>
      <c r="AB27" s="201"/>
      <c r="AC27" s="201"/>
      <c r="AD27" s="210" t="s">
        <v>5595</v>
      </c>
      <c r="AE27" s="210"/>
      <c r="AF27" s="210"/>
      <c r="AG27" s="210"/>
      <c r="AH27" s="210" t="s">
        <v>5596</v>
      </c>
      <c r="AI27" s="210"/>
      <c r="AJ27" s="210"/>
      <c r="AK27" s="210"/>
      <c r="AL27" s="210"/>
      <c r="AM27" s="210" t="s">
        <v>5597</v>
      </c>
      <c r="AN27" s="210"/>
      <c r="AO27" s="210"/>
      <c r="AP27" s="210"/>
      <c r="AQ27" s="210" t="s">
        <v>5598</v>
      </c>
      <c r="AR27" s="210"/>
      <c r="AS27" s="210"/>
      <c r="AT27" s="210"/>
      <c r="AU27" s="210"/>
      <c r="AV27" s="231"/>
      <c r="AW27" s="215" t="s">
        <v>5599</v>
      </c>
      <c r="AX27" s="216"/>
      <c r="AY27" s="216"/>
      <c r="AZ27" s="216"/>
      <c r="BA27" s="216"/>
      <c r="BB27" s="216" t="s">
        <v>5600</v>
      </c>
      <c r="BC27" s="216"/>
      <c r="BD27" s="216"/>
      <c r="BE27" s="216"/>
      <c r="BF27" s="216"/>
      <c r="BG27" s="216"/>
      <c r="BH27" s="216"/>
      <c r="BI27" s="216"/>
      <c r="BJ27" s="216"/>
      <c r="BK27" s="216"/>
      <c r="BL27" s="216"/>
      <c r="BM27" s="216"/>
      <c r="BN27" s="216"/>
      <c r="BO27" s="216"/>
      <c r="BP27" s="216"/>
      <c r="BQ27" s="216"/>
      <c r="BR27" s="216"/>
      <c r="BS27" s="216"/>
      <c r="BT27" s="216"/>
      <c r="BU27" s="216"/>
      <c r="BV27" s="216"/>
      <c r="BW27" s="217"/>
      <c r="BX27" s="232"/>
    </row>
    <row r="28" spans="8:8" s="200" ht="18.0" customFormat="1">
      <c r="A28" s="201"/>
      <c r="B28" s="233" t="s">
        <v>1514</v>
      </c>
      <c r="C28" s="233"/>
      <c r="D28" s="233"/>
      <c r="E28" s="233"/>
      <c r="F28" s="233" t="s">
        <v>5601</v>
      </c>
      <c r="G28" s="233"/>
      <c r="H28" s="233"/>
      <c r="I28" s="233"/>
      <c r="J28" s="233"/>
      <c r="K28" s="233"/>
      <c r="L28" s="233"/>
      <c r="M28" s="233"/>
      <c r="N28" s="233"/>
      <c r="O28" s="233"/>
      <c r="P28" s="233"/>
      <c r="Q28" s="201"/>
      <c r="R28" s="234" t="s">
        <v>5602</v>
      </c>
      <c r="S28" s="234"/>
      <c r="T28" s="234" t="s">
        <v>5603</v>
      </c>
      <c r="U28" s="234"/>
      <c r="V28" s="201"/>
      <c r="W28" s="201"/>
      <c r="X28" s="236" t="s">
        <v>5604</v>
      </c>
      <c r="Y28" s="236"/>
      <c r="Z28" s="236" t="s">
        <v>5605</v>
      </c>
      <c r="AA28" s="236"/>
      <c r="AB28" s="201"/>
      <c r="AC28" s="201"/>
      <c r="AD28" s="210" t="s">
        <v>5606</v>
      </c>
      <c r="AE28" s="210"/>
      <c r="AF28" s="210"/>
      <c r="AG28" s="210"/>
      <c r="AH28" s="210" t="s">
        <v>1844</v>
      </c>
      <c r="AI28" s="210"/>
      <c r="AJ28" s="210"/>
      <c r="AK28" s="210"/>
      <c r="AL28" s="210"/>
      <c r="AM28" s="210" t="s">
        <v>5607</v>
      </c>
      <c r="AN28" s="210"/>
      <c r="AO28" s="210"/>
      <c r="AP28" s="210"/>
      <c r="AQ28" s="210" t="s">
        <v>5608</v>
      </c>
      <c r="AR28" s="210"/>
      <c r="AS28" s="210"/>
      <c r="AT28" s="210"/>
      <c r="AU28" s="210"/>
      <c r="AV28" s="231"/>
      <c r="AW28" s="215" t="s">
        <v>5609</v>
      </c>
      <c r="AX28" s="216"/>
      <c r="AY28" s="216"/>
      <c r="AZ28" s="216"/>
      <c r="BA28" s="216"/>
      <c r="BB28" s="216" t="s">
        <v>5610</v>
      </c>
      <c r="BC28" s="216"/>
      <c r="BD28" s="216"/>
      <c r="BE28" s="216"/>
      <c r="BF28" s="216"/>
      <c r="BG28" s="216"/>
      <c r="BH28" s="216"/>
      <c r="BI28" s="216"/>
      <c r="BJ28" s="216"/>
      <c r="BK28" s="216"/>
      <c r="BL28" s="216"/>
      <c r="BM28" s="216"/>
      <c r="BN28" s="216"/>
      <c r="BO28" s="216"/>
      <c r="BP28" s="216"/>
      <c r="BQ28" s="216"/>
      <c r="BR28" s="216"/>
      <c r="BS28" s="216"/>
      <c r="BT28" s="216"/>
      <c r="BU28" s="216"/>
      <c r="BV28" s="216"/>
      <c r="BW28" s="217"/>
      <c r="BX28" s="232"/>
    </row>
    <row r="29" spans="8:8" s="200" ht="18.0" customFormat="1">
      <c r="A29" s="201"/>
      <c r="B29" s="233" t="s">
        <v>5611</v>
      </c>
      <c r="C29" s="233"/>
      <c r="D29" s="233"/>
      <c r="E29" s="233"/>
      <c r="F29" s="233" t="s">
        <v>5612</v>
      </c>
      <c r="G29" s="233"/>
      <c r="H29" s="233"/>
      <c r="I29" s="233"/>
      <c r="J29" s="233"/>
      <c r="K29" s="233"/>
      <c r="L29" s="233"/>
      <c r="M29" s="233"/>
      <c r="N29" s="233"/>
      <c r="O29" s="233"/>
      <c r="P29" s="233"/>
      <c r="Q29" s="201"/>
      <c r="R29" s="201"/>
      <c r="S29" s="201"/>
      <c r="T29" s="201"/>
      <c r="U29" s="201"/>
      <c r="V29" s="201"/>
      <c r="W29" s="201"/>
      <c r="X29" s="236" t="s">
        <v>5613</v>
      </c>
      <c r="Y29" s="236"/>
      <c r="Z29" s="236" t="s">
        <v>5614</v>
      </c>
      <c r="AA29" s="236"/>
      <c r="AB29" s="201"/>
      <c r="AC29" s="201"/>
      <c r="AD29" s="210" t="s">
        <v>5615</v>
      </c>
      <c r="AE29" s="210"/>
      <c r="AF29" s="210"/>
      <c r="AG29" s="210"/>
      <c r="AH29" s="210" t="s">
        <v>5616</v>
      </c>
      <c r="AI29" s="210"/>
      <c r="AJ29" s="210"/>
      <c r="AK29" s="210"/>
      <c r="AL29" s="210"/>
      <c r="AM29" s="210" t="s">
        <v>5617</v>
      </c>
      <c r="AN29" s="210"/>
      <c r="AO29" s="210"/>
      <c r="AP29" s="210"/>
      <c r="AQ29" s="210" t="s">
        <v>5618</v>
      </c>
      <c r="AR29" s="210"/>
      <c r="AS29" s="210"/>
      <c r="AT29" s="210"/>
      <c r="AU29" s="210"/>
      <c r="AV29" s="231"/>
      <c r="AW29" s="215" t="s">
        <v>5619</v>
      </c>
      <c r="AX29" s="216"/>
      <c r="AY29" s="216"/>
      <c r="AZ29" s="216"/>
      <c r="BA29" s="216"/>
      <c r="BB29" s="216" t="s">
        <v>5620</v>
      </c>
      <c r="BC29" s="216"/>
      <c r="BD29" s="216"/>
      <c r="BE29" s="216"/>
      <c r="BF29" s="216"/>
      <c r="BG29" s="216"/>
      <c r="BH29" s="216"/>
      <c r="BI29" s="216"/>
      <c r="BJ29" s="216"/>
      <c r="BK29" s="216"/>
      <c r="BL29" s="216"/>
      <c r="BM29" s="216"/>
      <c r="BN29" s="216"/>
      <c r="BO29" s="216"/>
      <c r="BP29" s="216"/>
      <c r="BQ29" s="216"/>
      <c r="BR29" s="216"/>
      <c r="BS29" s="216"/>
      <c r="BT29" s="216"/>
      <c r="BU29" s="216"/>
      <c r="BV29" s="216"/>
      <c r="BW29" s="217"/>
      <c r="BX29" s="232"/>
    </row>
    <row r="30" spans="8:8" s="200" ht="29.25" customFormat="1">
      <c r="A30" s="201"/>
      <c r="B30" s="233" t="s">
        <v>5621</v>
      </c>
      <c r="C30" s="233"/>
      <c r="D30" s="233"/>
      <c r="E30" s="233"/>
      <c r="F30" s="233" t="s">
        <v>5622</v>
      </c>
      <c r="G30" s="233"/>
      <c r="H30" s="233"/>
      <c r="I30" s="233"/>
      <c r="J30" s="233"/>
      <c r="K30" s="233"/>
      <c r="L30" s="233"/>
      <c r="M30" s="233"/>
      <c r="N30" s="233"/>
      <c r="O30" s="233"/>
      <c r="P30" s="233"/>
      <c r="Q30" s="201"/>
      <c r="R30" s="237" t="s">
        <v>5623</v>
      </c>
      <c r="S30" s="237"/>
      <c r="T30" s="237"/>
      <c r="U30" s="237"/>
      <c r="V30" s="237"/>
      <c r="W30" s="201"/>
      <c r="X30" s="236" t="s">
        <v>5624</v>
      </c>
      <c r="Y30" s="236"/>
      <c r="Z30" s="236" t="s">
        <v>5625</v>
      </c>
      <c r="AA30" s="236"/>
      <c r="AB30" s="201"/>
      <c r="AC30" s="201"/>
      <c r="AD30" s="210" t="s">
        <v>5626</v>
      </c>
      <c r="AE30" s="210"/>
      <c r="AF30" s="210"/>
      <c r="AG30" s="210"/>
      <c r="AH30" s="210" t="s">
        <v>5627</v>
      </c>
      <c r="AI30" s="210"/>
      <c r="AJ30" s="210"/>
      <c r="AK30" s="210"/>
      <c r="AL30" s="210"/>
      <c r="AM30" s="210" t="s">
        <v>5628</v>
      </c>
      <c r="AN30" s="210"/>
      <c r="AO30" s="210"/>
      <c r="AP30" s="210"/>
      <c r="AQ30" s="210" t="s">
        <v>5629</v>
      </c>
      <c r="AR30" s="210"/>
      <c r="AS30" s="210"/>
      <c r="AT30" s="210"/>
      <c r="AU30" s="210"/>
      <c r="AV30" s="231"/>
      <c r="AW30" s="215" t="s">
        <v>5630</v>
      </c>
      <c r="AX30" s="216"/>
      <c r="AY30" s="216"/>
      <c r="AZ30" s="216"/>
      <c r="BA30" s="216"/>
      <c r="BB30" s="216" t="s">
        <v>5631</v>
      </c>
      <c r="BC30" s="216"/>
      <c r="BD30" s="216"/>
      <c r="BE30" s="216"/>
      <c r="BF30" s="216"/>
      <c r="BG30" s="216"/>
      <c r="BH30" s="216"/>
      <c r="BI30" s="216"/>
      <c r="BJ30" s="216"/>
      <c r="BK30" s="216"/>
      <c r="BL30" s="216"/>
      <c r="BM30" s="216"/>
      <c r="BN30" s="216"/>
      <c r="BO30" s="216"/>
      <c r="BP30" s="216"/>
      <c r="BQ30" s="216"/>
      <c r="BR30" s="216"/>
      <c r="BS30" s="216"/>
      <c r="BT30" s="216"/>
      <c r="BU30" s="216"/>
      <c r="BV30" s="216"/>
      <c r="BW30" s="217"/>
      <c r="BX30" s="232"/>
    </row>
    <row r="31" spans="8:8" s="200" ht="18.0" customFormat="1">
      <c r="A31" s="201"/>
      <c r="B31" s="233" t="s">
        <v>5632</v>
      </c>
      <c r="C31" s="233"/>
      <c r="D31" s="233"/>
      <c r="E31" s="233"/>
      <c r="F31" s="233" t="s">
        <v>5633</v>
      </c>
      <c r="G31" s="233"/>
      <c r="H31" s="233"/>
      <c r="I31" s="233"/>
      <c r="J31" s="233"/>
      <c r="K31" s="233"/>
      <c r="L31" s="233"/>
      <c r="M31" s="233"/>
      <c r="N31" s="233"/>
      <c r="O31" s="233"/>
      <c r="P31" s="233"/>
      <c r="Q31" s="201"/>
      <c r="R31" s="238" t="s">
        <v>5634</v>
      </c>
      <c r="S31" s="238"/>
      <c r="T31" s="238" t="s">
        <v>5635</v>
      </c>
      <c r="U31" s="238"/>
      <c r="V31" s="238"/>
      <c r="W31" s="201"/>
      <c r="X31" s="236" t="s">
        <v>5636</v>
      </c>
      <c r="Y31" s="236"/>
      <c r="Z31" s="236" t="s">
        <v>5637</v>
      </c>
      <c r="AA31" s="236"/>
      <c r="AB31" s="201"/>
      <c r="AC31" s="201"/>
      <c r="AD31" s="210" t="s">
        <v>5638</v>
      </c>
      <c r="AE31" s="210"/>
      <c r="AF31" s="210"/>
      <c r="AG31" s="210"/>
      <c r="AH31" s="210" t="s">
        <v>5639</v>
      </c>
      <c r="AI31" s="210"/>
      <c r="AJ31" s="210"/>
      <c r="AK31" s="210"/>
      <c r="AL31" s="210"/>
      <c r="AM31" s="210" t="s">
        <v>5640</v>
      </c>
      <c r="AN31" s="210"/>
      <c r="AO31" s="210"/>
      <c r="AP31" s="210"/>
      <c r="AQ31" s="210" t="s">
        <v>5641</v>
      </c>
      <c r="AR31" s="210"/>
      <c r="AS31" s="210"/>
      <c r="AT31" s="210"/>
      <c r="AU31" s="210"/>
      <c r="AV31" s="231"/>
      <c r="AW31" s="215" t="s">
        <v>5642</v>
      </c>
      <c r="AX31" s="216"/>
      <c r="AY31" s="216"/>
      <c r="AZ31" s="216"/>
      <c r="BA31" s="216"/>
      <c r="BB31" s="216" t="s">
        <v>5643</v>
      </c>
      <c r="BC31" s="216"/>
      <c r="BD31" s="216"/>
      <c r="BE31" s="216"/>
      <c r="BF31" s="216"/>
      <c r="BG31" s="216"/>
      <c r="BH31" s="216"/>
      <c r="BI31" s="216"/>
      <c r="BJ31" s="216"/>
      <c r="BK31" s="216"/>
      <c r="BL31" s="216"/>
      <c r="BM31" s="216"/>
      <c r="BN31" s="216"/>
      <c r="BO31" s="216"/>
      <c r="BP31" s="216"/>
      <c r="BQ31" s="216"/>
      <c r="BR31" s="216"/>
      <c r="BS31" s="216"/>
      <c r="BT31" s="216"/>
      <c r="BU31" s="216"/>
      <c r="BV31" s="216"/>
      <c r="BW31" s="217"/>
      <c r="BX31" s="232"/>
    </row>
    <row r="32" spans="8:8" s="200" ht="16.15" customFormat="1">
      <c r="A32" s="201"/>
      <c r="B32" s="233" t="s">
        <v>9927</v>
      </c>
      <c r="C32" s="233"/>
      <c r="D32" s="233"/>
      <c r="E32" s="233"/>
      <c r="F32" s="233" t="s">
        <v>5645</v>
      </c>
      <c r="G32" s="233"/>
      <c r="H32" s="233"/>
      <c r="I32" s="233"/>
      <c r="J32" s="233"/>
      <c r="K32" s="233"/>
      <c r="L32" s="233"/>
      <c r="M32" s="233"/>
      <c r="N32" s="233"/>
      <c r="O32" s="233"/>
      <c r="P32" s="233"/>
      <c r="Q32" s="201"/>
      <c r="R32" s="238" t="s">
        <v>5646</v>
      </c>
      <c r="S32" s="238"/>
      <c r="T32" s="238" t="s">
        <v>5647</v>
      </c>
      <c r="U32" s="238"/>
      <c r="V32" s="238"/>
      <c r="W32" s="201"/>
      <c r="X32" s="236" t="s">
        <v>5648</v>
      </c>
      <c r="Y32" s="236"/>
      <c r="Z32" s="236" t="s">
        <v>5649</v>
      </c>
      <c r="AA32" s="236"/>
      <c r="AB32" s="201"/>
      <c r="AC32" s="201"/>
      <c r="AD32" s="210" t="s">
        <v>5650</v>
      </c>
      <c r="AE32" s="210"/>
      <c r="AF32" s="210"/>
      <c r="AG32" s="210"/>
      <c r="AH32" s="210" t="s">
        <v>5651</v>
      </c>
      <c r="AI32" s="210"/>
      <c r="AJ32" s="210"/>
      <c r="AK32" s="210"/>
      <c r="AL32" s="210"/>
      <c r="AM32" s="210" t="s">
        <v>5652</v>
      </c>
      <c r="AN32" s="210"/>
      <c r="AO32" s="210"/>
      <c r="AP32" s="210"/>
      <c r="AQ32" s="210" t="s">
        <v>5653</v>
      </c>
      <c r="AR32" s="210"/>
      <c r="AS32" s="210"/>
      <c r="AT32" s="210"/>
      <c r="AU32" s="210"/>
      <c r="AV32" s="231"/>
      <c r="AW32" s="215" t="s">
        <v>5654</v>
      </c>
      <c r="AX32" s="216"/>
      <c r="AY32" s="216"/>
      <c r="AZ32" s="216"/>
      <c r="BA32" s="216"/>
      <c r="BB32" s="216" t="s">
        <v>5655</v>
      </c>
      <c r="BC32" s="216"/>
      <c r="BD32" s="216"/>
      <c r="BE32" s="216"/>
      <c r="BF32" s="216"/>
      <c r="BG32" s="216"/>
      <c r="BH32" s="216"/>
      <c r="BI32" s="216"/>
      <c r="BJ32" s="216"/>
      <c r="BK32" s="216"/>
      <c r="BL32" s="216"/>
      <c r="BM32" s="216"/>
      <c r="BN32" s="216"/>
      <c r="BO32" s="216"/>
      <c r="BP32" s="216"/>
      <c r="BQ32" s="216"/>
      <c r="BR32" s="216"/>
      <c r="BS32" s="216"/>
      <c r="BT32" s="216"/>
      <c r="BU32" s="216"/>
      <c r="BV32" s="216"/>
      <c r="BW32" s="217"/>
      <c r="BX32" s="232"/>
    </row>
    <row r="33" spans="8:8" s="200" ht="18.0" customFormat="1">
      <c r="A33" s="201"/>
      <c r="B33" s="233" t="s">
        <v>5656</v>
      </c>
      <c r="C33" s="233"/>
      <c r="D33" s="233"/>
      <c r="E33" s="233"/>
      <c r="F33" s="233" t="s">
        <v>5657</v>
      </c>
      <c r="G33" s="233"/>
      <c r="H33" s="233"/>
      <c r="I33" s="233"/>
      <c r="J33" s="233"/>
      <c r="K33" s="233"/>
      <c r="L33" s="233"/>
      <c r="M33" s="233"/>
      <c r="N33" s="233"/>
      <c r="O33" s="233"/>
      <c r="P33" s="233"/>
      <c r="Q33" s="201"/>
      <c r="R33" s="238" t="s">
        <v>5658</v>
      </c>
      <c r="S33" s="238"/>
      <c r="T33" s="238" t="s">
        <v>5659</v>
      </c>
      <c r="U33" s="238"/>
      <c r="V33" s="238"/>
      <c r="W33" s="201"/>
      <c r="X33" s="236" t="s">
        <v>5660</v>
      </c>
      <c r="Y33" s="236"/>
      <c r="Z33" s="236" t="s">
        <v>5661</v>
      </c>
      <c r="AA33" s="236"/>
      <c r="AB33" s="201"/>
      <c r="AC33" s="201"/>
      <c r="AD33" s="210" t="s">
        <v>5662</v>
      </c>
      <c r="AE33" s="210"/>
      <c r="AF33" s="210"/>
      <c r="AG33" s="210"/>
      <c r="AH33" s="210" t="s">
        <v>5663</v>
      </c>
      <c r="AI33" s="210"/>
      <c r="AJ33" s="210"/>
      <c r="AK33" s="210"/>
      <c r="AL33" s="210"/>
      <c r="AM33" s="210" t="s">
        <v>5664</v>
      </c>
      <c r="AN33" s="210"/>
      <c r="AO33" s="210"/>
      <c r="AP33" s="210"/>
      <c r="AQ33" s="210" t="s">
        <v>5665</v>
      </c>
      <c r="AR33" s="210"/>
      <c r="AS33" s="210"/>
      <c r="AT33" s="210"/>
      <c r="AU33" s="210"/>
      <c r="AV33" s="231"/>
      <c r="AW33" s="215" t="s">
        <v>5666</v>
      </c>
      <c r="AX33" s="216"/>
      <c r="AY33" s="216"/>
      <c r="AZ33" s="216"/>
      <c r="BA33" s="216"/>
      <c r="BB33" s="216" t="s">
        <v>5667</v>
      </c>
      <c r="BC33" s="216"/>
      <c r="BD33" s="216"/>
      <c r="BE33" s="216"/>
      <c r="BF33" s="216"/>
      <c r="BG33" s="216"/>
      <c r="BH33" s="216"/>
      <c r="BI33" s="216"/>
      <c r="BJ33" s="216"/>
      <c r="BK33" s="216"/>
      <c r="BL33" s="216"/>
      <c r="BM33" s="216"/>
      <c r="BN33" s="216"/>
      <c r="BO33" s="216"/>
      <c r="BP33" s="216"/>
      <c r="BQ33" s="216"/>
      <c r="BR33" s="216"/>
      <c r="BS33" s="216"/>
      <c r="BT33" s="216"/>
      <c r="BU33" s="216"/>
      <c r="BV33" s="216"/>
      <c r="BW33" s="217"/>
      <c r="BX33" s="232"/>
    </row>
    <row r="34" spans="8:8" s="200" ht="18.0" customFormat="1">
      <c r="A34" s="201"/>
      <c r="B34" s="233" t="s">
        <v>5668</v>
      </c>
      <c r="C34" s="233"/>
      <c r="D34" s="233"/>
      <c r="E34" s="233"/>
      <c r="F34" s="233" t="s">
        <v>5669</v>
      </c>
      <c r="G34" s="233"/>
      <c r="H34" s="233"/>
      <c r="I34" s="233"/>
      <c r="J34" s="233"/>
      <c r="K34" s="233"/>
      <c r="L34" s="233"/>
      <c r="M34" s="233"/>
      <c r="N34" s="233"/>
      <c r="O34" s="233"/>
      <c r="P34" s="233"/>
      <c r="Q34" s="201"/>
      <c r="R34" s="238" t="s">
        <v>5670</v>
      </c>
      <c r="S34" s="238"/>
      <c r="T34" s="238" t="s">
        <v>5671</v>
      </c>
      <c r="U34" s="238"/>
      <c r="V34" s="238"/>
      <c r="W34" s="201"/>
      <c r="X34" s="236" t="s">
        <v>5672</v>
      </c>
      <c r="Y34" s="236"/>
      <c r="Z34" s="236" t="s">
        <v>5673</v>
      </c>
      <c r="AA34" s="236"/>
      <c r="AB34" s="201"/>
      <c r="AC34" s="201"/>
      <c r="AD34" s="210" t="s">
        <v>5674</v>
      </c>
      <c r="AE34" s="210"/>
      <c r="AF34" s="210"/>
      <c r="AG34" s="210"/>
      <c r="AH34" s="210" t="s">
        <v>5675</v>
      </c>
      <c r="AI34" s="210"/>
      <c r="AJ34" s="210"/>
      <c r="AK34" s="210"/>
      <c r="AL34" s="210"/>
      <c r="AM34" s="210" t="s">
        <v>5676</v>
      </c>
      <c r="AN34" s="210"/>
      <c r="AO34" s="210"/>
      <c r="AP34" s="210"/>
      <c r="AQ34" s="210" t="s">
        <v>5677</v>
      </c>
      <c r="AR34" s="210"/>
      <c r="AS34" s="210"/>
      <c r="AT34" s="210"/>
      <c r="AU34" s="210"/>
      <c r="AV34" s="231"/>
      <c r="AW34" s="215" t="s">
        <v>5678</v>
      </c>
      <c r="AX34" s="216"/>
      <c r="AY34" s="216"/>
      <c r="AZ34" s="216"/>
      <c r="BA34" s="216"/>
      <c r="BB34" s="216" t="s">
        <v>5679</v>
      </c>
      <c r="BC34" s="216"/>
      <c r="BD34" s="216"/>
      <c r="BE34" s="216"/>
      <c r="BF34" s="216"/>
      <c r="BG34" s="216"/>
      <c r="BH34" s="216"/>
      <c r="BI34" s="216"/>
      <c r="BJ34" s="216"/>
      <c r="BK34" s="216"/>
      <c r="BL34" s="216"/>
      <c r="BM34" s="216"/>
      <c r="BN34" s="216"/>
      <c r="BO34" s="216"/>
      <c r="BP34" s="216"/>
      <c r="BQ34" s="216"/>
      <c r="BR34" s="216"/>
      <c r="BS34" s="216"/>
      <c r="BT34" s="216"/>
      <c r="BU34" s="216"/>
      <c r="BV34" s="216"/>
      <c r="BW34" s="217"/>
      <c r="BX34" s="232"/>
    </row>
    <row r="35" spans="8:8" s="200" ht="18.0" customFormat="1">
      <c r="A35" s="201"/>
      <c r="B35" s="233" t="s">
        <v>5399</v>
      </c>
      <c r="C35" s="233"/>
      <c r="D35" s="233"/>
      <c r="E35" s="233"/>
      <c r="F35" s="233" t="s">
        <v>5680</v>
      </c>
      <c r="G35" s="233"/>
      <c r="H35" s="233"/>
      <c r="I35" s="233"/>
      <c r="J35" s="233"/>
      <c r="K35" s="233"/>
      <c r="L35" s="233"/>
      <c r="M35" s="233"/>
      <c r="N35" s="233"/>
      <c r="O35" s="233"/>
      <c r="P35" s="233"/>
      <c r="Q35" s="201"/>
      <c r="R35" s="238" t="s">
        <v>5681</v>
      </c>
      <c r="S35" s="238"/>
      <c r="T35" s="238" t="s">
        <v>5682</v>
      </c>
      <c r="U35" s="238"/>
      <c r="V35" s="238"/>
      <c r="W35" s="201"/>
      <c r="X35" s="236" t="s">
        <v>5683</v>
      </c>
      <c r="Y35" s="236"/>
      <c r="Z35" s="236" t="s">
        <v>5684</v>
      </c>
      <c r="AA35" s="236"/>
      <c r="AB35" s="201"/>
      <c r="AC35" s="201"/>
      <c r="AD35" s="210" t="s">
        <v>5685</v>
      </c>
      <c r="AE35" s="210"/>
      <c r="AF35" s="210"/>
      <c r="AG35" s="210"/>
      <c r="AH35" s="210" t="s">
        <v>5686</v>
      </c>
      <c r="AI35" s="210"/>
      <c r="AJ35" s="210"/>
      <c r="AK35" s="210"/>
      <c r="AL35" s="210"/>
      <c r="AM35" s="210" t="s">
        <v>5687</v>
      </c>
      <c r="AN35" s="210"/>
      <c r="AO35" s="210"/>
      <c r="AP35" s="210"/>
      <c r="AQ35" s="210" t="s">
        <v>5688</v>
      </c>
      <c r="AR35" s="210"/>
      <c r="AS35" s="210"/>
      <c r="AT35" s="210"/>
      <c r="AU35" s="210"/>
      <c r="AV35" s="231"/>
      <c r="AW35" s="215" t="s">
        <v>5689</v>
      </c>
      <c r="AX35" s="216"/>
      <c r="AY35" s="216"/>
      <c r="AZ35" s="216"/>
      <c r="BA35" s="216"/>
      <c r="BB35" s="216" t="s">
        <v>5690</v>
      </c>
      <c r="BC35" s="216"/>
      <c r="BD35" s="216"/>
      <c r="BE35" s="216"/>
      <c r="BF35" s="216"/>
      <c r="BG35" s="216"/>
      <c r="BH35" s="216"/>
      <c r="BI35" s="216"/>
      <c r="BJ35" s="216"/>
      <c r="BK35" s="216"/>
      <c r="BL35" s="216"/>
      <c r="BM35" s="216"/>
      <c r="BN35" s="216"/>
      <c r="BO35" s="216"/>
      <c r="BP35" s="216"/>
      <c r="BQ35" s="216"/>
      <c r="BR35" s="216"/>
      <c r="BS35" s="216"/>
      <c r="BT35" s="216"/>
      <c r="BU35" s="216"/>
      <c r="BV35" s="216"/>
      <c r="BW35" s="217"/>
      <c r="BX35" s="232"/>
    </row>
    <row r="36" spans="8:8" s="200" ht="18.0" customFormat="1">
      <c r="A36" s="201"/>
      <c r="B36" s="233" t="s">
        <v>5691</v>
      </c>
      <c r="C36" s="233"/>
      <c r="D36" s="233"/>
      <c r="E36" s="233"/>
      <c r="F36" s="233" t="s">
        <v>5692</v>
      </c>
      <c r="G36" s="233"/>
      <c r="H36" s="233"/>
      <c r="I36" s="233"/>
      <c r="J36" s="233"/>
      <c r="K36" s="233"/>
      <c r="L36" s="233"/>
      <c r="M36" s="233"/>
      <c r="N36" s="233"/>
      <c r="O36" s="233"/>
      <c r="P36" s="233"/>
      <c r="Q36" s="201"/>
      <c r="R36" s="201"/>
      <c r="S36" s="201"/>
      <c r="T36" s="201"/>
      <c r="U36" s="201"/>
      <c r="V36" s="201"/>
      <c r="W36" s="201"/>
      <c r="X36" s="236" t="s">
        <v>5693</v>
      </c>
      <c r="Y36" s="236"/>
      <c r="Z36" s="236" t="s">
        <v>5694</v>
      </c>
      <c r="AA36" s="236"/>
      <c r="AB36" s="201"/>
      <c r="AC36" s="201"/>
      <c r="AD36" s="210" t="s">
        <v>5695</v>
      </c>
      <c r="AE36" s="210"/>
      <c r="AF36" s="210"/>
      <c r="AG36" s="210"/>
      <c r="AH36" s="210" t="s">
        <v>5696</v>
      </c>
      <c r="AI36" s="210"/>
      <c r="AJ36" s="210"/>
      <c r="AK36" s="210"/>
      <c r="AL36" s="210"/>
      <c r="AM36" s="210" t="s">
        <v>5697</v>
      </c>
      <c r="AN36" s="210"/>
      <c r="AO36" s="210"/>
      <c r="AP36" s="210"/>
      <c r="AQ36" s="210" t="s">
        <v>5698</v>
      </c>
      <c r="AR36" s="210"/>
      <c r="AS36" s="210"/>
      <c r="AT36" s="210"/>
      <c r="AU36" s="210"/>
      <c r="AV36" s="231"/>
      <c r="AW36" s="215" t="s">
        <v>5699</v>
      </c>
      <c r="AX36" s="216"/>
      <c r="AY36" s="216"/>
      <c r="AZ36" s="216"/>
      <c r="BA36" s="216"/>
      <c r="BB36" s="216" t="s">
        <v>5700</v>
      </c>
      <c r="BC36" s="216"/>
      <c r="BD36" s="216"/>
      <c r="BE36" s="216"/>
      <c r="BF36" s="216"/>
      <c r="BG36" s="216"/>
      <c r="BH36" s="216"/>
      <c r="BI36" s="216"/>
      <c r="BJ36" s="216"/>
      <c r="BK36" s="216"/>
      <c r="BL36" s="216"/>
      <c r="BM36" s="216"/>
      <c r="BN36" s="216"/>
      <c r="BO36" s="216"/>
      <c r="BP36" s="216"/>
      <c r="BQ36" s="216"/>
      <c r="BR36" s="216"/>
      <c r="BS36" s="216"/>
      <c r="BT36" s="216"/>
      <c r="BU36" s="216"/>
      <c r="BV36" s="216"/>
      <c r="BW36" s="217"/>
      <c r="BX36" s="232"/>
    </row>
    <row r="37" spans="8:8" s="200" ht="29.25" customFormat="1">
      <c r="A37" s="201"/>
      <c r="B37" s="233" t="s">
        <v>5701</v>
      </c>
      <c r="C37" s="233"/>
      <c r="D37" s="233"/>
      <c r="E37" s="233"/>
      <c r="F37" s="233" t="s">
        <v>5702</v>
      </c>
      <c r="G37" s="233"/>
      <c r="H37" s="233"/>
      <c r="I37" s="233"/>
      <c r="J37" s="233"/>
      <c r="K37" s="233"/>
      <c r="L37" s="233"/>
      <c r="M37" s="233"/>
      <c r="N37" s="233"/>
      <c r="O37" s="233"/>
      <c r="P37" s="233"/>
      <c r="Q37" s="201"/>
      <c r="R37" s="239" t="s">
        <v>5703</v>
      </c>
      <c r="S37" s="239"/>
      <c r="T37" s="239"/>
      <c r="U37" s="239"/>
      <c r="V37" s="201"/>
      <c r="W37" s="201"/>
      <c r="X37" s="236" t="s">
        <v>5704</v>
      </c>
      <c r="Y37" s="236"/>
      <c r="Z37" s="236" t="s">
        <v>5705</v>
      </c>
      <c r="AA37" s="236"/>
      <c r="AB37" s="201"/>
      <c r="AC37" s="201"/>
      <c r="AD37" s="210" t="s">
        <v>5706</v>
      </c>
      <c r="AE37" s="210"/>
      <c r="AF37" s="210"/>
      <c r="AG37" s="210"/>
      <c r="AH37" s="210" t="s">
        <v>5707</v>
      </c>
      <c r="AI37" s="210"/>
      <c r="AJ37" s="210"/>
      <c r="AK37" s="210"/>
      <c r="AL37" s="210"/>
      <c r="AM37" s="210" t="s">
        <v>5708</v>
      </c>
      <c r="AN37" s="210"/>
      <c r="AO37" s="210"/>
      <c r="AP37" s="210"/>
      <c r="AQ37" s="210" t="s">
        <v>5709</v>
      </c>
      <c r="AR37" s="210"/>
      <c r="AS37" s="210"/>
      <c r="AT37" s="210"/>
      <c r="AU37" s="210"/>
      <c r="AV37" s="231"/>
      <c r="AW37" s="215" t="s">
        <v>5710</v>
      </c>
      <c r="AX37" s="216"/>
      <c r="AY37" s="216"/>
      <c r="AZ37" s="216"/>
      <c r="BA37" s="216"/>
      <c r="BB37" s="216" t="s">
        <v>5711</v>
      </c>
      <c r="BC37" s="216"/>
      <c r="BD37" s="216"/>
      <c r="BE37" s="216"/>
      <c r="BF37" s="216"/>
      <c r="BG37" s="216"/>
      <c r="BH37" s="216"/>
      <c r="BI37" s="216"/>
      <c r="BJ37" s="216"/>
      <c r="BK37" s="216"/>
      <c r="BL37" s="216"/>
      <c r="BM37" s="216"/>
      <c r="BN37" s="216"/>
      <c r="BO37" s="216"/>
      <c r="BP37" s="216"/>
      <c r="BQ37" s="216"/>
      <c r="BR37" s="216"/>
      <c r="BS37" s="216"/>
      <c r="BT37" s="216"/>
      <c r="BU37" s="216"/>
      <c r="BV37" s="216"/>
      <c r="BW37" s="217"/>
      <c r="BX37" s="232"/>
    </row>
    <row r="38" spans="8:8" s="200" ht="18.0" customFormat="1">
      <c r="A38" s="201"/>
      <c r="B38" s="233" t="s">
        <v>5712</v>
      </c>
      <c r="C38" s="233"/>
      <c r="D38" s="233"/>
      <c r="E38" s="233"/>
      <c r="F38" s="233" t="s">
        <v>5713</v>
      </c>
      <c r="G38" s="233"/>
      <c r="H38" s="233"/>
      <c r="I38" s="233"/>
      <c r="J38" s="233"/>
      <c r="K38" s="233"/>
      <c r="L38" s="233"/>
      <c r="M38" s="233"/>
      <c r="N38" s="233"/>
      <c r="O38" s="233"/>
      <c r="P38" s="233"/>
      <c r="Q38" s="201"/>
      <c r="R38" s="240" t="s">
        <v>5714</v>
      </c>
      <c r="S38" s="240"/>
      <c r="T38" s="240" t="s">
        <v>5715</v>
      </c>
      <c r="U38" s="240"/>
      <c r="V38" s="201"/>
      <c r="W38" s="201"/>
      <c r="X38" s="236" t="s">
        <v>5716</v>
      </c>
      <c r="Y38" s="236"/>
      <c r="Z38" s="236" t="s">
        <v>5717</v>
      </c>
      <c r="AA38" s="236"/>
      <c r="AB38" s="201"/>
      <c r="AC38" s="201"/>
      <c r="AD38" s="210" t="s">
        <v>5718</v>
      </c>
      <c r="AE38" s="210"/>
      <c r="AF38" s="210"/>
      <c r="AG38" s="210"/>
      <c r="AH38" s="210" t="s">
        <v>5719</v>
      </c>
      <c r="AI38" s="210"/>
      <c r="AJ38" s="210"/>
      <c r="AK38" s="210"/>
      <c r="AL38" s="210"/>
      <c r="AM38" s="210" t="s">
        <v>5720</v>
      </c>
      <c r="AN38" s="210"/>
      <c r="AO38" s="210"/>
      <c r="AP38" s="210"/>
      <c r="AQ38" s="210" t="s">
        <v>5721</v>
      </c>
      <c r="AR38" s="210"/>
      <c r="AS38" s="210"/>
      <c r="AT38" s="210"/>
      <c r="AU38" s="210"/>
      <c r="AV38" s="231"/>
      <c r="AW38" s="215" t="s">
        <v>5722</v>
      </c>
      <c r="AX38" s="216"/>
      <c r="AY38" s="216"/>
      <c r="AZ38" s="216"/>
      <c r="BA38" s="216"/>
      <c r="BB38" s="216" t="s">
        <v>5723</v>
      </c>
      <c r="BC38" s="216"/>
      <c r="BD38" s="216"/>
      <c r="BE38" s="216"/>
      <c r="BF38" s="216"/>
      <c r="BG38" s="216"/>
      <c r="BH38" s="216"/>
      <c r="BI38" s="216"/>
      <c r="BJ38" s="216"/>
      <c r="BK38" s="216"/>
      <c r="BL38" s="216"/>
      <c r="BM38" s="216"/>
      <c r="BN38" s="216"/>
      <c r="BO38" s="216"/>
      <c r="BP38" s="216"/>
      <c r="BQ38" s="216"/>
      <c r="BR38" s="216"/>
      <c r="BS38" s="216"/>
      <c r="BT38" s="216"/>
      <c r="BU38" s="216"/>
      <c r="BV38" s="216"/>
      <c r="BW38" s="217"/>
      <c r="BX38" s="232"/>
    </row>
    <row r="39" spans="8:8" s="200" ht="16.15" customFormat="1">
      <c r="A39" s="201"/>
      <c r="B39" s="233" t="s">
        <v>5523</v>
      </c>
      <c r="C39" s="233"/>
      <c r="D39" s="233"/>
      <c r="E39" s="233"/>
      <c r="F39" s="233" t="s">
        <v>5524</v>
      </c>
      <c r="G39" s="233"/>
      <c r="H39" s="233"/>
      <c r="I39" s="233"/>
      <c r="J39" s="233"/>
      <c r="K39" s="233"/>
      <c r="L39" s="233"/>
      <c r="M39" s="233"/>
      <c r="N39" s="233"/>
      <c r="O39" s="233"/>
      <c r="P39" s="233"/>
      <c r="Q39" s="201"/>
      <c r="R39" s="240" t="s">
        <v>5724</v>
      </c>
      <c r="S39" s="240"/>
      <c r="T39" s="240" t="s">
        <v>5725</v>
      </c>
      <c r="U39" s="240"/>
      <c r="V39" s="201"/>
      <c r="W39" s="201"/>
      <c r="X39" s="236" t="s">
        <v>5726</v>
      </c>
      <c r="Y39" s="236"/>
      <c r="Z39" s="236" t="s">
        <v>5727</v>
      </c>
      <c r="AA39" s="236"/>
      <c r="AB39" s="201"/>
      <c r="AC39" s="201"/>
      <c r="AD39" s="210" t="s">
        <v>5728</v>
      </c>
      <c r="AE39" s="210"/>
      <c r="AF39" s="210"/>
      <c r="AG39" s="210"/>
      <c r="AH39" s="210" t="s">
        <v>5729</v>
      </c>
      <c r="AI39" s="210"/>
      <c r="AJ39" s="210"/>
      <c r="AK39" s="210"/>
      <c r="AL39" s="210"/>
      <c r="AM39" s="210" t="s">
        <v>5730</v>
      </c>
      <c r="AN39" s="210"/>
      <c r="AO39" s="210"/>
      <c r="AP39" s="210"/>
      <c r="AQ39" s="210" t="s">
        <v>5750</v>
      </c>
      <c r="AR39" s="210"/>
      <c r="AS39" s="210"/>
      <c r="AT39" s="210"/>
      <c r="AU39" s="210"/>
      <c r="AV39" s="231"/>
      <c r="AW39" s="215" t="s">
        <v>5731</v>
      </c>
      <c r="AX39" s="216"/>
      <c r="AY39" s="216"/>
      <c r="AZ39" s="216"/>
      <c r="BA39" s="216"/>
      <c r="BB39" s="216" t="s">
        <v>5732</v>
      </c>
      <c r="BC39" s="216"/>
      <c r="BD39" s="216"/>
      <c r="BE39" s="216"/>
      <c r="BF39" s="216"/>
      <c r="BG39" s="216"/>
      <c r="BH39" s="216"/>
      <c r="BI39" s="216"/>
      <c r="BJ39" s="216"/>
      <c r="BK39" s="216"/>
      <c r="BL39" s="216"/>
      <c r="BM39" s="216"/>
      <c r="BN39" s="216"/>
      <c r="BO39" s="216"/>
      <c r="BP39" s="216"/>
      <c r="BQ39" s="216"/>
      <c r="BR39" s="216"/>
      <c r="BS39" s="216"/>
      <c r="BT39" s="216"/>
      <c r="BU39" s="216"/>
      <c r="BV39" s="216"/>
      <c r="BW39" s="217"/>
      <c r="BX39" s="232"/>
    </row>
    <row r="40" spans="8:8" ht="18.0">
      <c r="A40" s="201"/>
      <c r="B40" s="201"/>
      <c r="C40" s="201"/>
      <c r="D40" s="201"/>
      <c r="E40" s="201"/>
      <c r="F40" s="201"/>
      <c r="G40" s="201"/>
      <c r="H40" s="201"/>
      <c r="I40" s="201"/>
      <c r="J40" s="201"/>
      <c r="K40" s="201"/>
      <c r="L40" s="201"/>
      <c r="M40" s="201"/>
      <c r="N40" s="201"/>
      <c r="O40" s="201"/>
      <c r="P40" s="201"/>
      <c r="Q40" s="201"/>
      <c r="R40" s="240" t="s">
        <v>5733</v>
      </c>
      <c r="S40" s="240"/>
      <c r="T40" s="240" t="s">
        <v>5734</v>
      </c>
      <c r="U40" s="240"/>
      <c r="V40" s="201"/>
      <c r="W40" s="201"/>
      <c r="X40" s="236" t="s">
        <v>5735</v>
      </c>
      <c r="Y40" s="236"/>
      <c r="Z40" s="236" t="s">
        <v>5736</v>
      </c>
      <c r="AA40" s="236"/>
      <c r="AB40" s="201"/>
      <c r="AC40" s="201"/>
      <c r="AD40" s="210" t="s">
        <v>5737</v>
      </c>
      <c r="AE40" s="210"/>
      <c r="AF40" s="210"/>
      <c r="AG40" s="210"/>
      <c r="AH40" s="210" t="s">
        <v>5738</v>
      </c>
      <c r="AI40" s="210"/>
      <c r="AJ40" s="210"/>
      <c r="AK40" s="210"/>
      <c r="AL40" s="210"/>
      <c r="AM40" s="210" t="s">
        <v>5739</v>
      </c>
      <c r="AN40" s="210"/>
      <c r="AO40" s="210"/>
      <c r="AP40" s="210"/>
      <c r="AQ40" s="210" t="s">
        <v>5740</v>
      </c>
      <c r="AR40" s="210"/>
      <c r="AS40" s="210"/>
      <c r="AT40" s="210"/>
      <c r="AU40" s="210"/>
      <c r="AW40" s="215" t="s">
        <v>5741</v>
      </c>
      <c r="AX40" s="216"/>
      <c r="AY40" s="216"/>
      <c r="AZ40" s="216"/>
      <c r="BA40" s="216"/>
      <c r="BB40" s="216" t="s">
        <v>5742</v>
      </c>
      <c r="BC40" s="216"/>
      <c r="BD40" s="216"/>
      <c r="BE40" s="216"/>
      <c r="BF40" s="216"/>
      <c r="BG40" s="216"/>
      <c r="BH40" s="216"/>
      <c r="BI40" s="216"/>
      <c r="BJ40" s="216"/>
      <c r="BK40" s="216"/>
      <c r="BL40" s="216"/>
      <c r="BM40" s="216"/>
      <c r="BN40" s="216"/>
      <c r="BO40" s="216"/>
      <c r="BP40" s="216"/>
      <c r="BQ40" s="216"/>
      <c r="BR40" s="216"/>
      <c r="BS40" s="216"/>
      <c r="BT40" s="216"/>
      <c r="BU40" s="216"/>
      <c r="BV40" s="216"/>
      <c r="BW40" s="217"/>
    </row>
    <row r="41" spans="8:8" ht="26.55">
      <c r="A41" s="201"/>
      <c r="B41" s="241" t="s">
        <v>5743</v>
      </c>
      <c r="C41" s="241"/>
      <c r="D41" s="241"/>
      <c r="E41" s="241"/>
      <c r="F41" s="241"/>
      <c r="G41" s="241"/>
      <c r="H41" s="201"/>
      <c r="I41" s="204" t="s">
        <v>5744</v>
      </c>
      <c r="J41" s="204"/>
      <c r="K41" s="204"/>
      <c r="L41" s="204"/>
      <c r="R41" s="240" t="s">
        <v>5745</v>
      </c>
      <c r="S41" s="240"/>
      <c r="T41" s="240" t="s">
        <v>5746</v>
      </c>
      <c r="U41" s="240"/>
      <c r="V41" s="201"/>
      <c r="W41" s="201"/>
      <c r="X41" s="236" t="s">
        <v>5747</v>
      </c>
      <c r="Y41" s="236"/>
      <c r="Z41" s="236" t="s">
        <v>5748</v>
      </c>
      <c r="AA41" s="236"/>
      <c r="AB41" s="201"/>
      <c r="AC41" s="201"/>
      <c r="AD41" s="210" t="s">
        <v>5730</v>
      </c>
      <c r="AE41" s="210"/>
      <c r="AF41" s="210"/>
      <c r="AG41" s="210"/>
      <c r="AH41" s="210" t="s">
        <v>5750</v>
      </c>
      <c r="AI41" s="210"/>
      <c r="AJ41" s="210"/>
      <c r="AK41" s="210"/>
      <c r="AL41" s="210"/>
      <c r="AM41" s="210" t="s">
        <v>5751</v>
      </c>
      <c r="AN41" s="210"/>
      <c r="AO41" s="210"/>
      <c r="AP41" s="210"/>
      <c r="AQ41" s="210" t="s">
        <v>5752</v>
      </c>
      <c r="AR41" s="210"/>
      <c r="AS41" s="210"/>
      <c r="AT41" s="210"/>
      <c r="AU41" s="210"/>
      <c r="AW41" s="215" t="s">
        <v>5753</v>
      </c>
      <c r="AX41" s="216"/>
      <c r="AY41" s="216"/>
      <c r="AZ41" s="216"/>
      <c r="BA41" s="216"/>
      <c r="BB41" s="216" t="s">
        <v>5754</v>
      </c>
      <c r="BC41" s="216"/>
      <c r="BD41" s="216"/>
      <c r="BE41" s="216"/>
      <c r="BF41" s="216"/>
      <c r="BG41" s="216"/>
      <c r="BH41" s="216"/>
      <c r="BI41" s="216"/>
      <c r="BJ41" s="216"/>
      <c r="BK41" s="216"/>
      <c r="BL41" s="216"/>
      <c r="BM41" s="216"/>
      <c r="BN41" s="216"/>
      <c r="BO41" s="216"/>
      <c r="BP41" s="216"/>
      <c r="BQ41" s="216"/>
      <c r="BR41" s="216"/>
      <c r="BS41" s="216"/>
      <c r="BT41" s="216"/>
      <c r="BU41" s="216"/>
      <c r="BV41" s="216"/>
      <c r="BW41" s="217"/>
    </row>
    <row r="42" spans="8:8" ht="20.25">
      <c r="A42" s="201"/>
      <c r="B42" s="242" t="s">
        <v>5755</v>
      </c>
      <c r="C42" s="242"/>
      <c r="D42" s="242"/>
      <c r="E42" s="242" t="s">
        <v>10140</v>
      </c>
      <c r="F42" s="242"/>
      <c r="G42" s="242" t="s">
        <v>10141</v>
      </c>
      <c r="H42" s="201"/>
      <c r="I42" s="243" t="s">
        <v>5756</v>
      </c>
      <c r="J42" s="243"/>
      <c r="K42" s="243" t="s">
        <v>5757</v>
      </c>
      <c r="L42" s="243"/>
      <c r="R42" s="240" t="s">
        <v>5758</v>
      </c>
      <c r="S42" s="240"/>
      <c r="T42" s="240" t="s">
        <v>5759</v>
      </c>
      <c r="U42" s="240"/>
      <c r="V42" s="201"/>
      <c r="X42" s="236" t="s">
        <v>5760</v>
      </c>
      <c r="Y42" s="236"/>
      <c r="Z42" s="236" t="s">
        <v>5761</v>
      </c>
      <c r="AA42" s="236"/>
      <c r="AB42" s="201"/>
      <c r="AC42" s="201"/>
      <c r="AD42" s="210" t="s">
        <v>5751</v>
      </c>
      <c r="AE42" s="210"/>
      <c r="AF42" s="210"/>
      <c r="AG42" s="210"/>
      <c r="AH42" s="210" t="s">
        <v>5762</v>
      </c>
      <c r="AI42" s="210"/>
      <c r="AJ42" s="210"/>
      <c r="AK42" s="210"/>
      <c r="AL42" s="210"/>
      <c r="AM42" s="210" t="s">
        <v>5763</v>
      </c>
      <c r="AN42" s="210"/>
      <c r="AO42" s="210"/>
      <c r="AP42" s="210"/>
      <c r="AQ42" s="210" t="s">
        <v>5764</v>
      </c>
      <c r="AR42" s="210"/>
      <c r="AS42" s="210"/>
      <c r="AT42" s="210"/>
      <c r="AU42" s="210"/>
      <c r="AW42" s="215" t="s">
        <v>5765</v>
      </c>
      <c r="AX42" s="216"/>
      <c r="AY42" s="216"/>
      <c r="AZ42" s="216"/>
      <c r="BA42" s="216"/>
      <c r="BB42" s="216" t="s">
        <v>5766</v>
      </c>
      <c r="BC42" s="216"/>
      <c r="BD42" s="216"/>
      <c r="BE42" s="216"/>
      <c r="BF42" s="216"/>
      <c r="BG42" s="216"/>
      <c r="BH42" s="216"/>
      <c r="BI42" s="216"/>
      <c r="BJ42" s="216"/>
      <c r="BK42" s="216"/>
      <c r="BL42" s="216"/>
      <c r="BM42" s="216"/>
      <c r="BN42" s="216"/>
      <c r="BO42" s="216"/>
      <c r="BP42" s="216"/>
      <c r="BQ42" s="216"/>
      <c r="BR42" s="216"/>
      <c r="BS42" s="216"/>
      <c r="BT42" s="216"/>
      <c r="BU42" s="216"/>
      <c r="BV42" s="216"/>
      <c r="BW42" s="217"/>
    </row>
    <row r="43" spans="8:8" ht="80.4">
      <c r="A43" s="201"/>
      <c r="B43" s="244" t="s">
        <v>5767</v>
      </c>
      <c r="C43" s="244"/>
      <c r="D43" s="244"/>
      <c r="E43" s="244" t="s">
        <v>10138</v>
      </c>
      <c r="F43" s="244"/>
      <c r="G43" s="244" t="str">
        <f>_xlfn.DISPIMG("ID_274A69CCF6B14D6B872CB975D09B7D43",1)</f>
        <v>=DISPIMG("ID_274A69CCF6B14D6B872CB975D09B7D43",1)</v>
      </c>
      <c r="H43" s="201"/>
      <c r="I43" s="243" t="s">
        <v>5769</v>
      </c>
      <c r="J43" s="243"/>
      <c r="K43" s="243" t="s">
        <v>5770</v>
      </c>
      <c r="L43" s="243"/>
      <c r="R43" s="240" t="s">
        <v>5771</v>
      </c>
      <c r="S43" s="240"/>
      <c r="T43" s="240" t="s">
        <v>5772</v>
      </c>
      <c r="U43" s="240"/>
      <c r="V43" s="201"/>
      <c r="X43" s="236" t="s">
        <v>5773</v>
      </c>
      <c r="Y43" s="236"/>
      <c r="Z43" s="236" t="s">
        <v>5774</v>
      </c>
      <c r="AA43" s="236"/>
      <c r="AB43" s="201"/>
      <c r="AC43" s="201"/>
      <c r="AD43" s="210" t="s">
        <v>5775</v>
      </c>
      <c r="AE43" s="210"/>
      <c r="AF43" s="210"/>
      <c r="AG43" s="210"/>
      <c r="AH43" s="210" t="s">
        <v>5776</v>
      </c>
      <c r="AI43" s="210"/>
      <c r="AJ43" s="210"/>
      <c r="AK43" s="210"/>
      <c r="AL43" s="210"/>
      <c r="AM43" s="210" t="s">
        <v>5777</v>
      </c>
      <c r="AN43" s="210"/>
      <c r="AO43" s="210"/>
      <c r="AP43" s="210"/>
      <c r="AQ43" s="210" t="s">
        <v>5778</v>
      </c>
      <c r="AR43" s="210"/>
      <c r="AS43" s="210"/>
      <c r="AT43" s="210"/>
      <c r="AU43" s="210"/>
      <c r="AW43" s="215" t="s">
        <v>5779</v>
      </c>
      <c r="AX43" s="216"/>
      <c r="AY43" s="216"/>
      <c r="AZ43" s="216"/>
      <c r="BA43" s="216"/>
      <c r="BB43" s="216" t="s">
        <v>5780</v>
      </c>
      <c r="BC43" s="216"/>
      <c r="BD43" s="216"/>
      <c r="BE43" s="216"/>
      <c r="BF43" s="216"/>
      <c r="BG43" s="216"/>
      <c r="BH43" s="216"/>
      <c r="BI43" s="216"/>
      <c r="BJ43" s="216"/>
      <c r="BK43" s="216"/>
      <c r="BL43" s="216"/>
      <c r="BM43" s="216"/>
      <c r="BN43" s="216"/>
      <c r="BO43" s="216"/>
      <c r="BP43" s="216"/>
      <c r="BQ43" s="216"/>
      <c r="BR43" s="216"/>
      <c r="BS43" s="216"/>
      <c r="BT43" s="216"/>
      <c r="BU43" s="216"/>
      <c r="BV43" s="216"/>
      <c r="BW43" s="217"/>
    </row>
    <row r="44" spans="8:8" ht="32.7">
      <c r="A44" s="201"/>
      <c r="B44" s="244" t="s">
        <v>5781</v>
      </c>
      <c r="C44" s="244"/>
      <c r="D44" s="244"/>
      <c r="E44" s="244" t="s">
        <v>5782</v>
      </c>
      <c r="F44" s="244"/>
      <c r="G44" s="244" t="str">
        <f>_xlfn.DISPIMG("ID_DC97B0C0A6D94099BEF648E534FD8C3D",1)</f>
        <v>=DISPIMG("ID_DC97B0C0A6D94099BEF648E534FD8C3D",1)</v>
      </c>
      <c r="H44" s="201"/>
      <c r="I44" s="243" t="s">
        <v>5064</v>
      </c>
      <c r="J44" s="243"/>
      <c r="K44" s="243" t="s">
        <v>5065</v>
      </c>
      <c r="L44" s="243"/>
      <c r="R44" s="240" t="s">
        <v>5783</v>
      </c>
      <c r="S44" s="240"/>
      <c r="T44" s="240" t="s">
        <v>5784</v>
      </c>
      <c r="U44" s="240"/>
      <c r="V44" s="201"/>
      <c r="X44" s="236" t="s">
        <v>5186</v>
      </c>
      <c r="Y44" s="236"/>
      <c r="Z44" s="236" t="s">
        <v>5785</v>
      </c>
      <c r="AA44" s="236"/>
      <c r="AB44" s="201"/>
      <c r="AC44" s="201"/>
      <c r="AD44" s="210" t="s">
        <v>5786</v>
      </c>
      <c r="AE44" s="210"/>
      <c r="AF44" s="210"/>
      <c r="AG44" s="210"/>
      <c r="AH44" s="210" t="s">
        <v>5787</v>
      </c>
      <c r="AI44" s="210"/>
      <c r="AJ44" s="210"/>
      <c r="AK44" s="210"/>
      <c r="AL44" s="210"/>
      <c r="AM44" s="210" t="s">
        <v>5788</v>
      </c>
      <c r="AN44" s="210"/>
      <c r="AO44" s="210"/>
      <c r="AP44" s="210"/>
      <c r="AQ44" s="210" t="s">
        <v>5789</v>
      </c>
      <c r="AR44" s="210"/>
      <c r="AS44" s="210"/>
      <c r="AT44" s="210"/>
      <c r="AU44" s="210"/>
      <c r="AW44" s="215" t="s">
        <v>5790</v>
      </c>
      <c r="AX44" s="216"/>
      <c r="AY44" s="216"/>
      <c r="AZ44" s="216"/>
      <c r="BA44" s="216"/>
      <c r="BB44" s="216" t="s">
        <v>5791</v>
      </c>
      <c r="BC44" s="216"/>
      <c r="BD44" s="216"/>
      <c r="BE44" s="216"/>
      <c r="BF44" s="216"/>
      <c r="BG44" s="216"/>
      <c r="BH44" s="216"/>
      <c r="BI44" s="216"/>
      <c r="BJ44" s="216"/>
      <c r="BK44" s="216"/>
      <c r="BL44" s="216"/>
      <c r="BM44" s="216"/>
      <c r="BN44" s="216"/>
      <c r="BO44" s="216"/>
      <c r="BP44" s="216"/>
      <c r="BQ44" s="216"/>
      <c r="BR44" s="216"/>
      <c r="BS44" s="216"/>
      <c r="BT44" s="216"/>
      <c r="BU44" s="216"/>
      <c r="BV44" s="216"/>
      <c r="BW44" s="217"/>
    </row>
    <row r="45" spans="8:8" ht="30.05">
      <c r="A45" s="201"/>
      <c r="B45" s="244" t="s">
        <v>5792</v>
      </c>
      <c r="C45" s="244"/>
      <c r="D45" s="244"/>
      <c r="E45" s="244" t="s">
        <v>5793</v>
      </c>
      <c r="F45" s="244"/>
      <c r="G45" s="244" t="str">
        <f>_xlfn.DISPIMG("ID_F44486B7FFC2409797B2E46B3981B475",1)</f>
        <v>=DISPIMG("ID_F44486B7FFC2409797B2E46B3981B475",1)</v>
      </c>
      <c r="H45" s="201"/>
      <c r="I45" s="243" t="s">
        <v>5794</v>
      </c>
      <c r="J45" s="243"/>
      <c r="K45" s="243" t="s">
        <v>5795</v>
      </c>
      <c r="L45" s="243"/>
      <c r="V45" s="201"/>
      <c r="X45" s="236" t="s">
        <v>5796</v>
      </c>
      <c r="Y45" s="236"/>
      <c r="Z45" s="236" t="s">
        <v>5797</v>
      </c>
      <c r="AA45" s="236"/>
      <c r="AB45" s="201"/>
      <c r="AC45" s="201"/>
      <c r="AD45" s="210" t="s">
        <v>5640</v>
      </c>
      <c r="AE45" s="210"/>
      <c r="AF45" s="210"/>
      <c r="AG45" s="210"/>
      <c r="AH45" s="210" t="s">
        <v>5641</v>
      </c>
      <c r="AI45" s="210"/>
      <c r="AJ45" s="210"/>
      <c r="AK45" s="210"/>
      <c r="AL45" s="210"/>
      <c r="AM45" s="210" t="s">
        <v>5798</v>
      </c>
      <c r="AN45" s="210"/>
      <c r="AO45" s="210"/>
      <c r="AP45" s="210"/>
      <c r="AQ45" s="210" t="s">
        <v>5799</v>
      </c>
      <c r="AR45" s="210"/>
      <c r="AS45" s="210"/>
      <c r="AT45" s="210"/>
      <c r="AU45" s="210"/>
      <c r="AW45" s="215" t="s">
        <v>5800</v>
      </c>
      <c r="AX45" s="216"/>
      <c r="AY45" s="216"/>
      <c r="AZ45" s="216"/>
      <c r="BA45" s="216"/>
      <c r="BB45" s="216" t="s">
        <v>5801</v>
      </c>
      <c r="BC45" s="216"/>
      <c r="BD45" s="216"/>
      <c r="BE45" s="216"/>
      <c r="BF45" s="216"/>
      <c r="BG45" s="216"/>
      <c r="BH45" s="216"/>
      <c r="BI45" s="216"/>
      <c r="BJ45" s="216"/>
      <c r="BK45" s="216"/>
      <c r="BL45" s="216"/>
      <c r="BM45" s="216"/>
      <c r="BN45" s="216"/>
      <c r="BO45" s="216"/>
      <c r="BP45" s="216"/>
      <c r="BQ45" s="216"/>
      <c r="BR45" s="216"/>
      <c r="BS45" s="216"/>
      <c r="BT45" s="216"/>
      <c r="BU45" s="216"/>
      <c r="BV45" s="216"/>
      <c r="BW45" s="217"/>
    </row>
    <row r="46" spans="8:8" ht="30.05">
      <c r="A46" s="201"/>
      <c r="B46" s="244" t="s">
        <v>5802</v>
      </c>
      <c r="C46" s="244"/>
      <c r="D46" s="244"/>
      <c r="E46" s="244" t="s">
        <v>5803</v>
      </c>
      <c r="F46" s="244"/>
      <c r="G46" s="244" t="str">
        <f>_xlfn.DISPIMG("ID_179AB8F41C5B453F82CF79871A91425A",1)</f>
        <v>=DISPIMG("ID_179AB8F41C5B453F82CF79871A91425A",1)</v>
      </c>
      <c r="H46" s="201"/>
      <c r="I46" s="243" t="s">
        <v>5804</v>
      </c>
      <c r="J46" s="243"/>
      <c r="K46" s="243" t="s">
        <v>5805</v>
      </c>
      <c r="L46" s="243"/>
      <c r="N46" s="245" t="s">
        <v>5806</v>
      </c>
      <c r="O46" s="246"/>
      <c r="P46" s="246"/>
      <c r="Q46" s="246"/>
      <c r="R46" s="246"/>
      <c r="S46" s="246"/>
      <c r="T46" s="246"/>
      <c r="U46" s="246"/>
      <c r="V46" s="201"/>
      <c r="X46" s="236" t="s">
        <v>5807</v>
      </c>
      <c r="Y46" s="236"/>
      <c r="Z46" s="236" t="s">
        <v>5808</v>
      </c>
      <c r="AA46" s="236"/>
      <c r="AB46" s="201"/>
      <c r="AC46" s="201"/>
      <c r="AD46" s="210" t="s">
        <v>5809</v>
      </c>
      <c r="AE46" s="210"/>
      <c r="AF46" s="210"/>
      <c r="AG46" s="210"/>
      <c r="AH46" s="210" t="s">
        <v>5810</v>
      </c>
      <c r="AI46" s="210"/>
      <c r="AJ46" s="210"/>
      <c r="AK46" s="210"/>
      <c r="AL46" s="210"/>
      <c r="AM46" s="210" t="s">
        <v>5811</v>
      </c>
      <c r="AN46" s="210"/>
      <c r="AO46" s="210"/>
      <c r="AP46" s="210"/>
      <c r="AQ46" s="210" t="s">
        <v>5812</v>
      </c>
      <c r="AR46" s="210"/>
      <c r="AS46" s="210"/>
      <c r="AT46" s="210"/>
      <c r="AU46" s="210"/>
      <c r="AW46" s="215" t="s">
        <v>5813</v>
      </c>
      <c r="AX46" s="216"/>
      <c r="AY46" s="216"/>
      <c r="AZ46" s="216"/>
      <c r="BA46" s="216"/>
      <c r="BB46" s="216" t="s">
        <v>5814</v>
      </c>
      <c r="BC46" s="216"/>
      <c r="BD46" s="216"/>
      <c r="BE46" s="216"/>
      <c r="BF46" s="216"/>
      <c r="BG46" s="216"/>
      <c r="BH46" s="216"/>
      <c r="BI46" s="216"/>
      <c r="BJ46" s="216"/>
      <c r="BK46" s="216"/>
      <c r="BL46" s="216"/>
      <c r="BM46" s="216"/>
      <c r="BN46" s="216"/>
      <c r="BO46" s="216"/>
      <c r="BP46" s="216"/>
      <c r="BQ46" s="216"/>
      <c r="BR46" s="216"/>
      <c r="BS46" s="216"/>
      <c r="BT46" s="216"/>
      <c r="BU46" s="216"/>
      <c r="BV46" s="216"/>
      <c r="BW46" s="217"/>
    </row>
    <row r="47" spans="8:8" ht="45.1">
      <c r="A47" s="201"/>
      <c r="B47" s="244" t="s">
        <v>5815</v>
      </c>
      <c r="C47" s="244"/>
      <c r="D47" s="244"/>
      <c r="E47" s="244" t="s">
        <v>5816</v>
      </c>
      <c r="F47" s="244"/>
      <c r="G47" s="244" t="str">
        <f>_xlfn.DISPIMG("ID_2C176A755EC2498FA8C10C31EE41AED9",1)</f>
        <v>=DISPIMG("ID_2C176A755EC2498FA8C10C31EE41AED9",1)</v>
      </c>
      <c r="H47" s="201"/>
      <c r="I47" s="243" t="s">
        <v>5817</v>
      </c>
      <c r="J47" s="243"/>
      <c r="K47" s="243" t="s">
        <v>3753</v>
      </c>
      <c r="L47" s="243"/>
      <c r="N47" s="247" t="s">
        <v>2455</v>
      </c>
      <c r="O47" s="247"/>
      <c r="P47" s="247"/>
      <c r="Q47" s="247"/>
      <c r="R47" s="247" t="s">
        <v>5186</v>
      </c>
      <c r="S47" s="247"/>
      <c r="T47" s="247"/>
      <c r="U47" s="247"/>
      <c r="V47" s="201"/>
      <c r="X47" s="236" t="s">
        <v>5818</v>
      </c>
      <c r="Y47" s="236"/>
      <c r="Z47" s="236" t="s">
        <v>5819</v>
      </c>
      <c r="AA47" s="236"/>
      <c r="AB47" s="201"/>
      <c r="AC47" s="201"/>
      <c r="AD47" s="210" t="s">
        <v>5820</v>
      </c>
      <c r="AE47" s="210"/>
      <c r="AF47" s="210"/>
      <c r="AG47" s="210"/>
      <c r="AH47" s="210" t="s">
        <v>5821</v>
      </c>
      <c r="AI47" s="210"/>
      <c r="AJ47" s="210"/>
      <c r="AK47" s="210"/>
      <c r="AL47" s="210"/>
      <c r="AM47" s="210" t="s">
        <v>5822</v>
      </c>
      <c r="AN47" s="210"/>
      <c r="AO47" s="210"/>
      <c r="AP47" s="210"/>
      <c r="AQ47" s="210" t="s">
        <v>5823</v>
      </c>
      <c r="AR47" s="210"/>
      <c r="AS47" s="210"/>
      <c r="AT47" s="210"/>
      <c r="AU47" s="210"/>
      <c r="AW47" s="215" t="s">
        <v>5824</v>
      </c>
      <c r="AX47" s="216"/>
      <c r="AY47" s="216"/>
      <c r="AZ47" s="216"/>
      <c r="BA47" s="216"/>
      <c r="BB47" s="216" t="s">
        <v>5825</v>
      </c>
      <c r="BC47" s="216"/>
      <c r="BD47" s="216"/>
      <c r="BE47" s="216"/>
      <c r="BF47" s="216"/>
      <c r="BG47" s="216"/>
      <c r="BH47" s="216"/>
      <c r="BI47" s="216"/>
      <c r="BJ47" s="216"/>
      <c r="BK47" s="216"/>
      <c r="BL47" s="216"/>
      <c r="BM47" s="216"/>
      <c r="BN47" s="216"/>
      <c r="BO47" s="216"/>
      <c r="BP47" s="216"/>
      <c r="BQ47" s="216"/>
      <c r="BR47" s="216"/>
      <c r="BS47" s="216"/>
      <c r="BT47" s="216"/>
      <c r="BU47" s="216"/>
      <c r="BV47" s="216"/>
      <c r="BW47" s="217"/>
    </row>
    <row r="48" spans="8:8" ht="45.1">
      <c r="A48" s="201"/>
      <c r="B48" s="244" t="s">
        <v>5826</v>
      </c>
      <c r="C48" s="244"/>
      <c r="D48" s="244"/>
      <c r="E48" s="244" t="s">
        <v>5827</v>
      </c>
      <c r="F48" s="244"/>
      <c r="G48" s="244" t="str">
        <f>_xlfn.DISPIMG("ID_6DFC656A84F7428089232418156886E0",1)</f>
        <v>=DISPIMG("ID_6DFC656A84F7428089232418156886E0",1)</v>
      </c>
      <c r="H48" s="201"/>
      <c r="I48" s="243" t="s">
        <v>5828</v>
      </c>
      <c r="J48" s="243"/>
      <c r="K48" s="243" t="s">
        <v>5829</v>
      </c>
      <c r="L48" s="243"/>
      <c r="N48" s="247" t="s">
        <v>1091</v>
      </c>
      <c r="O48" s="247"/>
      <c r="P48" s="247"/>
      <c r="Q48" s="247"/>
      <c r="R48" s="247" t="s">
        <v>5419</v>
      </c>
      <c r="S48" s="247"/>
      <c r="T48" s="247"/>
      <c r="U48" s="247"/>
      <c r="V48" s="201"/>
      <c r="X48" s="236" t="s">
        <v>5830</v>
      </c>
      <c r="Y48" s="236"/>
      <c r="Z48" s="236" t="s">
        <v>5831</v>
      </c>
      <c r="AA48" s="236"/>
      <c r="AB48" s="201"/>
      <c r="AC48" s="201"/>
      <c r="AD48" s="210" t="s">
        <v>5832</v>
      </c>
      <c r="AE48" s="210"/>
      <c r="AF48" s="210"/>
      <c r="AG48" s="210"/>
      <c r="AH48" s="210" t="s">
        <v>5833</v>
      </c>
      <c r="AI48" s="210"/>
      <c r="AJ48" s="210"/>
      <c r="AK48" s="210"/>
      <c r="AL48" s="210"/>
      <c r="AM48" s="210" t="s">
        <v>5834</v>
      </c>
      <c r="AN48" s="210"/>
      <c r="AO48" s="210"/>
      <c r="AP48" s="210"/>
      <c r="AQ48" s="210" t="s">
        <v>5835</v>
      </c>
      <c r="AR48" s="210"/>
      <c r="AS48" s="210"/>
      <c r="AT48" s="210"/>
      <c r="AU48" s="210"/>
      <c r="AW48" s="215" t="s">
        <v>5836</v>
      </c>
      <c r="AX48" s="216"/>
      <c r="AY48" s="216"/>
      <c r="AZ48" s="216"/>
      <c r="BA48" s="216"/>
      <c r="BB48" s="216" t="s">
        <v>5837</v>
      </c>
      <c r="BC48" s="216"/>
      <c r="BD48" s="216"/>
      <c r="BE48" s="216"/>
      <c r="BF48" s="216"/>
      <c r="BG48" s="216"/>
      <c r="BH48" s="216"/>
      <c r="BI48" s="216"/>
      <c r="BJ48" s="216"/>
      <c r="BK48" s="216"/>
      <c r="BL48" s="216"/>
      <c r="BM48" s="216"/>
      <c r="BN48" s="216"/>
      <c r="BO48" s="216"/>
      <c r="BP48" s="216"/>
      <c r="BQ48" s="216"/>
      <c r="BR48" s="216"/>
      <c r="BS48" s="216"/>
      <c r="BT48" s="216"/>
      <c r="BU48" s="216"/>
      <c r="BV48" s="216"/>
      <c r="BW48" s="217"/>
    </row>
    <row r="49" spans="8:8" ht="22.35">
      <c r="A49" s="201"/>
      <c r="B49" s="244" t="s">
        <v>5838</v>
      </c>
      <c r="C49" s="244"/>
      <c r="D49" s="244"/>
      <c r="E49" s="244" t="s">
        <v>5839</v>
      </c>
      <c r="F49" s="244"/>
      <c r="G49" s="244" t="str">
        <f>_xlfn.DISPIMG("ID_05E4BA6E781F4FDF8A23F75C9DC9525F",1)</f>
        <v>=DISPIMG("ID_05E4BA6E781F4FDF8A23F75C9DC9525F",1)</v>
      </c>
      <c r="H49" s="201"/>
      <c r="I49" s="243" t="s">
        <v>5840</v>
      </c>
      <c r="J49" s="243"/>
      <c r="K49" s="243" t="s">
        <v>4201</v>
      </c>
      <c r="L49" s="243"/>
      <c r="N49" s="247" t="s">
        <v>5841</v>
      </c>
      <c r="O49" s="247"/>
      <c r="P49" s="247"/>
      <c r="Q49" s="247"/>
      <c r="R49" s="247" t="s">
        <v>5842</v>
      </c>
      <c r="S49" s="247"/>
      <c r="T49" s="247"/>
      <c r="U49" s="247"/>
      <c r="V49" s="201"/>
      <c r="X49" s="236" t="s">
        <v>5843</v>
      </c>
      <c r="Y49" s="236"/>
      <c r="Z49" s="236" t="s">
        <v>5844</v>
      </c>
      <c r="AA49" s="236"/>
      <c r="AB49" s="201"/>
      <c r="AC49" s="201"/>
      <c r="AD49" s="210" t="s">
        <v>5845</v>
      </c>
      <c r="AE49" s="210"/>
      <c r="AF49" s="210"/>
      <c r="AG49" s="210"/>
      <c r="AH49" s="210" t="s">
        <v>5846</v>
      </c>
      <c r="AI49" s="210"/>
      <c r="AJ49" s="210"/>
      <c r="AK49" s="210"/>
      <c r="AL49" s="210"/>
      <c r="AM49" s="210" t="s">
        <v>5847</v>
      </c>
      <c r="AN49" s="210"/>
      <c r="AO49" s="210"/>
      <c r="AP49" s="210"/>
      <c r="AQ49" s="210" t="s">
        <v>5848</v>
      </c>
      <c r="AR49" s="210"/>
      <c r="AS49" s="210"/>
      <c r="AT49" s="210"/>
      <c r="AU49" s="210"/>
      <c r="AW49" s="215" t="s">
        <v>5849</v>
      </c>
      <c r="AX49" s="216"/>
      <c r="AY49" s="216"/>
      <c r="AZ49" s="216"/>
      <c r="BA49" s="216"/>
      <c r="BB49" s="216" t="s">
        <v>5850</v>
      </c>
      <c r="BC49" s="216"/>
      <c r="BD49" s="216"/>
      <c r="BE49" s="216"/>
      <c r="BF49" s="216"/>
      <c r="BG49" s="216"/>
      <c r="BH49" s="216"/>
      <c r="BI49" s="216"/>
      <c r="BJ49" s="216"/>
      <c r="BK49" s="216"/>
      <c r="BL49" s="216"/>
      <c r="BM49" s="216"/>
      <c r="BN49" s="216"/>
      <c r="BO49" s="216"/>
      <c r="BP49" s="216"/>
      <c r="BQ49" s="216"/>
      <c r="BR49" s="216"/>
      <c r="BS49" s="216"/>
      <c r="BT49" s="216"/>
      <c r="BU49" s="216"/>
      <c r="BV49" s="216"/>
      <c r="BW49" s="217"/>
    </row>
    <row r="50" spans="8:8" ht="22.35">
      <c r="A50" s="201"/>
      <c r="B50" s="244" t="s">
        <v>5851</v>
      </c>
      <c r="C50" s="244"/>
      <c r="D50" s="244"/>
      <c r="E50" s="244" t="s">
        <v>5852</v>
      </c>
      <c r="F50" s="244"/>
      <c r="G50" s="244" t="str">
        <f>_xlfn.DISPIMG("ID_026F1B45F7954BABAAEF04602AED2FBD",1)</f>
        <v>=DISPIMG("ID_026F1B45F7954BABAAEF04602AED2FBD",1)</v>
      </c>
      <c r="H50" s="201"/>
      <c r="I50" s="243" t="s">
        <v>5853</v>
      </c>
      <c r="J50" s="243"/>
      <c r="K50" s="243" t="s">
        <v>5854</v>
      </c>
      <c r="L50" s="243"/>
      <c r="N50" s="247" t="s">
        <v>5855</v>
      </c>
      <c r="O50" s="247"/>
      <c r="P50" s="247"/>
      <c r="Q50" s="247"/>
      <c r="R50" s="247" t="s">
        <v>5856</v>
      </c>
      <c r="S50" s="247"/>
      <c r="T50" s="247"/>
      <c r="U50" s="247"/>
      <c r="V50" s="201"/>
      <c r="X50" s="236" t="s">
        <v>5857</v>
      </c>
      <c r="Y50" s="236"/>
      <c r="Z50" s="236" t="s">
        <v>5858</v>
      </c>
      <c r="AA50" s="236"/>
      <c r="AB50" s="201"/>
      <c r="AC50" s="201"/>
      <c r="AD50" s="210" t="s">
        <v>5859</v>
      </c>
      <c r="AE50" s="210"/>
      <c r="AF50" s="210"/>
      <c r="AG50" s="210"/>
      <c r="AH50" s="210" t="s">
        <v>5860</v>
      </c>
      <c r="AI50" s="210"/>
      <c r="AJ50" s="210"/>
      <c r="AK50" s="210"/>
      <c r="AL50" s="210"/>
      <c r="AM50" s="210" t="s">
        <v>5861</v>
      </c>
      <c r="AN50" s="210"/>
      <c r="AO50" s="210"/>
      <c r="AP50" s="210"/>
      <c r="AQ50" s="210" t="s">
        <v>5862</v>
      </c>
      <c r="AR50" s="210"/>
      <c r="AS50" s="210"/>
      <c r="AT50" s="210"/>
      <c r="AU50" s="210"/>
      <c r="AW50" s="215" t="s">
        <v>5863</v>
      </c>
      <c r="AX50" s="216"/>
      <c r="AY50" s="216"/>
      <c r="AZ50" s="216"/>
      <c r="BA50" s="216"/>
      <c r="BB50" s="216" t="s">
        <v>5864</v>
      </c>
      <c r="BC50" s="216"/>
      <c r="BD50" s="216"/>
      <c r="BE50" s="216"/>
      <c r="BF50" s="216"/>
      <c r="BG50" s="216"/>
      <c r="BH50" s="216"/>
      <c r="BI50" s="216"/>
      <c r="BJ50" s="216"/>
      <c r="BK50" s="216"/>
      <c r="BL50" s="216"/>
      <c r="BM50" s="216"/>
      <c r="BN50" s="216"/>
      <c r="BO50" s="216"/>
      <c r="BP50" s="216"/>
      <c r="BQ50" s="216"/>
      <c r="BR50" s="216"/>
      <c r="BS50" s="216"/>
      <c r="BT50" s="216"/>
      <c r="BU50" s="216"/>
      <c r="BV50" s="216"/>
      <c r="BW50" s="217"/>
    </row>
    <row r="51" spans="8:8" ht="63.15">
      <c r="A51" s="201"/>
      <c r="B51" s="244" t="s">
        <v>5865</v>
      </c>
      <c r="C51" s="244"/>
      <c r="D51" s="244"/>
      <c r="E51" s="244" t="s">
        <v>5866</v>
      </c>
      <c r="F51" s="244"/>
      <c r="G51" s="244" t="str">
        <f>_xlfn.DISPIMG("ID_00C53C6DBF014724BD57603570ED6B96",1)</f>
        <v>=DISPIMG("ID_00C53C6DBF014724BD57603570ED6B96",1)</v>
      </c>
      <c r="H51" s="201"/>
      <c r="I51" s="243" t="s">
        <v>10092</v>
      </c>
      <c r="J51" s="243"/>
      <c r="K51" s="243" t="s">
        <v>10093</v>
      </c>
      <c r="L51" s="243"/>
      <c r="N51" s="247" t="s">
        <v>5868</v>
      </c>
      <c r="O51" s="247"/>
      <c r="P51" s="247"/>
      <c r="Q51" s="247"/>
      <c r="R51" s="247" t="s">
        <v>5869</v>
      </c>
      <c r="S51" s="247"/>
      <c r="T51" s="247"/>
      <c r="U51" s="247"/>
      <c r="V51" s="201"/>
      <c r="X51" s="236" t="s">
        <v>5870</v>
      </c>
      <c r="Y51" s="236"/>
      <c r="Z51" s="236" t="s">
        <v>5871</v>
      </c>
      <c r="AA51" s="236"/>
      <c r="AB51" s="201"/>
      <c r="AC51" s="201"/>
      <c r="AD51" s="210" t="s">
        <v>5872</v>
      </c>
      <c r="AE51" s="210"/>
      <c r="AF51" s="210"/>
      <c r="AG51" s="210"/>
      <c r="AH51" s="210" t="s">
        <v>5873</v>
      </c>
      <c r="AI51" s="210"/>
      <c r="AJ51" s="210"/>
      <c r="AK51" s="210"/>
      <c r="AL51" s="210"/>
      <c r="AM51" s="210" t="s">
        <v>5874</v>
      </c>
      <c r="AN51" s="210"/>
      <c r="AO51" s="210"/>
      <c r="AP51" s="210"/>
      <c r="AQ51" s="210" t="s">
        <v>5875</v>
      </c>
      <c r="AR51" s="210"/>
      <c r="AS51" s="210"/>
      <c r="AT51" s="210"/>
      <c r="AU51" s="210"/>
      <c r="AW51" s="215" t="s">
        <v>5876</v>
      </c>
      <c r="AX51" s="216"/>
      <c r="AY51" s="216"/>
      <c r="AZ51" s="216"/>
      <c r="BA51" s="216"/>
      <c r="BB51" s="216" t="s">
        <v>5877</v>
      </c>
      <c r="BC51" s="216"/>
      <c r="BD51" s="216"/>
      <c r="BE51" s="216"/>
      <c r="BF51" s="216"/>
      <c r="BG51" s="216"/>
      <c r="BH51" s="216"/>
      <c r="BI51" s="216"/>
      <c r="BJ51" s="216"/>
      <c r="BK51" s="216"/>
      <c r="BL51" s="216"/>
      <c r="BM51" s="216"/>
      <c r="BN51" s="216"/>
      <c r="BO51" s="216"/>
      <c r="BP51" s="216"/>
      <c r="BQ51" s="216"/>
      <c r="BR51" s="216"/>
      <c r="BS51" s="216"/>
      <c r="BT51" s="216"/>
      <c r="BU51" s="216"/>
      <c r="BV51" s="216"/>
      <c r="BW51" s="217"/>
    </row>
    <row r="52" spans="8:8" ht="75.15">
      <c r="A52" s="201"/>
      <c r="B52" s="244" t="s">
        <v>5878</v>
      </c>
      <c r="C52" s="244"/>
      <c r="D52" s="244"/>
      <c r="E52" s="244" t="s">
        <v>5879</v>
      </c>
      <c r="F52" s="244"/>
      <c r="G52" s="244" t="str">
        <f>_xlfn.DISPIMG("ID_DF380CA2DB704461AFFA9BD4F80DD4AF",1)</f>
        <v>=DISPIMG("ID_DF380CA2DB704461AFFA9BD4F80DD4AF",1)</v>
      </c>
      <c r="H52" s="201"/>
      <c r="I52" s="243" t="s">
        <v>5880</v>
      </c>
      <c r="J52" s="243"/>
      <c r="K52" s="243" t="s">
        <v>5881</v>
      </c>
      <c r="L52" s="243"/>
      <c r="N52" s="247" t="s">
        <v>5882</v>
      </c>
      <c r="O52" s="247"/>
      <c r="P52" s="247"/>
      <c r="Q52" s="247"/>
      <c r="R52" s="247" t="s">
        <v>5883</v>
      </c>
      <c r="S52" s="247"/>
      <c r="T52" s="247"/>
      <c r="U52" s="247"/>
      <c r="V52" s="201"/>
      <c r="X52" s="236" t="s">
        <v>5884</v>
      </c>
      <c r="Y52" s="236"/>
      <c r="Z52" s="236" t="s">
        <v>5885</v>
      </c>
      <c r="AA52" s="236"/>
      <c r="AB52" s="201"/>
      <c r="AC52" s="201"/>
      <c r="AD52" s="210" t="s">
        <v>5886</v>
      </c>
      <c r="AE52" s="210"/>
      <c r="AF52" s="210"/>
      <c r="AG52" s="210"/>
      <c r="AH52" s="210" t="s">
        <v>5887</v>
      </c>
      <c r="AI52" s="210"/>
      <c r="AJ52" s="210"/>
      <c r="AK52" s="210"/>
      <c r="AL52" s="210"/>
      <c r="AM52" s="210" t="s">
        <v>5888</v>
      </c>
      <c r="AN52" s="210"/>
      <c r="AO52" s="210"/>
      <c r="AP52" s="210"/>
      <c r="AQ52" s="210" t="s">
        <v>5889</v>
      </c>
      <c r="AR52" s="210"/>
      <c r="AS52" s="210"/>
      <c r="AT52" s="210"/>
      <c r="AU52" s="210"/>
      <c r="AW52" s="215" t="s">
        <v>5890</v>
      </c>
      <c r="AX52" s="216"/>
      <c r="AY52" s="216"/>
      <c r="AZ52" s="216"/>
      <c r="BA52" s="216"/>
      <c r="BB52" s="216" t="s">
        <v>5891</v>
      </c>
      <c r="BC52" s="216"/>
      <c r="BD52" s="216"/>
      <c r="BE52" s="216"/>
      <c r="BF52" s="216"/>
      <c r="BG52" s="216"/>
      <c r="BH52" s="216"/>
      <c r="BI52" s="216"/>
      <c r="BJ52" s="216"/>
      <c r="BK52" s="216"/>
      <c r="BL52" s="216"/>
      <c r="BM52" s="216"/>
      <c r="BN52" s="216"/>
      <c r="BO52" s="216"/>
      <c r="BP52" s="216"/>
      <c r="BQ52" s="216"/>
      <c r="BR52" s="216"/>
      <c r="BS52" s="216"/>
      <c r="BT52" s="216"/>
      <c r="BU52" s="216"/>
      <c r="BV52" s="216"/>
      <c r="BW52" s="217"/>
    </row>
    <row r="53" spans="8:8" ht="61.65">
      <c r="A53" s="201"/>
      <c r="B53" s="244" t="s">
        <v>5892</v>
      </c>
      <c r="C53" s="244"/>
      <c r="D53" s="244"/>
      <c r="E53" s="244" t="s">
        <v>5893</v>
      </c>
      <c r="F53" s="244"/>
      <c r="G53" s="244" t="str">
        <f>_xlfn.DISPIMG("ID_9F243EC9E7834C8CA6036C7D62E92C5A",1)</f>
        <v>=DISPIMG("ID_9F243EC9E7834C8CA6036C7D62E92C5A",1)</v>
      </c>
      <c r="H53" s="201"/>
      <c r="I53" s="243" t="s">
        <v>5894</v>
      </c>
      <c r="J53" s="243"/>
      <c r="K53" s="243" t="s">
        <v>5895</v>
      </c>
      <c r="L53" s="243"/>
      <c r="N53" s="247" t="s">
        <v>5896</v>
      </c>
      <c r="O53" s="247"/>
      <c r="P53" s="247"/>
      <c r="Q53" s="247"/>
      <c r="R53" s="247" t="s">
        <v>5897</v>
      </c>
      <c r="S53" s="247"/>
      <c r="T53" s="247"/>
      <c r="U53" s="247"/>
      <c r="V53" s="201"/>
      <c r="AA53" s="201"/>
      <c r="AB53" s="201"/>
      <c r="AC53" s="201"/>
      <c r="AD53" s="210" t="s">
        <v>5898</v>
      </c>
      <c r="AE53" s="210"/>
      <c r="AF53" s="210"/>
      <c r="AG53" s="210"/>
      <c r="AH53" s="210" t="s">
        <v>5899</v>
      </c>
      <c r="AI53" s="210"/>
      <c r="AJ53" s="210"/>
      <c r="AK53" s="210"/>
      <c r="AL53" s="210"/>
      <c r="AM53" s="210" t="s">
        <v>5900</v>
      </c>
      <c r="AN53" s="210"/>
      <c r="AO53" s="210"/>
      <c r="AP53" s="210"/>
      <c r="AQ53" s="210" t="s">
        <v>5901</v>
      </c>
      <c r="AR53" s="210"/>
      <c r="AS53" s="210"/>
      <c r="AT53" s="210"/>
      <c r="AU53" s="210"/>
      <c r="AW53" s="215" t="s">
        <v>5902</v>
      </c>
      <c r="AX53" s="216"/>
      <c r="AY53" s="216"/>
      <c r="AZ53" s="216"/>
      <c r="BA53" s="216"/>
      <c r="BB53" s="216" t="s">
        <v>5903</v>
      </c>
      <c r="BC53" s="216"/>
      <c r="BD53" s="216"/>
      <c r="BE53" s="216"/>
      <c r="BF53" s="216"/>
      <c r="BG53" s="216"/>
      <c r="BH53" s="216"/>
      <c r="BI53" s="216"/>
      <c r="BJ53" s="216"/>
      <c r="BK53" s="216"/>
      <c r="BL53" s="216"/>
      <c r="BM53" s="216"/>
      <c r="BN53" s="216"/>
      <c r="BO53" s="216"/>
      <c r="BP53" s="216"/>
      <c r="BQ53" s="216"/>
      <c r="BR53" s="216"/>
      <c r="BS53" s="216"/>
      <c r="BT53" s="216"/>
      <c r="BU53" s="216"/>
      <c r="BV53" s="216"/>
      <c r="BW53" s="217"/>
    </row>
    <row r="54" spans="8:8" ht="27.05">
      <c r="A54" s="201"/>
      <c r="B54" s="244" t="s">
        <v>5904</v>
      </c>
      <c r="C54" s="244"/>
      <c r="D54" s="244"/>
      <c r="E54" s="244" t="s">
        <v>5905</v>
      </c>
      <c r="F54" s="244"/>
      <c r="G54" s="244" t="str">
        <f>_xlfn.DISPIMG("ID_8FEAE7C2FAAE44A6AC5B42CCEF3562B9",1)</f>
        <v>=DISPIMG("ID_8FEAE7C2FAAE44A6AC5B42CCEF3562B9",1)</v>
      </c>
      <c r="H54" s="201"/>
      <c r="I54" s="243" t="s">
        <v>5906</v>
      </c>
      <c r="J54" s="243"/>
      <c r="K54" s="243" t="s">
        <v>5907</v>
      </c>
      <c r="L54" s="243"/>
      <c r="N54" s="247" t="s">
        <v>5908</v>
      </c>
      <c r="O54" s="247"/>
      <c r="P54" s="247"/>
      <c r="Q54" s="247"/>
      <c r="R54" s="247" t="s">
        <v>4789</v>
      </c>
      <c r="S54" s="247"/>
      <c r="T54" s="247"/>
      <c r="U54" s="247"/>
      <c r="V54" s="201"/>
      <c r="X54" s="248" t="s">
        <v>5909</v>
      </c>
      <c r="Y54" s="249"/>
      <c r="Z54" s="249"/>
      <c r="AA54" s="250"/>
      <c r="AB54" s="201"/>
      <c r="AC54" s="201"/>
      <c r="AD54" s="210" t="s">
        <v>5910</v>
      </c>
      <c r="AE54" s="210"/>
      <c r="AF54" s="210"/>
      <c r="AG54" s="210"/>
      <c r="AH54" s="210" t="s">
        <v>5911</v>
      </c>
      <c r="AI54" s="210"/>
      <c r="AJ54" s="210"/>
      <c r="AK54" s="210"/>
      <c r="AL54" s="210"/>
      <c r="AM54" s="210" t="s">
        <v>5912</v>
      </c>
      <c r="AN54" s="210"/>
      <c r="AO54" s="210"/>
      <c r="AP54" s="210"/>
      <c r="AQ54" s="210" t="s">
        <v>5913</v>
      </c>
      <c r="AR54" s="210"/>
      <c r="AS54" s="210"/>
      <c r="AT54" s="210"/>
      <c r="AU54" s="210"/>
      <c r="AW54" s="215" t="s">
        <v>5914</v>
      </c>
      <c r="AX54" s="216"/>
      <c r="AY54" s="216"/>
      <c r="AZ54" s="216"/>
      <c r="BA54" s="216"/>
      <c r="BB54" s="216" t="s">
        <v>5915</v>
      </c>
      <c r="BC54" s="216"/>
      <c r="BD54" s="216"/>
      <c r="BE54" s="216"/>
      <c r="BF54" s="216"/>
      <c r="BG54" s="216"/>
      <c r="BH54" s="216"/>
      <c r="BI54" s="216"/>
      <c r="BJ54" s="216"/>
      <c r="BK54" s="216"/>
      <c r="BL54" s="216"/>
      <c r="BM54" s="216"/>
      <c r="BN54" s="216"/>
      <c r="BO54" s="216"/>
      <c r="BP54" s="216"/>
      <c r="BQ54" s="216"/>
      <c r="BR54" s="216"/>
      <c r="BS54" s="216"/>
      <c r="BT54" s="216"/>
      <c r="BU54" s="216"/>
      <c r="BV54" s="216"/>
      <c r="BW54" s="217"/>
    </row>
    <row r="55" spans="8:8" ht="80.4">
      <c r="A55" s="201"/>
      <c r="B55" s="244" t="s">
        <v>5916</v>
      </c>
      <c r="C55" s="244"/>
      <c r="D55" s="244"/>
      <c r="E55" s="244" t="s">
        <v>5917</v>
      </c>
      <c r="F55" s="244"/>
      <c r="G55" s="244" t="str">
        <f>_xlfn.DISPIMG("ID_78FB5A9ACEEF47E0810E9EAB853F7E73",1)</f>
        <v>=DISPIMG("ID_78FB5A9ACEEF47E0810E9EAB853F7E73",1)</v>
      </c>
      <c r="H55" s="201"/>
      <c r="I55" s="243" t="s">
        <v>5918</v>
      </c>
      <c r="J55" s="243"/>
      <c r="K55" s="243" t="s">
        <v>5919</v>
      </c>
      <c r="L55" s="243"/>
      <c r="N55" s="247" t="s">
        <v>4786</v>
      </c>
      <c r="O55" s="247"/>
      <c r="P55" s="247"/>
      <c r="Q55" s="247"/>
      <c r="R55" s="247" t="s">
        <v>4785</v>
      </c>
      <c r="S55" s="247"/>
      <c r="T55" s="247"/>
      <c r="U55" s="247"/>
      <c r="V55" s="201"/>
      <c r="X55" s="251" t="s">
        <v>5920</v>
      </c>
      <c r="Y55" s="251"/>
      <c r="Z55" s="251" t="s">
        <v>5921</v>
      </c>
      <c r="AA55" s="251"/>
      <c r="AB55" s="201"/>
      <c r="AC55" s="201"/>
      <c r="AD55" s="210" t="s">
        <v>5922</v>
      </c>
      <c r="AE55" s="210"/>
      <c r="AF55" s="210"/>
      <c r="AG55" s="210"/>
      <c r="AH55" s="210" t="s">
        <v>5040</v>
      </c>
      <c r="AI55" s="210"/>
      <c r="AJ55" s="210"/>
      <c r="AK55" s="210"/>
      <c r="AL55" s="210"/>
      <c r="AM55" s="210" t="s">
        <v>5923</v>
      </c>
      <c r="AN55" s="210"/>
      <c r="AO55" s="210"/>
      <c r="AP55" s="210"/>
      <c r="AQ55" s="210" t="s">
        <v>5924</v>
      </c>
      <c r="AR55" s="210"/>
      <c r="AS55" s="210"/>
      <c r="AT55" s="210"/>
      <c r="AU55" s="210"/>
      <c r="AW55" s="215" t="s">
        <v>5925</v>
      </c>
      <c r="AX55" s="216"/>
      <c r="AY55" s="216"/>
      <c r="AZ55" s="216"/>
      <c r="BA55" s="216"/>
      <c r="BB55" s="216" t="s">
        <v>5926</v>
      </c>
      <c r="BC55" s="216"/>
      <c r="BD55" s="216"/>
      <c r="BE55" s="216"/>
      <c r="BF55" s="216"/>
      <c r="BG55" s="216"/>
      <c r="BH55" s="216"/>
      <c r="BI55" s="216"/>
      <c r="BJ55" s="216"/>
      <c r="BK55" s="216"/>
      <c r="BL55" s="216"/>
      <c r="BM55" s="216"/>
      <c r="BN55" s="216"/>
      <c r="BO55" s="216"/>
      <c r="BP55" s="216"/>
      <c r="BQ55" s="216"/>
      <c r="BR55" s="216"/>
      <c r="BS55" s="216"/>
      <c r="BT55" s="216"/>
      <c r="BU55" s="216"/>
      <c r="BV55" s="216"/>
      <c r="BW55" s="217"/>
    </row>
    <row r="56" spans="8:8" ht="48.1">
      <c r="A56" s="201"/>
      <c r="B56" s="244" t="s">
        <v>5927</v>
      </c>
      <c r="C56" s="244"/>
      <c r="D56" s="244"/>
      <c r="E56" s="244" t="s">
        <v>5928</v>
      </c>
      <c r="F56" s="244"/>
      <c r="G56" s="244" t="str">
        <f>_xlfn.DISPIMG("ID_327E748F62B74FF89076BECB4FE6C22D",1)</f>
        <v>=DISPIMG("ID_327E748F62B74FF89076BECB4FE6C22D",1)</v>
      </c>
      <c r="H56" s="201"/>
      <c r="I56" s="243" t="s">
        <v>3254</v>
      </c>
      <c r="J56" s="243"/>
      <c r="K56" s="243" t="s">
        <v>5929</v>
      </c>
      <c r="L56" s="243"/>
      <c r="N56" s="247" t="s">
        <v>5930</v>
      </c>
      <c r="O56" s="247"/>
      <c r="P56" s="247"/>
      <c r="Q56" s="247"/>
      <c r="R56" s="247" t="s">
        <v>5522</v>
      </c>
      <c r="S56" s="247"/>
      <c r="T56" s="247"/>
      <c r="U56" s="247"/>
      <c r="V56" s="201"/>
      <c r="X56" s="251" t="s">
        <v>5931</v>
      </c>
      <c r="Y56" s="251"/>
      <c r="Z56" s="251" t="s">
        <v>5932</v>
      </c>
      <c r="AA56" s="251"/>
      <c r="AB56" s="201"/>
      <c r="AC56" s="201"/>
      <c r="AD56" s="210" t="s">
        <v>5933</v>
      </c>
      <c r="AE56" s="210"/>
      <c r="AF56" s="210"/>
      <c r="AG56" s="210"/>
      <c r="AH56" s="210" t="s">
        <v>1200</v>
      </c>
      <c r="AI56" s="210"/>
      <c r="AJ56" s="210"/>
      <c r="AK56" s="210"/>
      <c r="AL56" s="210"/>
      <c r="AM56" s="210" t="s">
        <v>5934</v>
      </c>
      <c r="AN56" s="210"/>
      <c r="AO56" s="210"/>
      <c r="AP56" s="210"/>
      <c r="AQ56" s="210" t="s">
        <v>5935</v>
      </c>
      <c r="AR56" s="210"/>
      <c r="AS56" s="210"/>
      <c r="AT56" s="210"/>
      <c r="AU56" s="210"/>
      <c r="AW56" s="215" t="s">
        <v>5936</v>
      </c>
      <c r="AX56" s="216"/>
      <c r="AY56" s="216"/>
      <c r="AZ56" s="216"/>
      <c r="BA56" s="216"/>
      <c r="BB56" s="216" t="s">
        <v>5937</v>
      </c>
      <c r="BC56" s="216"/>
      <c r="BD56" s="216"/>
      <c r="BE56" s="216"/>
      <c r="BF56" s="216"/>
      <c r="BG56" s="216"/>
      <c r="BH56" s="216"/>
      <c r="BI56" s="216"/>
      <c r="BJ56" s="216"/>
      <c r="BK56" s="216"/>
      <c r="BL56" s="216"/>
      <c r="BM56" s="216"/>
      <c r="BN56" s="216"/>
      <c r="BO56" s="216"/>
      <c r="BP56" s="216"/>
      <c r="BQ56" s="216"/>
      <c r="BR56" s="216"/>
      <c r="BS56" s="216"/>
      <c r="BT56" s="216"/>
      <c r="BU56" s="216"/>
      <c r="BV56" s="216"/>
      <c r="BW56" s="217"/>
    </row>
    <row r="57" spans="8:8" ht="36.05">
      <c r="A57" s="201"/>
      <c r="B57" s="244" t="s">
        <v>5938</v>
      </c>
      <c r="C57" s="244"/>
      <c r="D57" s="244"/>
      <c r="E57" s="244" t="s">
        <v>5939</v>
      </c>
      <c r="F57" s="244"/>
      <c r="G57" s="244" t="str">
        <f>_xlfn.DISPIMG("ID_CBE0C1461FA14CCE83D764E16FD3962D",1)</f>
        <v>=DISPIMG("ID_CBE0C1461FA14CCE83D764E16FD3962D",1)</v>
      </c>
      <c r="H57" s="201"/>
      <c r="I57" s="243" t="s">
        <v>5940</v>
      </c>
      <c r="J57" s="243"/>
      <c r="K57" s="243" t="s">
        <v>5941</v>
      </c>
      <c r="L57" s="243"/>
      <c r="S57" s="201"/>
      <c r="T57" s="201"/>
      <c r="U57" s="201"/>
      <c r="V57" s="201"/>
      <c r="W57" s="201"/>
      <c r="X57" s="251" t="s">
        <v>3579</v>
      </c>
      <c r="Y57" s="251"/>
      <c r="Z57" s="251" t="s">
        <v>5942</v>
      </c>
      <c r="AA57" s="251"/>
      <c r="AB57" s="201"/>
      <c r="AC57" s="201"/>
      <c r="AD57" s="210" t="s">
        <v>5943</v>
      </c>
      <c r="AE57" s="210"/>
      <c r="AF57" s="210"/>
      <c r="AG57" s="210"/>
      <c r="AH57" s="210" t="s">
        <v>5944</v>
      </c>
      <c r="AI57" s="210"/>
      <c r="AJ57" s="210"/>
      <c r="AK57" s="210"/>
      <c r="AL57" s="210"/>
      <c r="AM57" s="210" t="s">
        <v>5945</v>
      </c>
      <c r="AN57" s="210"/>
      <c r="AO57" s="210"/>
      <c r="AP57" s="210"/>
      <c r="AQ57" s="210" t="s">
        <v>5946</v>
      </c>
      <c r="AR57" s="210"/>
      <c r="AS57" s="210"/>
      <c r="AT57" s="210"/>
      <c r="AU57" s="210"/>
      <c r="AW57" s="215" t="s">
        <v>5947</v>
      </c>
      <c r="AX57" s="216"/>
      <c r="AY57" s="216"/>
      <c r="AZ57" s="216"/>
      <c r="BA57" s="216"/>
      <c r="BB57" s="216" t="s">
        <v>5948</v>
      </c>
      <c r="BC57" s="216"/>
      <c r="BD57" s="216"/>
      <c r="BE57" s="216"/>
      <c r="BF57" s="216"/>
      <c r="BG57" s="216"/>
      <c r="BH57" s="216"/>
      <c r="BI57" s="216"/>
      <c r="BJ57" s="216"/>
      <c r="BK57" s="216"/>
      <c r="BL57" s="216"/>
      <c r="BM57" s="216"/>
      <c r="BN57" s="216"/>
      <c r="BO57" s="216"/>
      <c r="BP57" s="216"/>
      <c r="BQ57" s="216"/>
      <c r="BR57" s="216"/>
      <c r="BS57" s="216"/>
      <c r="BT57" s="216"/>
      <c r="BU57" s="216"/>
      <c r="BV57" s="216"/>
      <c r="BW57" s="217"/>
    </row>
    <row r="58" spans="8:8" ht="32.7">
      <c r="A58" s="201"/>
      <c r="B58" s="244" t="s">
        <v>5949</v>
      </c>
      <c r="C58" s="244"/>
      <c r="D58" s="244"/>
      <c r="E58" s="244" t="s">
        <v>5950</v>
      </c>
      <c r="F58" s="244"/>
      <c r="G58" s="244" t="str">
        <f>_xlfn.DISPIMG("ID_1604A8E1A0FD4C1987A1A46EAC8CC024",1)</f>
        <v>=DISPIMG("ID_1604A8E1A0FD4C1987A1A46EAC8CC024",1)</v>
      </c>
      <c r="H58" s="201"/>
      <c r="I58" s="243" t="s">
        <v>5951</v>
      </c>
      <c r="J58" s="243"/>
      <c r="K58" s="243" t="s">
        <v>5952</v>
      </c>
      <c r="L58" s="243"/>
      <c r="N58" s="252" t="s">
        <v>5953</v>
      </c>
      <c r="O58" s="253"/>
      <c r="P58" s="253"/>
      <c r="Q58" s="253"/>
      <c r="S58" s="254" t="s">
        <v>5954</v>
      </c>
      <c r="T58" s="254"/>
      <c r="U58" s="254"/>
      <c r="V58" s="254"/>
      <c r="X58" s="251" t="s">
        <v>5955</v>
      </c>
      <c r="Y58" s="251"/>
      <c r="Z58" s="251" t="s">
        <v>5956</v>
      </c>
      <c r="AA58" s="251"/>
      <c r="AC58" s="201"/>
      <c r="AD58" s="210" t="s">
        <v>5957</v>
      </c>
      <c r="AE58" s="210"/>
      <c r="AF58" s="210"/>
      <c r="AG58" s="210"/>
      <c r="AH58" s="210" t="s">
        <v>5958</v>
      </c>
      <c r="AI58" s="210"/>
      <c r="AJ58" s="210"/>
      <c r="AK58" s="210"/>
      <c r="AL58" s="210"/>
      <c r="AM58" s="210" t="s">
        <v>5959</v>
      </c>
      <c r="AN58" s="210"/>
      <c r="AO58" s="210"/>
      <c r="AP58" s="210"/>
      <c r="AQ58" s="210" t="s">
        <v>5960</v>
      </c>
      <c r="AR58" s="210"/>
      <c r="AS58" s="210"/>
      <c r="AT58" s="210"/>
      <c r="AU58" s="210"/>
      <c r="AW58" s="215" t="s">
        <v>5961</v>
      </c>
      <c r="AX58" s="216"/>
      <c r="AY58" s="216"/>
      <c r="AZ58" s="216"/>
      <c r="BA58" s="216"/>
      <c r="BB58" s="216" t="s">
        <v>5962</v>
      </c>
      <c r="BC58" s="216"/>
      <c r="BD58" s="216"/>
      <c r="BE58" s="216"/>
      <c r="BF58" s="216"/>
      <c r="BG58" s="216"/>
      <c r="BH58" s="216"/>
      <c r="BI58" s="216"/>
      <c r="BJ58" s="216"/>
      <c r="BK58" s="216"/>
      <c r="BL58" s="216"/>
      <c r="BM58" s="216"/>
      <c r="BN58" s="216"/>
      <c r="BO58" s="216"/>
      <c r="BP58" s="216"/>
      <c r="BQ58" s="216"/>
      <c r="BR58" s="216"/>
      <c r="BS58" s="216"/>
      <c r="BT58" s="216"/>
      <c r="BU58" s="216"/>
      <c r="BV58" s="216"/>
      <c r="BW58" s="217"/>
    </row>
    <row r="59" spans="8:8" ht="32.6">
      <c r="A59" s="201"/>
      <c r="B59" s="244" t="s">
        <v>5963</v>
      </c>
      <c r="C59" s="244"/>
      <c r="D59" s="244"/>
      <c r="E59" s="244" t="s">
        <v>895</v>
      </c>
      <c r="F59" s="244"/>
      <c r="G59" s="244" t="str">
        <f>_xlfn.DISPIMG("ID_90EF2186021D4A0794BB232104127623",1)</f>
        <v>=DISPIMG("ID_90EF2186021D4A0794BB232104127623",1)</v>
      </c>
      <c r="H59" s="201"/>
      <c r="I59" s="243" t="s">
        <v>5964</v>
      </c>
      <c r="J59" s="243"/>
      <c r="K59" s="243" t="s">
        <v>5965</v>
      </c>
      <c r="L59" s="243"/>
      <c r="N59" s="255" t="s">
        <v>2625</v>
      </c>
      <c r="O59" s="255"/>
      <c r="P59" s="255" t="s">
        <v>931</v>
      </c>
      <c r="Q59" s="255"/>
      <c r="S59" s="256" t="s">
        <v>5966</v>
      </c>
      <c r="T59" s="256"/>
      <c r="U59" s="256" t="s">
        <v>5967</v>
      </c>
      <c r="V59" s="256"/>
      <c r="X59" s="251" t="s">
        <v>5968</v>
      </c>
      <c r="Y59" s="251"/>
      <c r="Z59" s="251" t="s">
        <v>5969</v>
      </c>
      <c r="AA59" s="251"/>
      <c r="AC59" s="201"/>
      <c r="AD59" s="210" t="s">
        <v>5970</v>
      </c>
      <c r="AE59" s="210"/>
      <c r="AF59" s="210"/>
      <c r="AG59" s="210"/>
      <c r="AH59" s="210" t="s">
        <v>5971</v>
      </c>
      <c r="AI59" s="210"/>
      <c r="AJ59" s="210"/>
      <c r="AK59" s="210"/>
      <c r="AL59" s="210"/>
      <c r="AM59" s="210" t="s">
        <v>5972</v>
      </c>
      <c r="AN59" s="210"/>
      <c r="AO59" s="210"/>
      <c r="AP59" s="210"/>
      <c r="AQ59" s="210" t="s">
        <v>5973</v>
      </c>
      <c r="AR59" s="210"/>
      <c r="AS59" s="210"/>
      <c r="AT59" s="210"/>
      <c r="AU59" s="210"/>
      <c r="AW59" s="215" t="s">
        <v>5974</v>
      </c>
      <c r="AX59" s="216"/>
      <c r="AY59" s="216"/>
      <c r="AZ59" s="216"/>
      <c r="BA59" s="216"/>
      <c r="BB59" s="216" t="s">
        <v>5975</v>
      </c>
      <c r="BC59" s="216"/>
      <c r="BD59" s="216"/>
      <c r="BE59" s="216"/>
      <c r="BF59" s="216"/>
      <c r="BG59" s="216"/>
      <c r="BH59" s="216"/>
      <c r="BI59" s="216"/>
      <c r="BJ59" s="216"/>
      <c r="BK59" s="216"/>
      <c r="BL59" s="216"/>
      <c r="BM59" s="216"/>
      <c r="BN59" s="216"/>
      <c r="BO59" s="216"/>
      <c r="BP59" s="216"/>
      <c r="BQ59" s="216"/>
      <c r="BR59" s="216"/>
      <c r="BS59" s="216"/>
      <c r="BT59" s="216"/>
      <c r="BU59" s="216"/>
      <c r="BV59" s="216"/>
      <c r="BW59" s="217"/>
    </row>
    <row r="60" spans="8:8" ht="80.4">
      <c r="A60" s="201"/>
      <c r="B60" s="244" t="s">
        <v>5976</v>
      </c>
      <c r="C60" s="244"/>
      <c r="D60" s="244"/>
      <c r="E60" s="244" t="s">
        <v>5977</v>
      </c>
      <c r="F60" s="244"/>
      <c r="G60" s="244" t="str">
        <f>_xlfn.DISPIMG("ID_9BFAEBFC95D14749A27D9EC51802CEC1",1)</f>
        <v>=DISPIMG("ID_9BFAEBFC95D14749A27D9EC51802CEC1",1)</v>
      </c>
      <c r="H60" s="201"/>
      <c r="I60" s="243" t="s">
        <v>5978</v>
      </c>
      <c r="J60" s="243"/>
      <c r="K60" s="243" t="s">
        <v>5979</v>
      </c>
      <c r="L60" s="243"/>
      <c r="N60" s="255" t="s">
        <v>5980</v>
      </c>
      <c r="O60" s="255"/>
      <c r="P60" s="255" t="s">
        <v>5981</v>
      </c>
      <c r="Q60" s="255"/>
      <c r="S60" s="256" t="s">
        <v>4397</v>
      </c>
      <c r="T60" s="256"/>
      <c r="U60" s="256" t="s">
        <v>4398</v>
      </c>
      <c r="V60" s="256"/>
      <c r="X60" s="251" t="s">
        <v>5982</v>
      </c>
      <c r="Y60" s="251"/>
      <c r="Z60" s="251" t="s">
        <v>5983</v>
      </c>
      <c r="AA60" s="251"/>
      <c r="AC60" s="201"/>
      <c r="AD60" s="210" t="s">
        <v>5984</v>
      </c>
      <c r="AE60" s="210"/>
      <c r="AF60" s="210"/>
      <c r="AG60" s="210"/>
      <c r="AH60" s="210" t="s">
        <v>5985</v>
      </c>
      <c r="AI60" s="210"/>
      <c r="AJ60" s="210"/>
      <c r="AK60" s="210"/>
      <c r="AL60" s="210"/>
      <c r="AM60" s="210" t="s">
        <v>5986</v>
      </c>
      <c r="AN60" s="210"/>
      <c r="AO60" s="210"/>
      <c r="AP60" s="210"/>
      <c r="AQ60" s="210" t="s">
        <v>5987</v>
      </c>
      <c r="AR60" s="210"/>
      <c r="AS60" s="210"/>
      <c r="AT60" s="210"/>
      <c r="AU60" s="210"/>
      <c r="AW60" s="215" t="s">
        <v>5988</v>
      </c>
      <c r="AX60" s="216"/>
      <c r="AY60" s="216"/>
      <c r="AZ60" s="216"/>
      <c r="BA60" s="216"/>
      <c r="BB60" s="216" t="s">
        <v>5989</v>
      </c>
      <c r="BC60" s="216"/>
      <c r="BD60" s="216"/>
      <c r="BE60" s="216"/>
      <c r="BF60" s="216"/>
      <c r="BG60" s="216"/>
      <c r="BH60" s="216"/>
      <c r="BI60" s="216"/>
      <c r="BJ60" s="216"/>
      <c r="BK60" s="216"/>
      <c r="BL60" s="216"/>
      <c r="BM60" s="216"/>
      <c r="BN60" s="216"/>
      <c r="BO60" s="216"/>
      <c r="BP60" s="216"/>
      <c r="BQ60" s="216"/>
      <c r="BR60" s="216"/>
      <c r="BS60" s="216"/>
      <c r="BT60" s="216"/>
      <c r="BU60" s="216"/>
      <c r="BV60" s="216"/>
      <c r="BW60" s="217"/>
    </row>
    <row r="61" spans="8:8" ht="80.4">
      <c r="A61" s="201"/>
      <c r="B61" s="244" t="s">
        <v>5990</v>
      </c>
      <c r="C61" s="244"/>
      <c r="D61" s="244"/>
      <c r="E61" s="244" t="s">
        <v>5991</v>
      </c>
      <c r="F61" s="244"/>
      <c r="G61" s="244" t="str">
        <f>_xlfn.DISPIMG("ID_4CD131B354C6419093A31829DBAE436B",1)</f>
        <v>=DISPIMG("ID_4CD131B354C6419093A31829DBAE436B",1)</v>
      </c>
      <c r="H61" s="201"/>
      <c r="I61" s="243" t="s">
        <v>5992</v>
      </c>
      <c r="J61" s="243"/>
      <c r="K61" s="243" t="s">
        <v>5993</v>
      </c>
      <c r="L61" s="243"/>
      <c r="N61" s="255" t="s">
        <v>5994</v>
      </c>
      <c r="O61" s="255"/>
      <c r="P61" s="255" t="s">
        <v>5995</v>
      </c>
      <c r="Q61" s="255"/>
      <c r="S61" s="256" t="s">
        <v>5996</v>
      </c>
      <c r="T61" s="256"/>
      <c r="U61" s="256" t="s">
        <v>5997</v>
      </c>
      <c r="V61" s="256"/>
      <c r="X61" s="251" t="s">
        <v>5998</v>
      </c>
      <c r="Y61" s="251"/>
      <c r="Z61" s="251" t="s">
        <v>5999</v>
      </c>
      <c r="AA61" s="251"/>
      <c r="AC61" s="201"/>
      <c r="AD61" s="210" t="s">
        <v>6000</v>
      </c>
      <c r="AE61" s="210"/>
      <c r="AF61" s="210"/>
      <c r="AG61" s="210"/>
      <c r="AH61" s="210" t="s">
        <v>6001</v>
      </c>
      <c r="AI61" s="210"/>
      <c r="AJ61" s="210"/>
      <c r="AK61" s="210"/>
      <c r="AL61" s="210"/>
      <c r="AM61" s="210" t="s">
        <v>6002</v>
      </c>
      <c r="AN61" s="210"/>
      <c r="AO61" s="210"/>
      <c r="AP61" s="210"/>
      <c r="AQ61" s="210" t="s">
        <v>6003</v>
      </c>
      <c r="AR61" s="210"/>
      <c r="AS61" s="210"/>
      <c r="AT61" s="210"/>
      <c r="AU61" s="210"/>
      <c r="AW61" s="215" t="s">
        <v>6004</v>
      </c>
      <c r="AX61" s="216"/>
      <c r="AY61" s="216"/>
      <c r="AZ61" s="216"/>
      <c r="BA61" s="216"/>
      <c r="BB61" s="216" t="s">
        <v>6005</v>
      </c>
      <c r="BC61" s="216"/>
      <c r="BD61" s="216"/>
      <c r="BE61" s="216"/>
      <c r="BF61" s="216"/>
      <c r="BG61" s="216"/>
      <c r="BH61" s="216"/>
      <c r="BI61" s="216"/>
      <c r="BJ61" s="216"/>
      <c r="BK61" s="216"/>
      <c r="BL61" s="216"/>
      <c r="BM61" s="216"/>
      <c r="BN61" s="216"/>
      <c r="BO61" s="216"/>
      <c r="BP61" s="216"/>
      <c r="BQ61" s="216"/>
      <c r="BR61" s="216"/>
      <c r="BS61" s="216"/>
      <c r="BT61" s="216"/>
      <c r="BU61" s="216"/>
      <c r="BV61" s="216"/>
      <c r="BW61" s="217"/>
    </row>
    <row r="62" spans="8:8" ht="48.9">
      <c r="A62" s="201"/>
      <c r="B62" s="244" t="s">
        <v>6006</v>
      </c>
      <c r="C62" s="244"/>
      <c r="D62" s="244"/>
      <c r="E62" s="244" t="s">
        <v>6007</v>
      </c>
      <c r="F62" s="244"/>
      <c r="G62" s="244" t="str">
        <f>_xlfn.DISPIMG("ID_4EF61D67C1A3494C902E514200E95F32",1)</f>
        <v>=DISPIMG("ID_4EF61D67C1A3494C902E514200E95F32",1)</v>
      </c>
      <c r="H62" s="201"/>
      <c r="I62" s="243" t="s">
        <v>6008</v>
      </c>
      <c r="J62" s="243"/>
      <c r="K62" s="243" t="s">
        <v>6009</v>
      </c>
      <c r="L62" s="243"/>
      <c r="N62" s="255" t="s">
        <v>6010</v>
      </c>
      <c r="O62" s="255"/>
      <c r="P62" s="255" t="s">
        <v>6011</v>
      </c>
      <c r="Q62" s="255"/>
      <c r="S62" s="256" t="s">
        <v>6012</v>
      </c>
      <c r="T62" s="256"/>
      <c r="U62" s="256" t="s">
        <v>6013</v>
      </c>
      <c r="V62" s="256"/>
      <c r="X62" s="201"/>
      <c r="AC62" s="201"/>
      <c r="AD62" s="210" t="s">
        <v>6014</v>
      </c>
      <c r="AE62" s="210"/>
      <c r="AF62" s="210"/>
      <c r="AG62" s="210"/>
      <c r="AH62" s="210" t="s">
        <v>6015</v>
      </c>
      <c r="AI62" s="210"/>
      <c r="AJ62" s="210"/>
      <c r="AK62" s="210"/>
      <c r="AL62" s="210"/>
      <c r="AM62" s="210" t="s">
        <v>6016</v>
      </c>
      <c r="AN62" s="210"/>
      <c r="AO62" s="210"/>
      <c r="AP62" s="210"/>
      <c r="AQ62" s="210" t="s">
        <v>6017</v>
      </c>
      <c r="AR62" s="210"/>
      <c r="AS62" s="210"/>
      <c r="AT62" s="210"/>
      <c r="AU62" s="210"/>
      <c r="AW62" s="215" t="s">
        <v>6018</v>
      </c>
      <c r="AX62" s="216"/>
      <c r="AY62" s="216"/>
      <c r="AZ62" s="216"/>
      <c r="BA62" s="216"/>
      <c r="BB62" s="216" t="s">
        <v>6019</v>
      </c>
      <c r="BC62" s="216"/>
      <c r="BD62" s="216"/>
      <c r="BE62" s="216"/>
      <c r="BF62" s="216"/>
      <c r="BG62" s="216"/>
      <c r="BH62" s="216"/>
      <c r="BI62" s="216"/>
      <c r="BJ62" s="216"/>
      <c r="BK62" s="216"/>
      <c r="BL62" s="216"/>
      <c r="BM62" s="216"/>
      <c r="BN62" s="216"/>
      <c r="BO62" s="216"/>
      <c r="BP62" s="216"/>
      <c r="BQ62" s="216"/>
      <c r="BR62" s="216"/>
      <c r="BS62" s="216"/>
      <c r="BT62" s="216"/>
      <c r="BU62" s="216"/>
      <c r="BV62" s="216"/>
      <c r="BW62" s="217"/>
    </row>
    <row r="63" spans="8:8" ht="38.5">
      <c r="A63" s="201"/>
      <c r="B63" s="244" t="s">
        <v>6020</v>
      </c>
      <c r="C63" s="244"/>
      <c r="D63" s="244"/>
      <c r="E63" s="244" t="s">
        <v>6021</v>
      </c>
      <c r="F63" s="244"/>
      <c r="G63" s="244" t="str">
        <f>_xlfn.DISPIMG("ID_55883BFB6E364E2292A4E45C1673E172",1)</f>
        <v>=DISPIMG("ID_55883BFB6E364E2292A4E45C1673E172",1)</v>
      </c>
      <c r="H63" s="201"/>
      <c r="I63" s="243" t="s">
        <v>6022</v>
      </c>
      <c r="J63" s="243"/>
      <c r="K63" s="243" t="s">
        <v>6023</v>
      </c>
      <c r="L63" s="243"/>
      <c r="N63" s="255" t="s">
        <v>6024</v>
      </c>
      <c r="O63" s="255"/>
      <c r="P63" s="255" t="s">
        <v>6025</v>
      </c>
      <c r="Q63" s="255"/>
      <c r="S63" s="256" t="s">
        <v>4400</v>
      </c>
      <c r="T63" s="256"/>
      <c r="U63" s="256" t="s">
        <v>4401</v>
      </c>
      <c r="V63" s="256"/>
      <c r="X63" s="201"/>
      <c r="AC63" s="201"/>
      <c r="AM63" s="210" t="s">
        <v>6026</v>
      </c>
      <c r="AN63" s="210"/>
      <c r="AO63" s="210"/>
      <c r="AP63" s="210"/>
      <c r="AQ63" s="210" t="s">
        <v>6027</v>
      </c>
      <c r="AR63" s="210"/>
      <c r="AS63" s="210"/>
      <c r="AT63" s="210"/>
      <c r="AU63" s="210"/>
      <c r="AW63" s="215" t="s">
        <v>6028</v>
      </c>
      <c r="AX63" s="216"/>
      <c r="AY63" s="216"/>
      <c r="AZ63" s="216"/>
      <c r="BA63" s="216"/>
      <c r="BB63" s="216" t="s">
        <v>6029</v>
      </c>
      <c r="BC63" s="216"/>
      <c r="BD63" s="216"/>
      <c r="BE63" s="216"/>
      <c r="BF63" s="216"/>
      <c r="BG63" s="216"/>
      <c r="BH63" s="216"/>
      <c r="BI63" s="216"/>
      <c r="BJ63" s="216"/>
      <c r="BK63" s="216"/>
      <c r="BL63" s="216"/>
      <c r="BM63" s="216"/>
      <c r="BN63" s="216"/>
      <c r="BO63" s="216"/>
      <c r="BP63" s="216"/>
      <c r="BQ63" s="216"/>
      <c r="BR63" s="216"/>
      <c r="BS63" s="216"/>
      <c r="BT63" s="216"/>
      <c r="BU63" s="216"/>
      <c r="BV63" s="216"/>
      <c r="BW63" s="217"/>
    </row>
    <row r="64" spans="8:8" ht="38.5">
      <c r="A64" s="201"/>
      <c r="B64" s="244" t="s">
        <v>6030</v>
      </c>
      <c r="C64" s="244"/>
      <c r="D64" s="244"/>
      <c r="E64" s="244" t="s">
        <v>6031</v>
      </c>
      <c r="F64" s="244"/>
      <c r="G64" s="244" t="str">
        <f>_xlfn.DISPIMG("ID_AA4D8F1731FC4619BCD1F97727116966",1)</f>
        <v>=DISPIMG("ID_AA4D8F1731FC4619BCD1F97727116966",1)</v>
      </c>
      <c r="H64" s="201"/>
      <c r="I64" s="243" t="s">
        <v>5969</v>
      </c>
      <c r="J64" s="243"/>
      <c r="K64" s="243" t="s">
        <v>5968</v>
      </c>
      <c r="L64" s="243"/>
      <c r="N64" s="255" t="s">
        <v>6032</v>
      </c>
      <c r="O64" s="255"/>
      <c r="P64" s="255" t="s">
        <v>6033</v>
      </c>
      <c r="Q64" s="255"/>
      <c r="S64" s="256" t="s">
        <v>6034</v>
      </c>
      <c r="T64" s="256"/>
      <c r="U64" s="256" t="s">
        <v>6035</v>
      </c>
      <c r="V64" s="256"/>
      <c r="X64" s="201"/>
      <c r="AC64" s="201"/>
      <c r="AH64" s="201"/>
      <c r="AM64" s="210" t="s">
        <v>6036</v>
      </c>
      <c r="AN64" s="210"/>
      <c r="AO64" s="210"/>
      <c r="AP64" s="210"/>
      <c r="AQ64" s="210" t="s">
        <v>6037</v>
      </c>
      <c r="AR64" s="210"/>
      <c r="AS64" s="210"/>
      <c r="AT64" s="210"/>
      <c r="AU64" s="210"/>
      <c r="AW64" s="215" t="s">
        <v>6038</v>
      </c>
      <c r="AX64" s="216"/>
      <c r="AY64" s="216"/>
      <c r="AZ64" s="216"/>
      <c r="BA64" s="216"/>
      <c r="BB64" s="216" t="s">
        <v>6039</v>
      </c>
      <c r="BC64" s="216"/>
      <c r="BD64" s="216"/>
      <c r="BE64" s="216"/>
      <c r="BF64" s="216"/>
      <c r="BG64" s="216"/>
      <c r="BH64" s="216"/>
      <c r="BI64" s="216"/>
      <c r="BJ64" s="216"/>
      <c r="BK64" s="216"/>
      <c r="BL64" s="216"/>
      <c r="BM64" s="216"/>
      <c r="BN64" s="216"/>
      <c r="BO64" s="216"/>
      <c r="BP64" s="216"/>
      <c r="BQ64" s="216"/>
      <c r="BR64" s="216"/>
      <c r="BS64" s="216"/>
      <c r="BT64" s="216"/>
      <c r="BU64" s="216"/>
      <c r="BV64" s="216"/>
      <c r="BW64" s="217"/>
    </row>
    <row r="65" spans="8:8" ht="45.05">
      <c r="A65" s="201"/>
      <c r="B65" s="244" t="s">
        <v>6040</v>
      </c>
      <c r="C65" s="244"/>
      <c r="D65" s="244"/>
      <c r="E65" s="244" t="s">
        <v>6041</v>
      </c>
      <c r="F65" s="244"/>
      <c r="G65" s="244" t="str">
        <f>_xlfn.DISPIMG("ID_106D6818690F4B4D9A9B599A195A149A",1)</f>
        <v>=DISPIMG("ID_106D6818690F4B4D9A9B599A195A149A",1)</v>
      </c>
      <c r="H65" s="201"/>
      <c r="I65" s="243" t="s">
        <v>6042</v>
      </c>
      <c r="J65" s="243"/>
      <c r="K65" s="243" t="s">
        <v>6043</v>
      </c>
      <c r="L65" s="243"/>
      <c r="N65" s="201"/>
      <c r="O65" s="201"/>
      <c r="P65" s="201"/>
      <c r="Q65" s="201"/>
      <c r="S65" s="256" t="s">
        <v>6044</v>
      </c>
      <c r="T65" s="256"/>
      <c r="U65" s="256" t="s">
        <v>6045</v>
      </c>
      <c r="V65" s="256"/>
      <c r="X65" s="257" t="s">
        <v>10148</v>
      </c>
      <c r="Y65" s="241"/>
      <c r="Z65" s="241"/>
      <c r="AA65" s="241"/>
      <c r="AB65" s="241"/>
      <c r="AC65" s="241"/>
      <c r="AD65" s="241"/>
      <c r="AE65" s="241"/>
      <c r="AF65" s="241"/>
      <c r="AG65" s="241"/>
      <c r="AH65" s="201"/>
      <c r="AM65" s="210" t="s">
        <v>6046</v>
      </c>
      <c r="AN65" s="210"/>
      <c r="AO65" s="210"/>
      <c r="AP65" s="210"/>
      <c r="AQ65" s="210" t="s">
        <v>6047</v>
      </c>
      <c r="AR65" s="210"/>
      <c r="AS65" s="210"/>
      <c r="AT65" s="210"/>
      <c r="AU65" s="210"/>
      <c r="AW65" s="215" t="s">
        <v>6048</v>
      </c>
      <c r="AX65" s="216"/>
      <c r="AY65" s="216"/>
      <c r="AZ65" s="216"/>
      <c r="BA65" s="216"/>
      <c r="BB65" s="216" t="s">
        <v>6049</v>
      </c>
      <c r="BC65" s="216"/>
      <c r="BD65" s="216"/>
      <c r="BE65" s="216"/>
      <c r="BF65" s="216"/>
      <c r="BG65" s="216"/>
      <c r="BH65" s="216"/>
      <c r="BI65" s="216"/>
      <c r="BJ65" s="216"/>
      <c r="BK65" s="216"/>
      <c r="BL65" s="216"/>
      <c r="BM65" s="216"/>
      <c r="BN65" s="216"/>
      <c r="BO65" s="216"/>
      <c r="BP65" s="216"/>
      <c r="BQ65" s="216"/>
      <c r="BR65" s="216"/>
      <c r="BS65" s="216"/>
      <c r="BT65" s="216"/>
      <c r="BU65" s="216"/>
      <c r="BV65" s="216"/>
      <c r="BW65" s="217"/>
    </row>
    <row r="66" spans="8:8" ht="80.4">
      <c r="A66" s="201"/>
      <c r="B66" s="244" t="s">
        <v>6050</v>
      </c>
      <c r="C66" s="244"/>
      <c r="D66" s="244"/>
      <c r="E66" s="244" t="s">
        <v>6051</v>
      </c>
      <c r="F66" s="244"/>
      <c r="G66" s="244" t="str">
        <f>_xlfn.DISPIMG("ID_F0B16CDD163F469EA17FFD0F9B1DFA75",1)</f>
        <v>=DISPIMG("ID_F0B16CDD163F469EA17FFD0F9B1DFA75",1)</v>
      </c>
      <c r="H66" s="201"/>
      <c r="I66" s="243" t="s">
        <v>2814</v>
      </c>
      <c r="J66" s="243"/>
      <c r="K66" s="243" t="s">
        <v>5159</v>
      </c>
      <c r="L66" s="243"/>
      <c r="N66" s="258" t="s">
        <v>6052</v>
      </c>
      <c r="O66" s="258"/>
      <c r="P66" s="258"/>
      <c r="Q66" s="258"/>
      <c r="S66" s="256" t="s">
        <v>4394</v>
      </c>
      <c r="T66" s="256"/>
      <c r="U66" s="256" t="s">
        <v>4395</v>
      </c>
      <c r="V66" s="256"/>
      <c r="X66" s="259" t="s">
        <v>6063</v>
      </c>
      <c r="Y66" s="242"/>
      <c r="Z66" s="242"/>
      <c r="AA66" s="242"/>
      <c r="AB66" s="242"/>
      <c r="AC66" s="242"/>
      <c r="AD66" s="242"/>
      <c r="AE66" s="242"/>
      <c r="AF66" s="242"/>
      <c r="AG66" s="242"/>
      <c r="AH66" s="201"/>
      <c r="AM66" s="210" t="s">
        <v>6054</v>
      </c>
      <c r="AN66" s="210"/>
      <c r="AO66" s="210"/>
      <c r="AP66" s="210"/>
      <c r="AQ66" s="210" t="s">
        <v>6055</v>
      </c>
      <c r="AR66" s="210"/>
      <c r="AS66" s="210"/>
      <c r="AT66" s="210"/>
      <c r="AU66" s="210"/>
      <c r="AW66" s="215" t="s">
        <v>6056</v>
      </c>
      <c r="AX66" s="216"/>
      <c r="AY66" s="216"/>
      <c r="AZ66" s="216"/>
      <c r="BA66" s="216"/>
      <c r="BB66" s="216" t="s">
        <v>6057</v>
      </c>
      <c r="BC66" s="216"/>
      <c r="BD66" s="216"/>
      <c r="BE66" s="216"/>
      <c r="BF66" s="216"/>
      <c r="BG66" s="216"/>
      <c r="BH66" s="216"/>
      <c r="BI66" s="216"/>
      <c r="BJ66" s="216"/>
      <c r="BK66" s="216"/>
      <c r="BL66" s="216"/>
      <c r="BM66" s="216"/>
      <c r="BN66" s="216"/>
      <c r="BO66" s="216"/>
      <c r="BP66" s="216"/>
      <c r="BQ66" s="216"/>
      <c r="BR66" s="216"/>
      <c r="BS66" s="216"/>
      <c r="BT66" s="216"/>
      <c r="BU66" s="216"/>
      <c r="BV66" s="216"/>
      <c r="BW66" s="217"/>
    </row>
    <row r="67" spans="8:8" ht="51.1">
      <c r="A67" s="201"/>
      <c r="B67" s="244" t="s">
        <v>6058</v>
      </c>
      <c r="C67" s="244"/>
      <c r="D67" s="244"/>
      <c r="E67" s="244" t="s">
        <v>6059</v>
      </c>
      <c r="F67" s="244"/>
      <c r="G67" s="244" t="str">
        <f>_xlfn.DISPIMG("ID_4D561E75DAA64FC5ACB69682C2D83526",1)</f>
        <v>=DISPIMG("ID_4D561E75DAA64FC5ACB69682C2D83526",1)</v>
      </c>
      <c r="H67" s="201"/>
      <c r="I67" s="243" t="s">
        <v>5769</v>
      </c>
      <c r="J67" s="243"/>
      <c r="K67" s="243" t="s">
        <v>6060</v>
      </c>
      <c r="L67" s="243"/>
      <c r="N67" s="260" t="s">
        <v>5745</v>
      </c>
      <c r="O67" s="260"/>
      <c r="P67" s="260" t="s">
        <v>2020</v>
      </c>
      <c r="Q67" s="260"/>
      <c r="S67" s="256" t="s">
        <v>6061</v>
      </c>
      <c r="T67" s="256"/>
      <c r="U67" s="256" t="s">
        <v>6062</v>
      </c>
      <c r="V67" s="256"/>
      <c r="X67" s="244" t="s">
        <v>6075</v>
      </c>
      <c r="Y67" s="244"/>
      <c r="Z67" s="244"/>
      <c r="AA67" s="244"/>
      <c r="AB67" s="244"/>
      <c r="AC67" s="244" t="s">
        <v>6076</v>
      </c>
      <c r="AD67" s="244"/>
      <c r="AE67" s="244"/>
      <c r="AF67" s="244"/>
      <c r="AG67" s="244"/>
      <c r="AH67" s="201"/>
      <c r="AM67" s="210" t="s">
        <v>6064</v>
      </c>
      <c r="AN67" s="210"/>
      <c r="AO67" s="210"/>
      <c r="AP67" s="210"/>
      <c r="AQ67" s="210" t="s">
        <v>6065</v>
      </c>
      <c r="AR67" s="210"/>
      <c r="AS67" s="210"/>
      <c r="AT67" s="210"/>
      <c r="AU67" s="210"/>
      <c r="AW67" s="215" t="s">
        <v>6066</v>
      </c>
      <c r="AX67" s="216"/>
      <c r="AY67" s="216"/>
      <c r="AZ67" s="216"/>
      <c r="BA67" s="216"/>
      <c r="BB67" s="216" t="s">
        <v>6067</v>
      </c>
      <c r="BC67" s="216"/>
      <c r="BD67" s="216"/>
      <c r="BE67" s="216"/>
      <c r="BF67" s="216"/>
      <c r="BG67" s="216"/>
      <c r="BH67" s="216"/>
      <c r="BI67" s="216"/>
      <c r="BJ67" s="216"/>
      <c r="BK67" s="216"/>
      <c r="BL67" s="216"/>
      <c r="BM67" s="216"/>
      <c r="BN67" s="216"/>
      <c r="BO67" s="216"/>
      <c r="BP67" s="216"/>
      <c r="BQ67" s="216"/>
      <c r="BR67" s="216"/>
      <c r="BS67" s="216"/>
      <c r="BT67" s="216"/>
      <c r="BU67" s="216"/>
      <c r="BV67" s="216"/>
      <c r="BW67" s="217"/>
    </row>
    <row r="68" spans="8:8" ht="40.35">
      <c r="A68" s="201"/>
      <c r="B68" s="244" t="s">
        <v>6068</v>
      </c>
      <c r="C68" s="244"/>
      <c r="D68" s="244"/>
      <c r="E68" s="244" t="s">
        <v>6069</v>
      </c>
      <c r="F68" s="244"/>
      <c r="G68" s="244" t="str">
        <f>_xlfn.DISPIMG("ID_80F9E7161D644A39A2032D8AFE610858",1)</f>
        <v>=DISPIMG("ID_80F9E7161D644A39A2032D8AFE610858",1)</v>
      </c>
      <c r="H68" s="201"/>
      <c r="I68" s="243" t="s">
        <v>1204</v>
      </c>
      <c r="J68" s="243"/>
      <c r="K68" s="243" t="s">
        <v>6070</v>
      </c>
      <c r="L68" s="243"/>
      <c r="N68" s="260" t="s">
        <v>6071</v>
      </c>
      <c r="O68" s="260"/>
      <c r="P68" s="260" t="s">
        <v>6072</v>
      </c>
      <c r="Q68" s="260"/>
      <c r="S68" s="256" t="s">
        <v>6073</v>
      </c>
      <c r="T68" s="256"/>
      <c r="U68" s="256" t="s">
        <v>6074</v>
      </c>
      <c r="V68" s="256"/>
      <c r="X68" s="244" t="s">
        <v>6086</v>
      </c>
      <c r="Y68" s="244"/>
      <c r="Z68" s="244"/>
      <c r="AA68" s="244"/>
      <c r="AB68" s="244"/>
      <c r="AC68" s="244" t="s">
        <v>6087</v>
      </c>
      <c r="AD68" s="244"/>
      <c r="AE68" s="244"/>
      <c r="AF68" s="244"/>
      <c r="AG68" s="244"/>
      <c r="AH68" s="201"/>
      <c r="AM68" s="210" t="s">
        <v>5539</v>
      </c>
      <c r="AN68" s="210"/>
      <c r="AO68" s="210"/>
      <c r="AP68" s="210"/>
      <c r="AQ68" s="210" t="s">
        <v>6077</v>
      </c>
      <c r="AR68" s="210"/>
      <c r="AS68" s="210"/>
      <c r="AT68" s="210"/>
      <c r="AU68" s="210"/>
      <c r="AW68" s="215" t="s">
        <v>6078</v>
      </c>
      <c r="AX68" s="216"/>
      <c r="AY68" s="216"/>
      <c r="AZ68" s="216"/>
      <c r="BA68" s="216"/>
      <c r="BB68" s="216" t="s">
        <v>6079</v>
      </c>
      <c r="BC68" s="216"/>
      <c r="BD68" s="216"/>
      <c r="BE68" s="216"/>
      <c r="BF68" s="216"/>
      <c r="BG68" s="216"/>
      <c r="BH68" s="216"/>
      <c r="BI68" s="216"/>
      <c r="BJ68" s="216"/>
      <c r="BK68" s="216"/>
      <c r="BL68" s="216"/>
      <c r="BM68" s="216"/>
      <c r="BN68" s="216"/>
      <c r="BO68" s="216"/>
      <c r="BP68" s="216"/>
      <c r="BQ68" s="216"/>
      <c r="BR68" s="216"/>
      <c r="BS68" s="216"/>
      <c r="BT68" s="216"/>
      <c r="BU68" s="216"/>
      <c r="BV68" s="216"/>
      <c r="BW68" s="217"/>
    </row>
    <row r="69" spans="8:8" ht="80.4">
      <c r="A69" s="201"/>
      <c r="B69" s="244" t="s">
        <v>6080</v>
      </c>
      <c r="C69" s="244"/>
      <c r="D69" s="244"/>
      <c r="E69" s="244" t="s">
        <v>6081</v>
      </c>
      <c r="F69" s="244"/>
      <c r="G69" s="244" t="str">
        <f>_xlfn.DISPIMG("ID_E233851543A446809A196B97D253457B",1)</f>
        <v>=DISPIMG("ID_E233851543A446809A196B97D253457B",1)</v>
      </c>
      <c r="H69" s="201"/>
      <c r="I69" s="243" t="s">
        <v>1208</v>
      </c>
      <c r="J69" s="243"/>
      <c r="K69" s="243" t="s">
        <v>6082</v>
      </c>
      <c r="L69" s="243"/>
      <c r="N69" s="260" t="s">
        <v>6083</v>
      </c>
      <c r="O69" s="260"/>
      <c r="P69" s="260" t="s">
        <v>6084</v>
      </c>
      <c r="Q69" s="260"/>
      <c r="S69" s="256" t="s">
        <v>1180</v>
      </c>
      <c r="T69" s="256"/>
      <c r="U69" s="256" t="s">
        <v>6085</v>
      </c>
      <c r="V69" s="256"/>
      <c r="X69" s="244" t="s">
        <v>6097</v>
      </c>
      <c r="Y69" s="244"/>
      <c r="Z69" s="244"/>
      <c r="AA69" s="244"/>
      <c r="AB69" s="244"/>
      <c r="AC69" s="244" t="s">
        <v>6098</v>
      </c>
      <c r="AD69" s="244"/>
      <c r="AE69" s="244"/>
      <c r="AF69" s="244"/>
      <c r="AG69" s="244"/>
      <c r="AH69" s="201"/>
      <c r="AM69" s="210" t="s">
        <v>5527</v>
      </c>
      <c r="AN69" s="210"/>
      <c r="AO69" s="210"/>
      <c r="AP69" s="210"/>
      <c r="AQ69" s="210" t="s">
        <v>6088</v>
      </c>
      <c r="AR69" s="210"/>
      <c r="AS69" s="210"/>
      <c r="AT69" s="210"/>
      <c r="AU69" s="210"/>
      <c r="AW69" s="215" t="s">
        <v>6089</v>
      </c>
      <c r="AX69" s="216"/>
      <c r="AY69" s="216"/>
      <c r="AZ69" s="216"/>
      <c r="BA69" s="216"/>
      <c r="BB69" s="216" t="s">
        <v>6090</v>
      </c>
      <c r="BC69" s="216"/>
      <c r="BD69" s="216"/>
      <c r="BE69" s="216"/>
      <c r="BF69" s="216"/>
      <c r="BG69" s="216"/>
      <c r="BH69" s="216"/>
      <c r="BI69" s="216"/>
      <c r="BJ69" s="216"/>
      <c r="BK69" s="216"/>
      <c r="BL69" s="216"/>
      <c r="BM69" s="216"/>
      <c r="BN69" s="216"/>
      <c r="BO69" s="216"/>
      <c r="BP69" s="216"/>
      <c r="BQ69" s="216"/>
      <c r="BR69" s="216"/>
      <c r="BS69" s="216"/>
      <c r="BT69" s="216"/>
      <c r="BU69" s="216"/>
      <c r="BV69" s="216"/>
      <c r="BW69" s="217"/>
    </row>
    <row r="70" spans="8:8" ht="27.45">
      <c r="A70" s="201"/>
      <c r="B70" s="244" t="s">
        <v>6091</v>
      </c>
      <c r="C70" s="244"/>
      <c r="D70" s="244"/>
      <c r="E70" s="244" t="s">
        <v>10149</v>
      </c>
      <c r="F70" s="244"/>
      <c r="G70" s="244" t="str">
        <f>_xlfn.DISPIMG("ID_B6EB8B69517B47FA8D7901BE11E0E12B",1)</f>
        <v>=DISPIMG("ID_B6EB8B69517B47FA8D7901BE11E0E12B",1)</v>
      </c>
      <c r="H70" s="201"/>
      <c r="I70" s="243" t="s">
        <v>6093</v>
      </c>
      <c r="J70" s="243"/>
      <c r="K70" s="243" t="s">
        <v>4965</v>
      </c>
      <c r="L70" s="243"/>
      <c r="N70" s="260" t="s">
        <v>6094</v>
      </c>
      <c r="O70" s="260"/>
      <c r="P70" s="260" t="s">
        <v>6095</v>
      </c>
      <c r="Q70" s="260"/>
      <c r="S70" s="256" t="s">
        <v>1184</v>
      </c>
      <c r="T70" s="256"/>
      <c r="U70" s="256" t="s">
        <v>6096</v>
      </c>
      <c r="V70" s="256"/>
      <c r="X70" s="244" t="s">
        <v>6109</v>
      </c>
      <c r="Y70" s="244"/>
      <c r="Z70" s="244"/>
      <c r="AA70" s="244"/>
      <c r="AB70" s="244"/>
      <c r="AC70" s="244" t="s">
        <v>6110</v>
      </c>
      <c r="AD70" s="244"/>
      <c r="AE70" s="244"/>
      <c r="AF70" s="244"/>
      <c r="AG70" s="244"/>
      <c r="AH70" s="201"/>
      <c r="AM70" s="210" t="s">
        <v>6099</v>
      </c>
      <c r="AN70" s="210"/>
      <c r="AO70" s="210"/>
      <c r="AP70" s="210"/>
      <c r="AQ70" s="210" t="s">
        <v>6100</v>
      </c>
      <c r="AR70" s="210"/>
      <c r="AS70" s="210"/>
      <c r="AT70" s="210"/>
      <c r="AU70" s="210"/>
      <c r="AW70" s="215" t="s">
        <v>6101</v>
      </c>
      <c r="AX70" s="216"/>
      <c r="AY70" s="216"/>
      <c r="AZ70" s="216"/>
      <c r="BA70" s="216"/>
      <c r="BB70" s="216" t="s">
        <v>6102</v>
      </c>
      <c r="BC70" s="216"/>
      <c r="BD70" s="216"/>
      <c r="BE70" s="216"/>
      <c r="BF70" s="216"/>
      <c r="BG70" s="216"/>
      <c r="BH70" s="216"/>
      <c r="BI70" s="216"/>
      <c r="BJ70" s="216"/>
      <c r="BK70" s="216"/>
      <c r="BL70" s="216"/>
      <c r="BM70" s="216"/>
      <c r="BN70" s="216"/>
      <c r="BO70" s="216"/>
      <c r="BP70" s="216"/>
      <c r="BQ70" s="216"/>
      <c r="BR70" s="216"/>
      <c r="BS70" s="216"/>
      <c r="BT70" s="216"/>
      <c r="BU70" s="216"/>
      <c r="BV70" s="216"/>
      <c r="BW70" s="217"/>
    </row>
    <row r="71" spans="8:8" ht="36.1">
      <c r="A71" s="201"/>
      <c r="B71" s="244" t="s">
        <v>6103</v>
      </c>
      <c r="C71" s="244"/>
      <c r="D71" s="244"/>
      <c r="E71" s="244" t="s">
        <v>10150</v>
      </c>
      <c r="F71" s="244"/>
      <c r="G71" s="244" t="str">
        <f>_xlfn.DISPIMG("ID_EA987B284EEC403698CD3E99930B39EA",1)</f>
        <v>=DISPIMG("ID_EA987B284EEC403698CD3E99930B39EA",1)</v>
      </c>
      <c r="H71" s="201"/>
      <c r="I71" s="243" t="s">
        <v>6105</v>
      </c>
      <c r="J71" s="243"/>
      <c r="K71" s="243" t="s">
        <v>6106</v>
      </c>
      <c r="L71" s="243"/>
      <c r="S71" s="256" t="s">
        <v>6107</v>
      </c>
      <c r="T71" s="256"/>
      <c r="U71" s="256" t="s">
        <v>6108</v>
      </c>
      <c r="V71" s="256"/>
      <c r="X71" s="259" t="s">
        <v>10144</v>
      </c>
      <c r="Y71" s="259"/>
      <c r="Z71" s="259"/>
      <c r="AA71" s="259"/>
      <c r="AB71" s="259"/>
      <c r="AC71" s="259"/>
      <c r="AD71" s="259"/>
      <c r="AE71" s="259"/>
      <c r="AF71" s="259"/>
      <c r="AG71" s="259"/>
      <c r="AH71" s="201"/>
      <c r="AM71" s="210" t="s">
        <v>6111</v>
      </c>
      <c r="AN71" s="210"/>
      <c r="AO71" s="210"/>
      <c r="AP71" s="210"/>
      <c r="AQ71" s="210" t="s">
        <v>6112</v>
      </c>
      <c r="AR71" s="210"/>
      <c r="AS71" s="210"/>
      <c r="AT71" s="210"/>
      <c r="AU71" s="210"/>
      <c r="AW71" s="215" t="s">
        <v>6113</v>
      </c>
      <c r="AX71" s="216"/>
      <c r="AY71" s="216"/>
      <c r="AZ71" s="216"/>
      <c r="BA71" s="216"/>
      <c r="BB71" s="216" t="s">
        <v>6114</v>
      </c>
      <c r="BC71" s="216"/>
      <c r="BD71" s="216"/>
      <c r="BE71" s="216"/>
      <c r="BF71" s="216"/>
      <c r="BG71" s="216"/>
      <c r="BH71" s="216"/>
      <c r="BI71" s="216"/>
      <c r="BJ71" s="216"/>
      <c r="BK71" s="216"/>
      <c r="BL71" s="216"/>
      <c r="BM71" s="216"/>
      <c r="BN71" s="216"/>
      <c r="BO71" s="216"/>
      <c r="BP71" s="216"/>
      <c r="BQ71" s="216"/>
      <c r="BR71" s="216"/>
      <c r="BS71" s="216"/>
      <c r="BT71" s="216"/>
      <c r="BU71" s="216"/>
      <c r="BV71" s="216"/>
      <c r="BW71" s="217"/>
    </row>
    <row r="72" spans="8:8" ht="58.6">
      <c r="A72" s="201"/>
      <c r="B72" s="244" t="s">
        <v>6115</v>
      </c>
      <c r="C72" s="244"/>
      <c r="D72" s="244"/>
      <c r="E72" s="244" t="s">
        <v>10151</v>
      </c>
      <c r="F72" s="244"/>
      <c r="G72" s="244" t="str">
        <f>_xlfn.DISPIMG("ID_C325264803C747149E567C11A150A936",1)</f>
        <v>=DISPIMG("ID_C325264803C747149E567C11A150A936",1)</v>
      </c>
      <c r="H72" s="201"/>
      <c r="I72" s="243" t="s">
        <v>6117</v>
      </c>
      <c r="J72" s="243"/>
      <c r="K72" s="243" t="s">
        <v>6118</v>
      </c>
      <c r="L72" s="243"/>
      <c r="S72" s="256" t="s">
        <v>1949</v>
      </c>
      <c r="T72" s="256"/>
      <c r="U72" s="256" t="s">
        <v>6119</v>
      </c>
      <c r="V72" s="256"/>
      <c r="X72" s="244" t="s">
        <v>6128</v>
      </c>
      <c r="Y72" s="244"/>
      <c r="Z72" s="244"/>
      <c r="AA72" s="244"/>
      <c r="AB72" s="244"/>
      <c r="AC72" s="244" t="s">
        <v>6129</v>
      </c>
      <c r="AD72" s="244"/>
      <c r="AE72" s="244"/>
      <c r="AF72" s="244"/>
      <c r="AG72" s="244"/>
      <c r="AH72" s="201"/>
      <c r="AM72" s="210" t="s">
        <v>6121</v>
      </c>
      <c r="AN72" s="210"/>
      <c r="AO72" s="210"/>
      <c r="AP72" s="210"/>
      <c r="AQ72" s="210" t="s">
        <v>6122</v>
      </c>
      <c r="AR72" s="210"/>
      <c r="AS72" s="210"/>
      <c r="AT72" s="210"/>
      <c r="AU72" s="210"/>
      <c r="AW72" s="215" t="s">
        <v>6123</v>
      </c>
      <c r="AX72" s="216"/>
      <c r="AY72" s="216"/>
      <c r="AZ72" s="216"/>
      <c r="BA72" s="216"/>
      <c r="BB72" s="216" t="s">
        <v>6124</v>
      </c>
      <c r="BC72" s="216"/>
      <c r="BD72" s="216"/>
      <c r="BE72" s="216"/>
      <c r="BF72" s="216"/>
      <c r="BG72" s="216"/>
      <c r="BH72" s="216"/>
      <c r="BI72" s="216"/>
      <c r="BJ72" s="216"/>
      <c r="BK72" s="216"/>
      <c r="BL72" s="216"/>
      <c r="BM72" s="216"/>
      <c r="BN72" s="216"/>
      <c r="BO72" s="216"/>
      <c r="BP72" s="216"/>
      <c r="BQ72" s="216"/>
      <c r="BR72" s="216"/>
      <c r="BS72" s="216"/>
      <c r="BT72" s="216"/>
      <c r="BU72" s="216"/>
      <c r="BV72" s="216"/>
      <c r="BW72" s="217"/>
    </row>
    <row r="73" spans="8:8" ht="43.85">
      <c r="A73" s="201"/>
      <c r="B73" s="244" t="s">
        <v>6125</v>
      </c>
      <c r="C73" s="244"/>
      <c r="D73" s="244"/>
      <c r="E73" s="244" t="s">
        <v>10152</v>
      </c>
      <c r="F73" s="244"/>
      <c r="G73" s="244" t="str">
        <f>_xlfn.DISPIMG("ID_E9860260CBC9414A8C10CD78D58DAE72",1)</f>
        <v>=DISPIMG("ID_E9860260CBC9414A8C10CD78D58DAE72",1)</v>
      </c>
      <c r="H73" s="201"/>
      <c r="S73" s="256" t="s">
        <v>1093</v>
      </c>
      <c r="T73" s="256"/>
      <c r="U73" s="256" t="s">
        <v>6127</v>
      </c>
      <c r="V73" s="256"/>
      <c r="X73" s="244" t="s">
        <v>6138</v>
      </c>
      <c r="Y73" s="244"/>
      <c r="Z73" s="244"/>
      <c r="AA73" s="244"/>
      <c r="AB73" s="244"/>
      <c r="AC73" s="244" t="s">
        <v>6139</v>
      </c>
      <c r="AD73" s="244"/>
      <c r="AE73" s="244"/>
      <c r="AF73" s="244"/>
      <c r="AG73" s="244"/>
      <c r="AH73" s="201"/>
      <c r="AM73" s="210" t="s">
        <v>6130</v>
      </c>
      <c r="AN73" s="210"/>
      <c r="AO73" s="210"/>
      <c r="AP73" s="210"/>
      <c r="AQ73" s="210" t="s">
        <v>6131</v>
      </c>
      <c r="AR73" s="210"/>
      <c r="AS73" s="210"/>
      <c r="AT73" s="210"/>
      <c r="AU73" s="210"/>
      <c r="AW73" s="215" t="s">
        <v>6132</v>
      </c>
      <c r="AX73" s="216"/>
      <c r="AY73" s="216"/>
      <c r="AZ73" s="216"/>
      <c r="BA73" s="216"/>
      <c r="BB73" s="216" t="s">
        <v>6133</v>
      </c>
      <c r="BC73" s="216"/>
      <c r="BD73" s="216"/>
      <c r="BE73" s="216"/>
      <c r="BF73" s="216"/>
      <c r="BG73" s="216"/>
      <c r="BH73" s="216"/>
      <c r="BI73" s="216"/>
      <c r="BJ73" s="216"/>
      <c r="BK73" s="216"/>
      <c r="BL73" s="216"/>
      <c r="BM73" s="216"/>
      <c r="BN73" s="216"/>
      <c r="BO73" s="216"/>
      <c r="BP73" s="216"/>
      <c r="BQ73" s="216"/>
      <c r="BR73" s="216"/>
      <c r="BS73" s="216"/>
      <c r="BT73" s="216"/>
      <c r="BU73" s="216"/>
      <c r="BV73" s="216"/>
      <c r="BW73" s="217"/>
    </row>
    <row r="74" spans="8:8" ht="42.25">
      <c r="A74" s="201"/>
      <c r="B74" s="244" t="s">
        <v>6134</v>
      </c>
      <c r="C74" s="244"/>
      <c r="D74" s="244"/>
      <c r="E74" s="244" t="s">
        <v>10153</v>
      </c>
      <c r="F74" s="244"/>
      <c r="G74" s="244" t="str">
        <f>_xlfn.DISPIMG("ID_CDE52053B8774D57BD50A9D012C658B5",1)</f>
        <v>=DISPIMG("ID_CDE52053B8774D57BD50A9D012C658B5",1)</v>
      </c>
      <c r="H74" s="201"/>
      <c r="S74" s="256" t="s">
        <v>6136</v>
      </c>
      <c r="T74" s="256"/>
      <c r="U74" s="256" t="s">
        <v>6137</v>
      </c>
      <c r="V74" s="256"/>
      <c r="X74" s="244" t="s">
        <v>6146</v>
      </c>
      <c r="Y74" s="244"/>
      <c r="Z74" s="244"/>
      <c r="AA74" s="244"/>
      <c r="AB74" s="244"/>
      <c r="AC74" s="244" t="s">
        <v>6147</v>
      </c>
      <c r="AD74" s="244"/>
      <c r="AE74" s="244"/>
      <c r="AF74" s="244"/>
      <c r="AG74" s="244"/>
      <c r="AH74" s="201"/>
      <c r="AM74" s="210" t="s">
        <v>5492</v>
      </c>
      <c r="AN74" s="210"/>
      <c r="AO74" s="210"/>
      <c r="AP74" s="210"/>
      <c r="AQ74" s="210" t="s">
        <v>5493</v>
      </c>
      <c r="AR74" s="210"/>
      <c r="AS74" s="210"/>
      <c r="AT74" s="210"/>
      <c r="AU74" s="210"/>
      <c r="AW74" s="215" t="s">
        <v>6140</v>
      </c>
      <c r="AX74" s="216"/>
      <c r="AY74" s="216"/>
      <c r="AZ74" s="216"/>
      <c r="BA74" s="216"/>
      <c r="BB74" s="216" t="s">
        <v>6141</v>
      </c>
      <c r="BC74" s="216"/>
      <c r="BD74" s="216"/>
      <c r="BE74" s="216"/>
      <c r="BF74" s="216"/>
      <c r="BG74" s="216"/>
      <c r="BH74" s="216"/>
      <c r="BI74" s="216"/>
      <c r="BJ74" s="216"/>
      <c r="BK74" s="216"/>
      <c r="BL74" s="216"/>
      <c r="BM74" s="216"/>
      <c r="BN74" s="216"/>
      <c r="BO74" s="216"/>
      <c r="BP74" s="216"/>
      <c r="BQ74" s="216"/>
      <c r="BR74" s="216"/>
      <c r="BS74" s="216"/>
      <c r="BT74" s="216"/>
      <c r="BU74" s="216"/>
      <c r="BV74" s="216"/>
      <c r="BW74" s="217"/>
    </row>
    <row r="75" spans="8:8" ht="31.3">
      <c r="A75" s="201"/>
      <c r="B75" s="244" t="s">
        <v>6142</v>
      </c>
      <c r="C75" s="244"/>
      <c r="D75" s="244"/>
      <c r="E75" s="244" t="s">
        <v>10154</v>
      </c>
      <c r="F75" s="244"/>
      <c r="G75" s="244" t="str">
        <f>_xlfn.DISPIMG("ID_17BBB7940C4548A49B24E44941FAC727",1)</f>
        <v>=DISPIMG("ID_17BBB7940C4548A49B24E44941FAC727",1)</v>
      </c>
      <c r="H75" s="201"/>
      <c r="S75" s="256" t="s">
        <v>6144</v>
      </c>
      <c r="T75" s="256"/>
      <c r="U75" s="256" t="s">
        <v>6145</v>
      </c>
      <c r="V75" s="256"/>
      <c r="X75" s="244" t="s">
        <v>6156</v>
      </c>
      <c r="Y75" s="244"/>
      <c r="Z75" s="244"/>
      <c r="AA75" s="244"/>
      <c r="AB75" s="244"/>
      <c r="AC75" s="244" t="s">
        <v>6157</v>
      </c>
      <c r="AD75" s="244"/>
      <c r="AE75" s="244"/>
      <c r="AF75" s="244"/>
      <c r="AG75" s="244"/>
      <c r="AH75" s="201"/>
      <c r="AM75" s="210" t="s">
        <v>6148</v>
      </c>
      <c r="AN75" s="210"/>
      <c r="AO75" s="210"/>
      <c r="AP75" s="210"/>
      <c r="AQ75" s="210" t="s">
        <v>6149</v>
      </c>
      <c r="AR75" s="210"/>
      <c r="AS75" s="210"/>
      <c r="AT75" s="210"/>
      <c r="AU75" s="210"/>
      <c r="AW75" s="215" t="s">
        <v>6150</v>
      </c>
      <c r="AX75" s="216"/>
      <c r="AY75" s="216"/>
      <c r="AZ75" s="216"/>
      <c r="BA75" s="216"/>
      <c r="BB75" s="216" t="s">
        <v>6151</v>
      </c>
      <c r="BC75" s="216"/>
      <c r="BD75" s="216"/>
      <c r="BE75" s="216"/>
      <c r="BF75" s="216"/>
      <c r="BG75" s="216"/>
      <c r="BH75" s="216"/>
      <c r="BI75" s="216"/>
      <c r="BJ75" s="216"/>
      <c r="BK75" s="216"/>
      <c r="BL75" s="216"/>
      <c r="BM75" s="216"/>
      <c r="BN75" s="216"/>
      <c r="BO75" s="216"/>
      <c r="BP75" s="216"/>
      <c r="BQ75" s="216"/>
      <c r="BR75" s="216"/>
      <c r="BS75" s="216"/>
      <c r="BT75" s="216"/>
      <c r="BU75" s="216"/>
      <c r="BV75" s="216"/>
      <c r="BW75" s="217"/>
    </row>
    <row r="76" spans="8:8" ht="80.4">
      <c r="A76" s="201"/>
      <c r="B76" s="244" t="s">
        <v>6152</v>
      </c>
      <c r="C76" s="244"/>
      <c r="D76" s="244"/>
      <c r="E76" s="244" t="s">
        <v>6153</v>
      </c>
      <c r="F76" s="244"/>
      <c r="G76" s="244" t="str">
        <f>_xlfn.DISPIMG("ID_6BF763F3F48C4FBB9420AEC655B9A577",1)</f>
        <v>=DISPIMG("ID_6BF763F3F48C4FBB9420AEC655B9A577",1)</v>
      </c>
      <c r="H76" s="201"/>
      <c r="S76" s="256" t="s">
        <v>6154</v>
      </c>
      <c r="T76" s="256"/>
      <c r="U76" s="256" t="s">
        <v>6155</v>
      </c>
      <c r="V76" s="256"/>
      <c r="X76" s="244" t="s">
        <v>6164</v>
      </c>
      <c r="Y76" s="244"/>
      <c r="Z76" s="244"/>
      <c r="AA76" s="244"/>
      <c r="AB76" s="244"/>
      <c r="AC76" s="244" t="s">
        <v>6165</v>
      </c>
      <c r="AD76" s="244"/>
      <c r="AE76" s="244"/>
      <c r="AF76" s="244"/>
      <c r="AG76" s="244"/>
      <c r="AH76" s="201"/>
      <c r="AM76" s="210" t="s">
        <v>6158</v>
      </c>
      <c r="AN76" s="210"/>
      <c r="AO76" s="210"/>
      <c r="AP76" s="210"/>
      <c r="AQ76" s="210" t="s">
        <v>6159</v>
      </c>
      <c r="AR76" s="210"/>
      <c r="AS76" s="210"/>
      <c r="AT76" s="210"/>
      <c r="AU76" s="210"/>
      <c r="AW76" s="215" t="s">
        <v>6160</v>
      </c>
      <c r="AX76" s="216"/>
      <c r="AY76" s="216"/>
      <c r="AZ76" s="216"/>
      <c r="BA76" s="216"/>
      <c r="BB76" s="216" t="s">
        <v>6161</v>
      </c>
      <c r="BC76" s="216"/>
      <c r="BD76" s="216"/>
      <c r="BE76" s="216"/>
      <c r="BF76" s="216"/>
      <c r="BG76" s="216"/>
      <c r="BH76" s="216"/>
      <c r="BI76" s="216"/>
      <c r="BJ76" s="216"/>
      <c r="BK76" s="216"/>
      <c r="BL76" s="216"/>
      <c r="BM76" s="216"/>
      <c r="BN76" s="216"/>
      <c r="BO76" s="216"/>
      <c r="BP76" s="216"/>
      <c r="BQ76" s="216"/>
      <c r="BR76" s="216"/>
      <c r="BS76" s="216"/>
      <c r="BT76" s="216"/>
      <c r="BU76" s="216"/>
      <c r="BV76" s="216"/>
      <c r="BW76" s="217"/>
    </row>
    <row r="77" spans="8:8" ht="80.4">
      <c r="A77" s="201"/>
      <c r="B77" s="244" t="s">
        <v>6162</v>
      </c>
      <c r="C77" s="244"/>
      <c r="D77" s="244"/>
      <c r="E77" s="244" t="s">
        <v>6163</v>
      </c>
      <c r="F77" s="244"/>
      <c r="G77" s="244" t="str">
        <f>_xlfn.DISPIMG("ID_82156751FBE94FF992198E0688D07110",1)</f>
        <v>=DISPIMG("ID_82156751FBE94FF992198E0688D07110",1)</v>
      </c>
      <c r="H77" s="201"/>
      <c r="S77" s="256" t="s">
        <v>1937</v>
      </c>
      <c r="T77" s="256"/>
      <c r="U77" s="256" t="s">
        <v>2198</v>
      </c>
      <c r="V77" s="256"/>
      <c r="X77" s="244" t="s">
        <v>6172</v>
      </c>
      <c r="Y77" s="244"/>
      <c r="Z77" s="244"/>
      <c r="AA77" s="244"/>
      <c r="AB77" s="244"/>
      <c r="AC77" s="244" t="s">
        <v>6173</v>
      </c>
      <c r="AD77" s="244"/>
      <c r="AE77" s="244"/>
      <c r="AF77" s="244"/>
      <c r="AG77" s="244"/>
      <c r="AH77" s="201"/>
      <c r="AM77" s="210" t="s">
        <v>6166</v>
      </c>
      <c r="AN77" s="210"/>
      <c r="AO77" s="210"/>
      <c r="AP77" s="210"/>
      <c r="AQ77" s="210" t="s">
        <v>6167</v>
      </c>
      <c r="AR77" s="210"/>
      <c r="AS77" s="210"/>
      <c r="AT77" s="210"/>
      <c r="AU77" s="210"/>
      <c r="AW77" s="215" t="s">
        <v>6168</v>
      </c>
      <c r="AX77" s="216"/>
      <c r="AY77" s="216"/>
      <c r="AZ77" s="216"/>
      <c r="BA77" s="216"/>
      <c r="BB77" s="216" t="s">
        <v>6169</v>
      </c>
      <c r="BC77" s="216"/>
      <c r="BD77" s="216"/>
      <c r="BE77" s="216"/>
      <c r="BF77" s="216"/>
      <c r="BG77" s="216"/>
      <c r="BH77" s="216"/>
      <c r="BI77" s="216"/>
      <c r="BJ77" s="216"/>
      <c r="BK77" s="216"/>
      <c r="BL77" s="216"/>
      <c r="BM77" s="216"/>
      <c r="BN77" s="216"/>
      <c r="BO77" s="216"/>
      <c r="BP77" s="216"/>
      <c r="BQ77" s="216"/>
      <c r="BR77" s="216"/>
      <c r="BS77" s="216"/>
      <c r="BT77" s="216"/>
      <c r="BU77" s="216"/>
      <c r="BV77" s="216"/>
      <c r="BW77" s="217"/>
    </row>
    <row r="78" spans="8:8" ht="74.4">
      <c r="A78" s="201"/>
      <c r="B78" s="244" t="s">
        <v>6170</v>
      </c>
      <c r="C78" s="244"/>
      <c r="D78" s="244"/>
      <c r="E78" s="244" t="s">
        <v>6171</v>
      </c>
      <c r="F78" s="244"/>
      <c r="G78" s="244" t="str">
        <f>_xlfn.DISPIMG("ID_33BB71BB64754993910B342669EA1D01",1)</f>
        <v>=DISPIMG("ID_33BB71BB64754993910B342669EA1D01",1)</v>
      </c>
      <c r="H78" s="201"/>
      <c r="S78" s="201"/>
      <c r="X78" s="244" t="s">
        <v>6180</v>
      </c>
      <c r="Y78" s="244"/>
      <c r="Z78" s="244"/>
      <c r="AA78" s="244"/>
      <c r="AB78" s="244"/>
      <c r="AC78" s="244" t="s">
        <v>6181</v>
      </c>
      <c r="AD78" s="244"/>
      <c r="AE78" s="244"/>
      <c r="AF78" s="244"/>
      <c r="AG78" s="244"/>
      <c r="AH78" s="201"/>
      <c r="AM78" s="210" t="s">
        <v>6174</v>
      </c>
      <c r="AN78" s="210"/>
      <c r="AO78" s="210"/>
      <c r="AP78" s="210"/>
      <c r="AQ78" s="210" t="s">
        <v>6175</v>
      </c>
      <c r="AR78" s="210"/>
      <c r="AS78" s="210"/>
      <c r="AT78" s="210"/>
      <c r="AU78" s="210"/>
      <c r="AW78" s="215" t="s">
        <v>6176</v>
      </c>
      <c r="AX78" s="216"/>
      <c r="AY78" s="216"/>
      <c r="AZ78" s="216"/>
      <c r="BA78" s="216"/>
      <c r="BB78" s="216" t="s">
        <v>6177</v>
      </c>
      <c r="BC78" s="216"/>
      <c r="BD78" s="216"/>
      <c r="BE78" s="216"/>
      <c r="BF78" s="216"/>
      <c r="BG78" s="216"/>
      <c r="BH78" s="216"/>
      <c r="BI78" s="216"/>
      <c r="BJ78" s="216"/>
      <c r="BK78" s="216"/>
      <c r="BL78" s="216"/>
      <c r="BM78" s="216"/>
      <c r="BN78" s="216"/>
      <c r="BO78" s="216"/>
      <c r="BP78" s="216"/>
      <c r="BQ78" s="216"/>
      <c r="BR78" s="216"/>
      <c r="BS78" s="216"/>
      <c r="BT78" s="216"/>
      <c r="BU78" s="216"/>
      <c r="BV78" s="216"/>
      <c r="BW78" s="217"/>
    </row>
    <row r="79" spans="8:8" ht="52.55">
      <c r="A79" s="201"/>
      <c r="B79" s="244" t="s">
        <v>6178</v>
      </c>
      <c r="C79" s="244"/>
      <c r="D79" s="244"/>
      <c r="E79" s="244" t="s">
        <v>6179</v>
      </c>
      <c r="F79" s="244"/>
      <c r="G79" s="244" t="str">
        <f>_xlfn.DISPIMG("ID_0A03C7C2E6344370A50358F1169DE98D",1)</f>
        <v>=DISPIMG("ID_0A03C7C2E6344370A50358F1169DE98D",1)</v>
      </c>
      <c r="H79" s="201"/>
      <c r="S79" s="201"/>
      <c r="X79" s="244" t="s">
        <v>6188</v>
      </c>
      <c r="Y79" s="244"/>
      <c r="Z79" s="244"/>
      <c r="AA79" s="244"/>
      <c r="AB79" s="244"/>
      <c r="AC79" s="244" t="s">
        <v>6189</v>
      </c>
      <c r="AD79" s="244"/>
      <c r="AE79" s="244"/>
      <c r="AF79" s="244"/>
      <c r="AG79" s="244"/>
      <c r="AH79" s="201"/>
      <c r="AM79" s="210" t="s">
        <v>6182</v>
      </c>
      <c r="AN79" s="210"/>
      <c r="AO79" s="210"/>
      <c r="AP79" s="210"/>
      <c r="AQ79" s="210" t="s">
        <v>6183</v>
      </c>
      <c r="AR79" s="210"/>
      <c r="AS79" s="210"/>
      <c r="AT79" s="210"/>
      <c r="AU79" s="210"/>
      <c r="AW79" s="215" t="s">
        <v>6184</v>
      </c>
      <c r="AX79" s="216"/>
      <c r="AY79" s="216"/>
      <c r="AZ79" s="216"/>
      <c r="BA79" s="216"/>
      <c r="BB79" s="216" t="s">
        <v>6185</v>
      </c>
      <c r="BC79" s="216"/>
      <c r="BD79" s="216"/>
      <c r="BE79" s="216"/>
      <c r="BF79" s="216"/>
      <c r="BG79" s="216"/>
      <c r="BH79" s="216"/>
      <c r="BI79" s="216"/>
      <c r="BJ79" s="216"/>
      <c r="BK79" s="216"/>
      <c r="BL79" s="216"/>
      <c r="BM79" s="216"/>
      <c r="BN79" s="216"/>
      <c r="BO79" s="216"/>
      <c r="BP79" s="216"/>
      <c r="BQ79" s="216"/>
      <c r="BR79" s="216"/>
      <c r="BS79" s="216"/>
      <c r="BT79" s="216"/>
      <c r="BU79" s="216"/>
      <c r="BV79" s="216"/>
      <c r="BW79" s="217"/>
    </row>
    <row r="80" spans="8:8" ht="17.45">
      <c r="A80" s="201"/>
      <c r="B80" s="244" t="s">
        <v>6186</v>
      </c>
      <c r="C80" s="244"/>
      <c r="D80" s="244"/>
      <c r="E80" s="244" t="s">
        <v>6187</v>
      </c>
      <c r="F80" s="244"/>
      <c r="G80" s="244" t="str">
        <f>_xlfn.DISPIMG("ID_DC22066B560045F794808FFEAC5CA3C1",1)</f>
        <v>=DISPIMG("ID_DC22066B560045F794808FFEAC5CA3C1",1)</v>
      </c>
      <c r="H80" s="201"/>
      <c r="S80" s="201"/>
      <c r="T80" s="201"/>
      <c r="U80" s="201"/>
      <c r="V80" s="201"/>
      <c r="W80" s="201"/>
      <c r="X80" s="244" t="s">
        <v>6196</v>
      </c>
      <c r="Y80" s="244"/>
      <c r="Z80" s="244"/>
      <c r="AA80" s="244"/>
      <c r="AB80" s="244"/>
      <c r="AC80" s="244" t="s">
        <v>6197</v>
      </c>
      <c r="AD80" s="244"/>
      <c r="AE80" s="244"/>
      <c r="AF80" s="244"/>
      <c r="AG80" s="244"/>
      <c r="AH80" s="201"/>
      <c r="AM80" s="210" t="s">
        <v>6190</v>
      </c>
      <c r="AN80" s="210"/>
      <c r="AO80" s="210"/>
      <c r="AP80" s="210"/>
      <c r="AQ80" s="210" t="s">
        <v>6191</v>
      </c>
      <c r="AR80" s="210"/>
      <c r="AS80" s="210"/>
      <c r="AT80" s="210"/>
      <c r="AU80" s="210"/>
      <c r="AW80" s="215" t="s">
        <v>6192</v>
      </c>
      <c r="AX80" s="216"/>
      <c r="AY80" s="216"/>
      <c r="AZ80" s="216"/>
      <c r="BA80" s="216"/>
      <c r="BB80" s="216" t="s">
        <v>6193</v>
      </c>
      <c r="BC80" s="216"/>
      <c r="BD80" s="216"/>
      <c r="BE80" s="216"/>
      <c r="BF80" s="216"/>
      <c r="BG80" s="216"/>
      <c r="BH80" s="216"/>
      <c r="BI80" s="216"/>
      <c r="BJ80" s="216"/>
      <c r="BK80" s="216"/>
      <c r="BL80" s="216"/>
      <c r="BM80" s="216"/>
      <c r="BN80" s="216"/>
      <c r="BO80" s="216"/>
      <c r="BP80" s="216"/>
      <c r="BQ80" s="216"/>
      <c r="BR80" s="216"/>
      <c r="BS80" s="216"/>
      <c r="BT80" s="216"/>
      <c r="BU80" s="216"/>
      <c r="BV80" s="216"/>
      <c r="BW80" s="217"/>
    </row>
    <row r="81" spans="8:8" ht="80.4">
      <c r="A81" s="201"/>
      <c r="B81" s="244" t="s">
        <v>6194</v>
      </c>
      <c r="C81" s="244"/>
      <c r="D81" s="244"/>
      <c r="E81" s="244" t="s">
        <v>6195</v>
      </c>
      <c r="F81" s="244"/>
      <c r="G81" s="244" t="str">
        <f>_xlfn.DISPIMG("ID_29E1EF63D8C5405D9C46F1DF04C21A32",1)</f>
        <v>=DISPIMG("ID_29E1EF63D8C5405D9C46F1DF04C21A32",1)</v>
      </c>
      <c r="H81" s="201"/>
      <c r="S81" s="201"/>
      <c r="T81" s="201"/>
      <c r="U81" s="201"/>
      <c r="V81" s="201"/>
      <c r="W81" s="201"/>
      <c r="X81" s="244" t="s">
        <v>6204</v>
      </c>
      <c r="Y81" s="244"/>
      <c r="Z81" s="244"/>
      <c r="AA81" s="244"/>
      <c r="AB81" s="244"/>
      <c r="AC81" s="244" t="s">
        <v>6205</v>
      </c>
      <c r="AD81" s="244"/>
      <c r="AE81" s="244"/>
      <c r="AF81" s="244"/>
      <c r="AG81" s="244"/>
      <c r="AH81" s="201"/>
      <c r="AM81" s="210" t="s">
        <v>6198</v>
      </c>
      <c r="AN81" s="210"/>
      <c r="AO81" s="210"/>
      <c r="AP81" s="210"/>
      <c r="AQ81" s="210" t="s">
        <v>6199</v>
      </c>
      <c r="AR81" s="210"/>
      <c r="AS81" s="210"/>
      <c r="AT81" s="210"/>
      <c r="AU81" s="210"/>
      <c r="AW81" s="215" t="s">
        <v>6200</v>
      </c>
      <c r="AX81" s="216"/>
      <c r="AY81" s="216"/>
      <c r="AZ81" s="216"/>
      <c r="BA81" s="216"/>
      <c r="BB81" s="216" t="s">
        <v>6201</v>
      </c>
      <c r="BC81" s="216"/>
      <c r="BD81" s="216"/>
      <c r="BE81" s="216"/>
      <c r="BF81" s="216"/>
      <c r="BG81" s="216"/>
      <c r="BH81" s="216"/>
      <c r="BI81" s="216"/>
      <c r="BJ81" s="216"/>
      <c r="BK81" s="216"/>
      <c r="BL81" s="216"/>
      <c r="BM81" s="216"/>
      <c r="BN81" s="216"/>
      <c r="BO81" s="216"/>
      <c r="BP81" s="216"/>
      <c r="BQ81" s="216"/>
      <c r="BR81" s="216"/>
      <c r="BS81" s="216"/>
      <c r="BT81" s="216"/>
      <c r="BU81" s="216"/>
      <c r="BV81" s="216"/>
      <c r="BW81" s="217"/>
    </row>
    <row r="82" spans="8:8" ht="80.4">
      <c r="A82" s="201"/>
      <c r="B82" s="244" t="s">
        <v>6202</v>
      </c>
      <c r="C82" s="244"/>
      <c r="D82" s="244"/>
      <c r="E82" s="244" t="s">
        <v>6203</v>
      </c>
      <c r="F82" s="244"/>
      <c r="G82" s="244" t="str">
        <f>_xlfn.DISPIMG("ID_431D0D0157F446E5976AEB10F0709F5A",1)</f>
        <v>=DISPIMG("ID_431D0D0157F446E5976AEB10F0709F5A",1)</v>
      </c>
      <c r="H82" s="201"/>
      <c r="S82" s="201"/>
      <c r="T82" s="201"/>
      <c r="U82" s="201"/>
      <c r="V82" s="201"/>
      <c r="W82" s="201"/>
      <c r="X82" s="244" t="s">
        <v>6212</v>
      </c>
      <c r="Y82" s="244"/>
      <c r="Z82" s="244"/>
      <c r="AA82" s="244"/>
      <c r="AB82" s="244"/>
      <c r="AC82" s="244" t="s">
        <v>6213</v>
      </c>
      <c r="AD82" s="244"/>
      <c r="AE82" s="244"/>
      <c r="AF82" s="244"/>
      <c r="AG82" s="244"/>
      <c r="AH82" s="201"/>
      <c r="AM82" s="210" t="s">
        <v>6206</v>
      </c>
      <c r="AN82" s="210"/>
      <c r="AO82" s="210"/>
      <c r="AP82" s="210"/>
      <c r="AQ82" s="210" t="s">
        <v>6207</v>
      </c>
      <c r="AR82" s="210"/>
      <c r="AS82" s="210"/>
      <c r="AT82" s="210"/>
      <c r="AU82" s="210"/>
      <c r="AW82" s="215" t="s">
        <v>6208</v>
      </c>
      <c r="AX82" s="216"/>
      <c r="AY82" s="216"/>
      <c r="AZ82" s="216"/>
      <c r="BA82" s="216"/>
      <c r="BB82" s="216" t="s">
        <v>6209</v>
      </c>
      <c r="BC82" s="216"/>
      <c r="BD82" s="216"/>
      <c r="BE82" s="216"/>
      <c r="BF82" s="216"/>
      <c r="BG82" s="216"/>
      <c r="BH82" s="216"/>
      <c r="BI82" s="216"/>
      <c r="BJ82" s="216"/>
      <c r="BK82" s="216"/>
      <c r="BL82" s="216"/>
      <c r="BM82" s="216"/>
      <c r="BN82" s="216"/>
      <c r="BO82" s="216"/>
      <c r="BP82" s="216"/>
      <c r="BQ82" s="216"/>
      <c r="BR82" s="216"/>
      <c r="BS82" s="216"/>
      <c r="BT82" s="216"/>
      <c r="BU82" s="216"/>
      <c r="BV82" s="216"/>
      <c r="BW82" s="217"/>
    </row>
    <row r="83" spans="8:8" ht="80.4">
      <c r="A83" s="201"/>
      <c r="B83" s="244" t="s">
        <v>6210</v>
      </c>
      <c r="C83" s="244"/>
      <c r="D83" s="244"/>
      <c r="E83" s="244" t="s">
        <v>6211</v>
      </c>
      <c r="F83" s="244"/>
      <c r="G83" s="244" t="str">
        <f>_xlfn.DISPIMG("ID_CF843F98DF1949EE99C5AE2CD22E0837",1)</f>
        <v>=DISPIMG("ID_CF843F98DF1949EE99C5AE2CD22E0837",1)</v>
      </c>
      <c r="H83" s="201"/>
      <c r="S83" s="201"/>
      <c r="T83" s="201"/>
      <c r="U83" s="201"/>
      <c r="V83" s="201"/>
      <c r="W83" s="201"/>
      <c r="X83" s="244" t="s">
        <v>6220</v>
      </c>
      <c r="Y83" s="244"/>
      <c r="Z83" s="244"/>
      <c r="AA83" s="244"/>
      <c r="AB83" s="244"/>
      <c r="AC83" s="244" t="s">
        <v>6221</v>
      </c>
      <c r="AD83" s="244"/>
      <c r="AE83" s="244"/>
      <c r="AF83" s="244"/>
      <c r="AG83" s="244"/>
      <c r="AH83" s="201"/>
      <c r="AM83" s="210" t="s">
        <v>6214</v>
      </c>
      <c r="AN83" s="210"/>
      <c r="AO83" s="210"/>
      <c r="AP83" s="210"/>
      <c r="AQ83" s="210" t="s">
        <v>6215</v>
      </c>
      <c r="AR83" s="210"/>
      <c r="AS83" s="210"/>
      <c r="AT83" s="210"/>
      <c r="AU83" s="210"/>
      <c r="AW83" s="215" t="s">
        <v>6216</v>
      </c>
      <c r="AX83" s="216"/>
      <c r="AY83" s="216"/>
      <c r="AZ83" s="216"/>
      <c r="BA83" s="216"/>
      <c r="BB83" s="216" t="s">
        <v>6217</v>
      </c>
      <c r="BC83" s="216"/>
      <c r="BD83" s="216"/>
      <c r="BE83" s="216"/>
      <c r="BF83" s="216"/>
      <c r="BG83" s="216"/>
      <c r="BH83" s="216"/>
      <c r="BI83" s="216"/>
      <c r="BJ83" s="216"/>
      <c r="BK83" s="216"/>
      <c r="BL83" s="216"/>
      <c r="BM83" s="216"/>
      <c r="BN83" s="216"/>
      <c r="BO83" s="216"/>
      <c r="BP83" s="216"/>
      <c r="BQ83" s="216"/>
      <c r="BR83" s="216"/>
      <c r="BS83" s="216"/>
      <c r="BT83" s="216"/>
      <c r="BU83" s="216"/>
      <c r="BV83" s="216"/>
      <c r="BW83" s="217"/>
    </row>
    <row r="84" spans="8:8" ht="50.0">
      <c r="A84" s="201"/>
      <c r="B84" s="244" t="s">
        <v>6218</v>
      </c>
      <c r="C84" s="244"/>
      <c r="D84" s="244"/>
      <c r="E84" s="244" t="s">
        <v>6219</v>
      </c>
      <c r="F84" s="244"/>
      <c r="G84" s="244" t="str">
        <f>_xlfn.DISPIMG("ID_0991FE40B95347AC9389FA0EFB7CE15F",1)</f>
        <v>=DISPIMG("ID_0991FE40B95347AC9389FA0EFB7CE15F",1)</v>
      </c>
      <c r="H84" s="201"/>
      <c r="S84" s="201"/>
      <c r="T84" s="201"/>
      <c r="U84" s="201"/>
      <c r="V84" s="201"/>
      <c r="W84" s="201"/>
      <c r="X84" s="244" t="s">
        <v>6228</v>
      </c>
      <c r="Y84" s="244"/>
      <c r="Z84" s="244"/>
      <c r="AA84" s="244"/>
      <c r="AB84" s="244"/>
      <c r="AC84" s="244" t="s">
        <v>6229</v>
      </c>
      <c r="AD84" s="244"/>
      <c r="AE84" s="244"/>
      <c r="AF84" s="244"/>
      <c r="AG84" s="244"/>
      <c r="AH84" s="201"/>
      <c r="AM84" s="210" t="s">
        <v>6222</v>
      </c>
      <c r="AN84" s="210"/>
      <c r="AO84" s="210"/>
      <c r="AP84" s="210"/>
      <c r="AQ84" s="210" t="s">
        <v>6223</v>
      </c>
      <c r="AR84" s="210"/>
      <c r="AS84" s="210"/>
      <c r="AT84" s="210"/>
      <c r="AU84" s="210"/>
      <c r="AW84" s="215" t="s">
        <v>6224</v>
      </c>
      <c r="AX84" s="216"/>
      <c r="AY84" s="216"/>
      <c r="AZ84" s="216"/>
      <c r="BA84" s="216"/>
      <c r="BB84" s="216" t="s">
        <v>6225</v>
      </c>
      <c r="BC84" s="216"/>
      <c r="BD84" s="216"/>
      <c r="BE84" s="216"/>
      <c r="BF84" s="216"/>
      <c r="BG84" s="216"/>
      <c r="BH84" s="216"/>
      <c r="BI84" s="216"/>
      <c r="BJ84" s="216"/>
      <c r="BK84" s="216"/>
      <c r="BL84" s="216"/>
      <c r="BM84" s="216"/>
      <c r="BN84" s="216"/>
      <c r="BO84" s="216"/>
      <c r="BP84" s="216"/>
      <c r="BQ84" s="216"/>
      <c r="BR84" s="216"/>
      <c r="BS84" s="216"/>
      <c r="BT84" s="216"/>
      <c r="BU84" s="216"/>
      <c r="BV84" s="216"/>
      <c r="BW84" s="217"/>
    </row>
    <row r="85" spans="8:8" ht="80.4">
      <c r="A85" s="201"/>
      <c r="B85" s="244" t="s">
        <v>6226</v>
      </c>
      <c r="C85" s="244"/>
      <c r="D85" s="244"/>
      <c r="E85" s="244" t="s">
        <v>6227</v>
      </c>
      <c r="F85" s="244"/>
      <c r="G85" s="244" t="str">
        <f>_xlfn.DISPIMG("ID_CC6B9CFD98E147E69960ABA618805D08",1)</f>
        <v>=DISPIMG("ID_CC6B9CFD98E147E69960ABA618805D08",1)</v>
      </c>
      <c r="H85" s="201"/>
      <c r="S85" s="201"/>
      <c r="T85" s="201"/>
      <c r="U85" s="201"/>
      <c r="V85" s="201"/>
      <c r="W85" s="201"/>
      <c r="X85" s="244" t="s">
        <v>6236</v>
      </c>
      <c r="Y85" s="244"/>
      <c r="Z85" s="244"/>
      <c r="AA85" s="244"/>
      <c r="AB85" s="244"/>
      <c r="AC85" s="244" t="s">
        <v>6237</v>
      </c>
      <c r="AD85" s="244"/>
      <c r="AE85" s="244"/>
      <c r="AF85" s="244"/>
      <c r="AG85" s="244"/>
      <c r="AH85" s="201"/>
      <c r="AM85" s="210" t="s">
        <v>6230</v>
      </c>
      <c r="AN85" s="210"/>
      <c r="AO85" s="210"/>
      <c r="AP85" s="210"/>
      <c r="AQ85" s="210" t="s">
        <v>6231</v>
      </c>
      <c r="AR85" s="210"/>
      <c r="AS85" s="210"/>
      <c r="AT85" s="210"/>
      <c r="AU85" s="210"/>
      <c r="AW85" s="215" t="s">
        <v>6232</v>
      </c>
      <c r="AX85" s="216"/>
      <c r="AY85" s="216"/>
      <c r="AZ85" s="216"/>
      <c r="BA85" s="216"/>
      <c r="BB85" s="216" t="s">
        <v>6233</v>
      </c>
      <c r="BC85" s="216"/>
      <c r="BD85" s="216"/>
      <c r="BE85" s="216"/>
      <c r="BF85" s="216"/>
      <c r="BG85" s="216"/>
      <c r="BH85" s="216"/>
      <c r="BI85" s="216"/>
      <c r="BJ85" s="216"/>
      <c r="BK85" s="216"/>
      <c r="BL85" s="216"/>
      <c r="BM85" s="216"/>
      <c r="BN85" s="216"/>
      <c r="BO85" s="216"/>
      <c r="BP85" s="216"/>
      <c r="BQ85" s="216"/>
      <c r="BR85" s="216"/>
      <c r="BS85" s="216"/>
      <c r="BT85" s="216"/>
      <c r="BU85" s="216"/>
      <c r="BV85" s="216"/>
      <c r="BW85" s="217"/>
    </row>
    <row r="86" spans="8:8">
      <c r="A86" s="201"/>
      <c r="B86" s="244" t="s">
        <v>6234</v>
      </c>
      <c r="C86" s="244"/>
      <c r="D86" s="244"/>
      <c r="E86" s="244" t="s">
        <v>10139</v>
      </c>
      <c r="F86" s="244"/>
      <c r="G86" s="244" t="str">
        <f>_xlfn.DISPIMG("ID_67160C1EEAF145D99BAEF5DD1C193757",1)</f>
        <v>=DISPIMG("ID_67160C1EEAF145D99BAEF5DD1C193757",1)</v>
      </c>
      <c r="H86" s="201"/>
      <c r="S86" s="201"/>
      <c r="T86" s="201"/>
      <c r="U86" s="201"/>
      <c r="V86" s="201"/>
      <c r="W86" s="201"/>
      <c r="X86" s="244" t="s">
        <v>6243</v>
      </c>
      <c r="Y86" s="244"/>
      <c r="Z86" s="244"/>
      <c r="AA86" s="244"/>
      <c r="AB86" s="244"/>
      <c r="AC86" s="244" t="s">
        <v>6244</v>
      </c>
      <c r="AD86" s="244"/>
      <c r="AE86" s="244"/>
      <c r="AF86" s="244"/>
      <c r="AG86" s="244"/>
      <c r="AH86" s="201"/>
      <c r="AM86" s="210" t="s">
        <v>6238</v>
      </c>
      <c r="AN86" s="210"/>
      <c r="AO86" s="210"/>
      <c r="AP86" s="210"/>
      <c r="AQ86" s="210" t="s">
        <v>6239</v>
      </c>
      <c r="AR86" s="210"/>
      <c r="AS86" s="210"/>
      <c r="AT86" s="210"/>
      <c r="AU86" s="210"/>
      <c r="AW86" s="215" t="s">
        <v>6240</v>
      </c>
      <c r="AX86" s="216"/>
      <c r="AY86" s="216"/>
      <c r="AZ86" s="216"/>
      <c r="BA86" s="216"/>
      <c r="BB86" s="216" t="s">
        <v>6241</v>
      </c>
      <c r="BC86" s="216"/>
      <c r="BD86" s="216"/>
      <c r="BE86" s="216"/>
      <c r="BF86" s="216"/>
      <c r="BG86" s="216"/>
      <c r="BH86" s="216"/>
      <c r="BI86" s="216"/>
      <c r="BJ86" s="216"/>
      <c r="BK86" s="216"/>
      <c r="BL86" s="216"/>
      <c r="BM86" s="216"/>
      <c r="BN86" s="216"/>
      <c r="BO86" s="216"/>
      <c r="BP86" s="216"/>
      <c r="BQ86" s="216"/>
      <c r="BR86" s="216"/>
      <c r="BS86" s="216"/>
      <c r="BT86" s="216"/>
      <c r="BU86" s="216"/>
      <c r="BV86" s="216"/>
      <c r="BW86" s="217"/>
    </row>
    <row r="87" spans="8:8" ht="18.0">
      <c r="A87" s="201"/>
      <c r="B87" s="242" t="s">
        <v>6242</v>
      </c>
      <c r="C87" s="242"/>
      <c r="D87" s="242"/>
      <c r="E87" s="242"/>
      <c r="F87" s="242"/>
      <c r="G87" s="242"/>
      <c r="H87" s="201"/>
      <c r="S87" s="201"/>
      <c r="T87" s="201"/>
      <c r="U87" s="201"/>
      <c r="V87" s="201"/>
      <c r="W87" s="201"/>
      <c r="X87" s="244" t="s">
        <v>6251</v>
      </c>
      <c r="Y87" s="244"/>
      <c r="Z87" s="244"/>
      <c r="AA87" s="244"/>
      <c r="AB87" s="244"/>
      <c r="AC87" s="244" t="s">
        <v>6252</v>
      </c>
      <c r="AD87" s="244"/>
      <c r="AE87" s="244"/>
      <c r="AF87" s="244"/>
      <c r="AG87" s="244"/>
      <c r="AH87" s="201"/>
      <c r="AM87" s="210" t="s">
        <v>6245</v>
      </c>
      <c r="AN87" s="210"/>
      <c r="AO87" s="210"/>
      <c r="AP87" s="210"/>
      <c r="AQ87" s="210" t="s">
        <v>6246</v>
      </c>
      <c r="AR87" s="210"/>
      <c r="AS87" s="210"/>
      <c r="AT87" s="210"/>
      <c r="AU87" s="210"/>
      <c r="AW87" s="215" t="s">
        <v>6247</v>
      </c>
      <c r="AX87" s="216"/>
      <c r="AY87" s="216"/>
      <c r="AZ87" s="216"/>
      <c r="BA87" s="216"/>
      <c r="BB87" s="216" t="s">
        <v>6248</v>
      </c>
      <c r="BC87" s="216"/>
      <c r="BD87" s="216"/>
      <c r="BE87" s="216"/>
      <c r="BF87" s="216"/>
      <c r="BG87" s="216"/>
      <c r="BH87" s="216"/>
      <c r="BI87" s="216"/>
      <c r="BJ87" s="216"/>
      <c r="BK87" s="216"/>
      <c r="BL87" s="216"/>
      <c r="BM87" s="216"/>
      <c r="BN87" s="216"/>
      <c r="BO87" s="216"/>
      <c r="BP87" s="216"/>
      <c r="BQ87" s="216"/>
      <c r="BR87" s="216"/>
      <c r="BS87" s="216"/>
      <c r="BT87" s="216"/>
      <c r="BU87" s="216"/>
      <c r="BV87" s="216"/>
      <c r="BW87" s="217"/>
    </row>
    <row r="88" spans="8:8" ht="20.8">
      <c r="A88" s="201"/>
      <c r="B88" s="244" t="s">
        <v>6249</v>
      </c>
      <c r="C88" s="244"/>
      <c r="D88" s="244"/>
      <c r="E88" s="244" t="s">
        <v>6250</v>
      </c>
      <c r="F88" s="244"/>
      <c r="G88" s="244" t="str">
        <f>_xlfn.DISPIMG("ID_CC1D16A5EB3C4D278C8F148AF515B005",1)</f>
        <v>=DISPIMG("ID_CC1D16A5EB3C4D278C8F148AF515B005",1)</v>
      </c>
      <c r="H88" s="201"/>
      <c r="S88" s="201"/>
      <c r="T88" s="201"/>
      <c r="U88" s="201"/>
      <c r="V88" s="201"/>
      <c r="W88" s="201"/>
      <c r="X88" s="244" t="s">
        <v>6257</v>
      </c>
      <c r="Y88" s="244"/>
      <c r="Z88" s="244"/>
      <c r="AA88" s="244"/>
      <c r="AB88" s="244"/>
      <c r="AC88" s="244" t="s">
        <v>6258</v>
      </c>
      <c r="AD88" s="244"/>
      <c r="AE88" s="244"/>
      <c r="AF88" s="244"/>
      <c r="AG88" s="244"/>
      <c r="AH88" s="201"/>
      <c r="AM88" s="210" t="s">
        <v>6253</v>
      </c>
      <c r="AN88" s="210"/>
      <c r="AO88" s="210"/>
      <c r="AP88" s="210"/>
      <c r="AQ88" s="210" t="s">
        <v>6254</v>
      </c>
      <c r="AR88" s="210"/>
      <c r="AS88" s="210"/>
      <c r="AT88" s="210"/>
      <c r="AU88" s="210"/>
      <c r="AW88" s="215" t="s">
        <v>6255</v>
      </c>
      <c r="AX88" s="216"/>
      <c r="AY88" s="216"/>
      <c r="AZ88" s="216"/>
      <c r="BA88" s="216"/>
      <c r="BB88" s="216" t="s">
        <v>6256</v>
      </c>
      <c r="BC88" s="216"/>
      <c r="BD88" s="216"/>
      <c r="BE88" s="216"/>
      <c r="BF88" s="216"/>
      <c r="BG88" s="216"/>
      <c r="BH88" s="216"/>
      <c r="BI88" s="216"/>
      <c r="BJ88" s="216"/>
      <c r="BK88" s="216"/>
      <c r="BL88" s="216"/>
      <c r="BM88" s="216"/>
      <c r="BN88" s="216"/>
      <c r="BO88" s="216"/>
      <c r="BP88" s="216"/>
      <c r="BQ88" s="216"/>
      <c r="BR88" s="216"/>
      <c r="BS88" s="216"/>
      <c r="BT88" s="216"/>
      <c r="BU88" s="216"/>
      <c r="BV88" s="216"/>
      <c r="BW88" s="217"/>
    </row>
    <row r="89" spans="8:8" ht="18.0">
      <c r="A89" s="201"/>
      <c r="B89" s="242" t="s">
        <v>6063</v>
      </c>
      <c r="C89" s="242"/>
      <c r="D89" s="242"/>
      <c r="E89" s="242"/>
      <c r="F89" s="242"/>
      <c r="G89" s="242"/>
      <c r="H89" s="201"/>
      <c r="S89" s="201"/>
      <c r="T89" s="201"/>
      <c r="U89" s="201"/>
      <c r="V89" s="201"/>
      <c r="W89" s="201"/>
      <c r="X89" s="244" t="s">
        <v>6265</v>
      </c>
      <c r="Y89" s="244"/>
      <c r="Z89" s="244"/>
      <c r="AA89" s="244"/>
      <c r="AB89" s="244"/>
      <c r="AC89" s="244" t="s">
        <v>6266</v>
      </c>
      <c r="AD89" s="244"/>
      <c r="AE89" s="244"/>
      <c r="AF89" s="244"/>
      <c r="AG89" s="244"/>
      <c r="AH89" s="201"/>
      <c r="AM89" s="210" t="s">
        <v>6259</v>
      </c>
      <c r="AN89" s="210"/>
      <c r="AO89" s="210"/>
      <c r="AP89" s="210"/>
      <c r="AQ89" s="210" t="s">
        <v>6260</v>
      </c>
      <c r="AR89" s="210"/>
      <c r="AS89" s="210"/>
      <c r="AT89" s="210"/>
      <c r="AU89" s="210"/>
      <c r="AW89" s="215" t="s">
        <v>6261</v>
      </c>
      <c r="AX89" s="216"/>
      <c r="AY89" s="216"/>
      <c r="AZ89" s="216"/>
      <c r="BA89" s="216"/>
      <c r="BB89" s="216" t="s">
        <v>6262</v>
      </c>
      <c r="BC89" s="216"/>
      <c r="BD89" s="216"/>
      <c r="BE89" s="216"/>
      <c r="BF89" s="216"/>
      <c r="BG89" s="216"/>
      <c r="BH89" s="216"/>
      <c r="BI89" s="216"/>
      <c r="BJ89" s="216"/>
      <c r="BK89" s="216"/>
      <c r="BL89" s="216"/>
      <c r="BM89" s="216"/>
      <c r="BN89" s="216"/>
      <c r="BO89" s="216"/>
      <c r="BP89" s="216"/>
      <c r="BQ89" s="216"/>
      <c r="BR89" s="216"/>
      <c r="BS89" s="216"/>
      <c r="BT89" s="216"/>
      <c r="BU89" s="216"/>
      <c r="BV89" s="216"/>
      <c r="BW89" s="217"/>
    </row>
    <row r="90" spans="8:8" ht="80.4">
      <c r="A90" s="201"/>
      <c r="B90" s="244" t="s">
        <v>6263</v>
      </c>
      <c r="C90" s="244"/>
      <c r="D90" s="244"/>
      <c r="E90" s="244" t="s">
        <v>6264</v>
      </c>
      <c r="F90" s="244"/>
      <c r="G90" s="244" t="str">
        <f>_xlfn.DISPIMG("ID_8ACFEBC89810442C88EEA972A242BDC7",1)</f>
        <v>=DISPIMG("ID_8ACFEBC89810442C88EEA972A242BDC7",1)</v>
      </c>
      <c r="H90" s="201"/>
      <c r="S90" s="201"/>
      <c r="T90" s="201"/>
      <c r="U90" s="201"/>
      <c r="V90" s="201"/>
      <c r="W90" s="201"/>
      <c r="X90" s="244" t="s">
        <v>6272</v>
      </c>
      <c r="Y90" s="244"/>
      <c r="Z90" s="244"/>
      <c r="AA90" s="244"/>
      <c r="AB90" s="244"/>
      <c r="AC90" s="244" t="s">
        <v>6273</v>
      </c>
      <c r="AD90" s="244"/>
      <c r="AE90" s="244"/>
      <c r="AF90" s="244"/>
      <c r="AG90" s="244"/>
      <c r="AH90" s="201"/>
      <c r="AM90" s="210" t="s">
        <v>6267</v>
      </c>
      <c r="AN90" s="210"/>
      <c r="AO90" s="210"/>
      <c r="AP90" s="210"/>
      <c r="AQ90" s="210" t="s">
        <v>6268</v>
      </c>
      <c r="AR90" s="210"/>
      <c r="AS90" s="210"/>
      <c r="AT90" s="210"/>
      <c r="AU90" s="210"/>
      <c r="AW90" s="215" t="s">
        <v>6269</v>
      </c>
      <c r="AX90" s="216"/>
      <c r="AY90" s="216"/>
      <c r="AZ90" s="216"/>
      <c r="BA90" s="216"/>
      <c r="BB90" s="216" t="s">
        <v>6270</v>
      </c>
      <c r="BC90" s="216"/>
      <c r="BD90" s="216"/>
      <c r="BE90" s="216"/>
      <c r="BF90" s="216"/>
      <c r="BG90" s="216"/>
      <c r="BH90" s="216"/>
      <c r="BI90" s="216"/>
      <c r="BJ90" s="216"/>
      <c r="BK90" s="216"/>
      <c r="BL90" s="216"/>
      <c r="BM90" s="216"/>
      <c r="BN90" s="216"/>
      <c r="BO90" s="216"/>
      <c r="BP90" s="216"/>
      <c r="BQ90" s="216"/>
      <c r="BR90" s="216"/>
      <c r="BS90" s="216"/>
      <c r="BT90" s="216"/>
      <c r="BU90" s="216"/>
      <c r="BV90" s="216"/>
      <c r="BW90" s="217"/>
    </row>
    <row r="91" spans="8:8" ht="80.4">
      <c r="A91" s="201"/>
      <c r="B91" s="244" t="s">
        <v>6075</v>
      </c>
      <c r="C91" s="244"/>
      <c r="D91" s="244"/>
      <c r="E91" s="244" t="s">
        <v>6271</v>
      </c>
      <c r="F91" s="244"/>
      <c r="G91" s="244" t="str">
        <f>_xlfn.DISPIMG("ID_4D8862E6B42A4AA9B4C8709F7CF5CFCC",1)</f>
        <v>=DISPIMG("ID_4D8862E6B42A4AA9B4C8709F7CF5CFCC",1)</v>
      </c>
      <c r="H91" s="201"/>
      <c r="S91" s="201"/>
      <c r="T91" s="201"/>
      <c r="U91" s="201"/>
      <c r="V91" s="201"/>
      <c r="W91" s="201"/>
      <c r="X91" s="244" t="s">
        <v>6278</v>
      </c>
      <c r="Y91" s="244"/>
      <c r="Z91" s="244"/>
      <c r="AA91" s="244"/>
      <c r="AB91" s="244"/>
      <c r="AC91" s="244" t="s">
        <v>6279</v>
      </c>
      <c r="AD91" s="244"/>
      <c r="AE91" s="244"/>
      <c r="AF91" s="244"/>
      <c r="AG91" s="244"/>
      <c r="AH91" s="201"/>
      <c r="AM91" s="210" t="s">
        <v>6274</v>
      </c>
      <c r="AN91" s="210"/>
      <c r="AO91" s="210"/>
      <c r="AP91" s="210"/>
      <c r="AQ91" s="210" t="s">
        <v>6275</v>
      </c>
      <c r="AR91" s="210"/>
      <c r="AS91" s="210"/>
      <c r="AT91" s="210"/>
      <c r="AU91" s="210"/>
      <c r="AW91" s="215" t="s">
        <v>6276</v>
      </c>
      <c r="AX91" s="216"/>
      <c r="AY91" s="216"/>
      <c r="AZ91" s="216"/>
      <c r="BA91" s="216"/>
      <c r="BB91" s="216" t="s">
        <v>6256</v>
      </c>
      <c r="BC91" s="216"/>
      <c r="BD91" s="216"/>
      <c r="BE91" s="216"/>
      <c r="BF91" s="216"/>
      <c r="BG91" s="216"/>
      <c r="BH91" s="216"/>
      <c r="BI91" s="216"/>
      <c r="BJ91" s="216"/>
      <c r="BK91" s="216"/>
      <c r="BL91" s="216"/>
      <c r="BM91" s="216"/>
      <c r="BN91" s="216"/>
      <c r="BO91" s="216"/>
      <c r="BP91" s="216"/>
      <c r="BQ91" s="216"/>
      <c r="BR91" s="216"/>
      <c r="BS91" s="216"/>
      <c r="BT91" s="216"/>
      <c r="BU91" s="216"/>
      <c r="BV91" s="216"/>
      <c r="BW91" s="217"/>
    </row>
    <row r="92" spans="8:8" ht="80.4">
      <c r="A92" s="201"/>
      <c r="B92" s="244" t="s">
        <v>6097</v>
      </c>
      <c r="C92" s="244"/>
      <c r="D92" s="244"/>
      <c r="E92" s="244" t="s">
        <v>6277</v>
      </c>
      <c r="F92" s="244"/>
      <c r="G92" s="244" t="str">
        <f>_xlfn.DISPIMG("ID_D916E29C5A3B4416A6FC6F98736B4B89",1)</f>
        <v>=DISPIMG("ID_D916E29C5A3B4416A6FC6F98736B4B89",1)</v>
      </c>
      <c r="H92" s="201"/>
      <c r="S92" s="201"/>
      <c r="T92" s="201"/>
      <c r="U92" s="201"/>
      <c r="V92" s="201"/>
      <c r="W92" s="201"/>
      <c r="X92" s="244" t="s">
        <v>6284</v>
      </c>
      <c r="Y92" s="244"/>
      <c r="Z92" s="244"/>
      <c r="AA92" s="244"/>
      <c r="AB92" s="244"/>
      <c r="AC92" s="244" t="s">
        <v>6285</v>
      </c>
      <c r="AD92" s="244"/>
      <c r="AE92" s="244"/>
      <c r="AF92" s="244"/>
      <c r="AG92" s="244"/>
      <c r="AH92" s="201"/>
      <c r="AM92" s="210" t="s">
        <v>6280</v>
      </c>
      <c r="AN92" s="210"/>
      <c r="AO92" s="210"/>
      <c r="AP92" s="210"/>
      <c r="AQ92" s="210" t="s">
        <v>6281</v>
      </c>
      <c r="AR92" s="210"/>
      <c r="AS92" s="210"/>
      <c r="AT92" s="210"/>
      <c r="AU92" s="210"/>
      <c r="AW92" s="215" t="s">
        <v>6282</v>
      </c>
      <c r="AX92" s="216"/>
      <c r="AY92" s="216"/>
      <c r="AZ92" s="216"/>
      <c r="BA92" s="216"/>
      <c r="BB92" s="216" t="s">
        <v>6283</v>
      </c>
      <c r="BC92" s="216"/>
      <c r="BD92" s="216"/>
      <c r="BE92" s="216"/>
      <c r="BF92" s="216"/>
      <c r="BG92" s="216"/>
      <c r="BH92" s="216"/>
      <c r="BI92" s="216"/>
      <c r="BJ92" s="216"/>
      <c r="BK92" s="216"/>
      <c r="BL92" s="216"/>
      <c r="BM92" s="216"/>
      <c r="BN92" s="216"/>
      <c r="BO92" s="216"/>
      <c r="BP92" s="216"/>
      <c r="BQ92" s="216"/>
      <c r="BR92" s="216"/>
      <c r="BS92" s="216"/>
      <c r="BT92" s="216"/>
      <c r="BU92" s="216"/>
      <c r="BV92" s="216"/>
      <c r="BW92" s="217"/>
    </row>
    <row r="93" spans="8:8" ht="18.0">
      <c r="A93" s="201"/>
      <c r="B93" s="261"/>
      <c r="C93" s="261"/>
      <c r="D93" s="261"/>
      <c r="E93" s="261"/>
      <c r="F93" s="261"/>
      <c r="G93" s="261"/>
      <c r="H93" s="262"/>
      <c r="S93" s="262"/>
      <c r="T93" s="262"/>
      <c r="U93" s="262"/>
      <c r="V93" s="262"/>
      <c r="W93" s="201"/>
      <c r="X93" s="244" t="s">
        <v>6291</v>
      </c>
      <c r="Y93" s="244"/>
      <c r="Z93" s="244"/>
      <c r="AA93" s="244"/>
      <c r="AB93" s="244"/>
      <c r="AC93" s="244" t="s">
        <v>6292</v>
      </c>
      <c r="AD93" s="244"/>
      <c r="AE93" s="244"/>
      <c r="AF93" s="244"/>
      <c r="AG93" s="244"/>
      <c r="AH93" s="201"/>
      <c r="AM93" s="210" t="s">
        <v>6286</v>
      </c>
      <c r="AN93" s="210"/>
      <c r="AO93" s="210"/>
      <c r="AP93" s="210"/>
      <c r="AQ93" s="210" t="s">
        <v>6287</v>
      </c>
      <c r="AR93" s="210"/>
      <c r="AS93" s="210"/>
      <c r="AT93" s="210"/>
      <c r="AU93" s="210"/>
      <c r="AW93" s="215" t="s">
        <v>6288</v>
      </c>
      <c r="AX93" s="216"/>
      <c r="AY93" s="216"/>
      <c r="AZ93" s="216"/>
      <c r="BA93" s="216"/>
      <c r="BB93" s="216" t="s">
        <v>6289</v>
      </c>
      <c r="BC93" s="216"/>
      <c r="BD93" s="216"/>
      <c r="BE93" s="216"/>
      <c r="BF93" s="216"/>
      <c r="BG93" s="216"/>
      <c r="BH93" s="216"/>
      <c r="BI93" s="216"/>
      <c r="BJ93" s="216"/>
      <c r="BK93" s="216"/>
      <c r="BL93" s="216"/>
      <c r="BM93" s="216"/>
      <c r="BN93" s="216"/>
      <c r="BO93" s="216"/>
      <c r="BP93" s="216"/>
      <c r="BQ93" s="216"/>
      <c r="BR93" s="216"/>
      <c r="BS93" s="216"/>
      <c r="BT93" s="216"/>
      <c r="BU93" s="216"/>
      <c r="BV93" s="216"/>
      <c r="BW93" s="217"/>
    </row>
    <row r="94" spans="8:8" ht="41.0" customHeight="1">
      <c r="A94" s="263"/>
      <c r="B94" s="257" t="s">
        <v>6290</v>
      </c>
      <c r="C94" s="241"/>
      <c r="D94" s="241"/>
      <c r="E94" s="241"/>
      <c r="F94" s="241"/>
      <c r="G94" s="241"/>
      <c r="H94" s="241"/>
      <c r="I94" s="241"/>
      <c r="J94" s="241"/>
      <c r="K94" s="241"/>
      <c r="L94" s="241"/>
      <c r="M94" s="241"/>
      <c r="N94" s="241"/>
      <c r="O94" s="241"/>
      <c r="P94" s="241"/>
      <c r="Q94" s="241"/>
      <c r="R94" s="241"/>
      <c r="S94" s="241"/>
      <c r="T94" s="241"/>
      <c r="U94" s="241"/>
      <c r="V94" s="241"/>
      <c r="W94" s="264"/>
      <c r="X94" s="244" t="s">
        <v>6296</v>
      </c>
      <c r="Y94" s="244"/>
      <c r="Z94" s="244"/>
      <c r="AA94" s="244"/>
      <c r="AB94" s="244"/>
      <c r="AC94" s="244" t="s">
        <v>6297</v>
      </c>
      <c r="AD94" s="244"/>
      <c r="AE94" s="244"/>
      <c r="AF94" s="244"/>
      <c r="AG94" s="244"/>
      <c r="AH94" s="201"/>
      <c r="AM94" s="210" t="s">
        <v>6293</v>
      </c>
      <c r="AN94" s="210"/>
      <c r="AO94" s="210"/>
      <c r="AP94" s="210"/>
      <c r="AQ94" s="210" t="s">
        <v>6294</v>
      </c>
      <c r="AR94" s="210"/>
      <c r="AS94" s="210"/>
      <c r="AT94" s="210"/>
      <c r="AU94" s="210"/>
      <c r="AW94" s="215" t="s">
        <v>6295</v>
      </c>
      <c r="AX94" s="216"/>
      <c r="AY94" s="216"/>
      <c r="AZ94" s="216"/>
      <c r="BA94" s="216"/>
      <c r="BB94" s="216" t="s">
        <v>3712</v>
      </c>
      <c r="BC94" s="216"/>
      <c r="BD94" s="216"/>
      <c r="BE94" s="216"/>
      <c r="BF94" s="216"/>
      <c r="BG94" s="216"/>
      <c r="BH94" s="216"/>
      <c r="BI94" s="216"/>
      <c r="BJ94" s="216"/>
      <c r="BK94" s="216"/>
      <c r="BL94" s="216"/>
      <c r="BM94" s="216"/>
      <c r="BN94" s="216"/>
      <c r="BO94" s="216"/>
      <c r="BP94" s="216"/>
      <c r="BQ94" s="216"/>
      <c r="BR94" s="216"/>
      <c r="BS94" s="216"/>
      <c r="BT94" s="216"/>
      <c r="BU94" s="216"/>
      <c r="BV94" s="216"/>
      <c r="BW94" s="217"/>
    </row>
    <row r="95" spans="8:8" ht="36.95" customHeight="1">
      <c r="A95" s="263"/>
      <c r="B95" s="241" t="s">
        <v>6053</v>
      </c>
      <c r="C95" s="265"/>
      <c r="D95" s="265"/>
      <c r="E95" s="265"/>
      <c r="F95" s="265"/>
      <c r="G95" s="241"/>
      <c r="H95" s="241"/>
      <c r="I95" s="241"/>
      <c r="J95" s="241"/>
      <c r="K95" s="241"/>
      <c r="L95" s="241"/>
      <c r="M95" s="241"/>
      <c r="N95" s="241"/>
      <c r="O95" s="241"/>
      <c r="P95" s="241"/>
      <c r="Q95" s="241"/>
      <c r="R95" s="241"/>
      <c r="S95" s="241"/>
      <c r="T95" s="241"/>
      <c r="U95" s="241"/>
      <c r="V95" s="241"/>
      <c r="W95" s="264"/>
      <c r="X95" s="244" t="s">
        <v>6303</v>
      </c>
      <c r="Y95" s="244"/>
      <c r="Z95" s="244"/>
      <c r="AA95" s="244"/>
      <c r="AB95" s="244"/>
      <c r="AC95" s="244" t="s">
        <v>6304</v>
      </c>
      <c r="AD95" s="244"/>
      <c r="AE95" s="244"/>
      <c r="AF95" s="244"/>
      <c r="AG95" s="244"/>
      <c r="AH95" s="201"/>
      <c r="AM95" s="210" t="s">
        <v>6298</v>
      </c>
      <c r="AN95" s="210"/>
      <c r="AO95" s="210"/>
      <c r="AP95" s="210"/>
      <c r="AQ95" s="210" t="s">
        <v>6299</v>
      </c>
      <c r="AR95" s="210"/>
      <c r="AS95" s="210"/>
      <c r="AT95" s="210"/>
      <c r="AU95" s="210"/>
      <c r="AW95" s="215" t="s">
        <v>6300</v>
      </c>
      <c r="AX95" s="216"/>
      <c r="AY95" s="216"/>
      <c r="AZ95" s="216"/>
      <c r="BA95" s="216"/>
      <c r="BB95" s="216" t="s">
        <v>6301</v>
      </c>
      <c r="BC95" s="216"/>
      <c r="BD95" s="216"/>
      <c r="BE95" s="216"/>
      <c r="BF95" s="216"/>
      <c r="BG95" s="216"/>
      <c r="BH95" s="216"/>
      <c r="BI95" s="216"/>
      <c r="BJ95" s="216"/>
      <c r="BK95" s="216"/>
      <c r="BL95" s="216"/>
      <c r="BM95" s="216"/>
      <c r="BN95" s="216"/>
      <c r="BO95" s="216"/>
      <c r="BP95" s="216"/>
      <c r="BQ95" s="216"/>
      <c r="BR95" s="216"/>
      <c r="BS95" s="216"/>
      <c r="BT95" s="216"/>
      <c r="BU95" s="216"/>
      <c r="BV95" s="216"/>
      <c r="BW95" s="217"/>
    </row>
    <row r="96" spans="8:8" ht="24.5">
      <c r="A96" s="263"/>
      <c r="B96" s="266" t="s">
        <v>6302</v>
      </c>
      <c r="C96" s="267"/>
      <c r="D96" s="267"/>
      <c r="E96" s="267"/>
      <c r="F96" s="267"/>
      <c r="G96" s="241"/>
      <c r="H96" s="241"/>
      <c r="I96" s="241"/>
      <c r="J96" s="241"/>
      <c r="K96" s="241"/>
      <c r="L96" s="241"/>
      <c r="M96" s="241"/>
      <c r="N96" s="241"/>
      <c r="O96" s="241"/>
      <c r="P96" s="241"/>
      <c r="Q96" s="241"/>
      <c r="R96" s="241"/>
      <c r="S96" s="241"/>
      <c r="T96" s="241"/>
      <c r="U96" s="241"/>
      <c r="V96" s="241"/>
      <c r="W96" s="264"/>
      <c r="X96" s="244" t="s">
        <v>6311</v>
      </c>
      <c r="Y96" s="244"/>
      <c r="Z96" s="244"/>
      <c r="AA96" s="244"/>
      <c r="AB96" s="244"/>
      <c r="AC96" s="244" t="s">
        <v>6312</v>
      </c>
      <c r="AD96" s="244"/>
      <c r="AE96" s="244"/>
      <c r="AF96" s="244"/>
      <c r="AG96" s="244"/>
      <c r="AH96" s="201"/>
      <c r="AM96" s="210" t="s">
        <v>6305</v>
      </c>
      <c r="AN96" s="210"/>
      <c r="AO96" s="210"/>
      <c r="AP96" s="210"/>
      <c r="AQ96" s="210" t="s">
        <v>6306</v>
      </c>
      <c r="AR96" s="210"/>
      <c r="AS96" s="210"/>
      <c r="AT96" s="210"/>
      <c r="AU96" s="210"/>
      <c r="AW96" s="215" t="s">
        <v>6307</v>
      </c>
      <c r="AX96" s="216"/>
      <c r="AY96" s="216"/>
      <c r="AZ96" s="216"/>
      <c r="BA96" s="216"/>
      <c r="BB96" s="216" t="s">
        <v>6308</v>
      </c>
      <c r="BC96" s="216"/>
      <c r="BD96" s="216"/>
      <c r="BE96" s="216"/>
      <c r="BF96" s="216"/>
      <c r="BG96" s="216"/>
      <c r="BH96" s="216"/>
      <c r="BI96" s="216"/>
      <c r="BJ96" s="216"/>
      <c r="BK96" s="216"/>
      <c r="BL96" s="216"/>
      <c r="BM96" s="216"/>
      <c r="BN96" s="216"/>
      <c r="BO96" s="216"/>
      <c r="BP96" s="216"/>
      <c r="BQ96" s="216"/>
      <c r="BR96" s="216"/>
      <c r="BS96" s="216"/>
      <c r="BT96" s="216"/>
      <c r="BU96" s="216"/>
      <c r="BV96" s="216"/>
      <c r="BW96" s="217"/>
    </row>
    <row r="97" spans="8:8" ht="15.7">
      <c r="A97" s="263"/>
      <c r="B97" s="268" t="s">
        <v>1810</v>
      </c>
      <c r="C97" s="268" t="s">
        <v>1811</v>
      </c>
      <c r="D97" s="268" t="s">
        <v>6309</v>
      </c>
      <c r="E97" s="268"/>
      <c r="F97" s="268"/>
      <c r="G97" s="269" t="s">
        <v>6310</v>
      </c>
      <c r="H97" s="269"/>
      <c r="I97" s="269"/>
      <c r="J97" s="269"/>
      <c r="K97" s="269"/>
      <c r="L97" s="269"/>
      <c r="M97" s="269"/>
      <c r="N97" s="269"/>
      <c r="O97" s="269"/>
      <c r="P97" s="269"/>
      <c r="Q97" s="269"/>
      <c r="R97" s="269"/>
      <c r="S97" s="269"/>
      <c r="T97" s="269"/>
      <c r="U97" s="269"/>
      <c r="V97" s="269"/>
      <c r="W97" s="264"/>
      <c r="X97" s="244" t="s">
        <v>6316</v>
      </c>
      <c r="Y97" s="244"/>
      <c r="Z97" s="244"/>
      <c r="AA97" s="244"/>
      <c r="AB97" s="244"/>
      <c r="AC97" s="244" t="s">
        <v>6317</v>
      </c>
      <c r="AD97" s="244"/>
      <c r="AE97" s="244"/>
      <c r="AF97" s="244"/>
      <c r="AG97" s="244"/>
      <c r="AH97" s="201"/>
      <c r="AM97" s="210" t="s">
        <v>6313</v>
      </c>
      <c r="AN97" s="210"/>
      <c r="AO97" s="210"/>
      <c r="AP97" s="210"/>
      <c r="AQ97" s="210" t="s">
        <v>6314</v>
      </c>
      <c r="AR97" s="210"/>
      <c r="AS97" s="210"/>
      <c r="AT97" s="210"/>
      <c r="AU97" s="210"/>
      <c r="AW97" s="215" t="s">
        <v>6315</v>
      </c>
      <c r="AX97" s="216"/>
      <c r="AY97" s="216"/>
      <c r="AZ97" s="216"/>
      <c r="BA97" s="216"/>
      <c r="BB97" s="216" t="s">
        <v>5356</v>
      </c>
      <c r="BC97" s="216"/>
      <c r="BD97" s="216"/>
      <c r="BE97" s="216"/>
      <c r="BF97" s="216"/>
      <c r="BG97" s="216"/>
      <c r="BH97" s="216"/>
      <c r="BI97" s="216"/>
      <c r="BJ97" s="216"/>
      <c r="BK97" s="216"/>
      <c r="BL97" s="216"/>
      <c r="BM97" s="216"/>
      <c r="BN97" s="216"/>
      <c r="BO97" s="216"/>
      <c r="BP97" s="216"/>
      <c r="BQ97" s="216"/>
      <c r="BR97" s="216"/>
      <c r="BS97" s="216"/>
      <c r="BT97" s="216"/>
      <c r="BU97" s="216"/>
      <c r="BV97" s="216"/>
      <c r="BW97" s="217"/>
    </row>
    <row r="98" spans="8:8" ht="18.0">
      <c r="A98" s="263"/>
      <c r="B98" s="268"/>
      <c r="C98" s="268"/>
      <c r="D98" s="268"/>
      <c r="E98" s="268"/>
      <c r="F98" s="268"/>
      <c r="G98" s="269"/>
      <c r="H98" s="269"/>
      <c r="I98" s="269"/>
      <c r="J98" s="269"/>
      <c r="K98" s="269"/>
      <c r="L98" s="269"/>
      <c r="M98" s="269"/>
      <c r="N98" s="269"/>
      <c r="O98" s="269"/>
      <c r="P98" s="269"/>
      <c r="Q98" s="269"/>
      <c r="R98" s="269"/>
      <c r="S98" s="269"/>
      <c r="T98" s="269"/>
      <c r="U98" s="269"/>
      <c r="V98" s="269"/>
      <c r="W98" s="264"/>
      <c r="X98" s="244" t="s">
        <v>6322</v>
      </c>
      <c r="Y98" s="244"/>
      <c r="Z98" s="244"/>
      <c r="AA98" s="244"/>
      <c r="AB98" s="244"/>
      <c r="AC98" s="244" t="s">
        <v>6323</v>
      </c>
      <c r="AD98" s="244"/>
      <c r="AE98" s="244"/>
      <c r="AF98" s="244"/>
      <c r="AG98" s="244"/>
      <c r="AH98" s="201"/>
      <c r="AM98" s="210" t="s">
        <v>6318</v>
      </c>
      <c r="AN98" s="210"/>
      <c r="AO98" s="210"/>
      <c r="AP98" s="210"/>
      <c r="AQ98" s="210" t="s">
        <v>6319</v>
      </c>
      <c r="AR98" s="210"/>
      <c r="AS98" s="210"/>
      <c r="AT98" s="210"/>
      <c r="AU98" s="210"/>
      <c r="AW98" s="215" t="s">
        <v>6320</v>
      </c>
      <c r="AX98" s="216"/>
      <c r="AY98" s="216"/>
      <c r="AZ98" s="216"/>
      <c r="BA98" s="216"/>
      <c r="BB98" s="216" t="s">
        <v>6321</v>
      </c>
      <c r="BC98" s="216"/>
      <c r="BD98" s="216"/>
      <c r="BE98" s="216"/>
      <c r="BF98" s="216"/>
      <c r="BG98" s="216"/>
      <c r="BH98" s="216"/>
      <c r="BI98" s="216"/>
      <c r="BJ98" s="216"/>
      <c r="BK98" s="216"/>
      <c r="BL98" s="216"/>
      <c r="BM98" s="216"/>
      <c r="BN98" s="216"/>
      <c r="BO98" s="216"/>
      <c r="BP98" s="216"/>
      <c r="BQ98" s="216"/>
      <c r="BR98" s="216"/>
      <c r="BS98" s="216"/>
      <c r="BT98" s="216"/>
      <c r="BU98" s="216"/>
      <c r="BV98" s="216"/>
      <c r="BW98" s="217"/>
    </row>
    <row r="99" spans="8:8" ht="18.0">
      <c r="A99" s="263"/>
      <c r="B99" s="268"/>
      <c r="C99" s="268"/>
      <c r="D99" s="268"/>
      <c r="E99" s="268"/>
      <c r="F99" s="268"/>
      <c r="G99" s="269"/>
      <c r="H99" s="269"/>
      <c r="I99" s="269"/>
      <c r="J99" s="269"/>
      <c r="K99" s="269"/>
      <c r="L99" s="269"/>
      <c r="M99" s="269"/>
      <c r="N99" s="269"/>
      <c r="O99" s="269"/>
      <c r="P99" s="269"/>
      <c r="Q99" s="269"/>
      <c r="R99" s="269"/>
      <c r="S99" s="269"/>
      <c r="T99" s="269"/>
      <c r="U99" s="269"/>
      <c r="V99" s="269"/>
      <c r="W99" s="264"/>
      <c r="X99" s="244" t="s">
        <v>6328</v>
      </c>
      <c r="Y99" s="244"/>
      <c r="Z99" s="244"/>
      <c r="AA99" s="244"/>
      <c r="AB99" s="244"/>
      <c r="AC99" s="244" t="s">
        <v>6329</v>
      </c>
      <c r="AD99" s="244"/>
      <c r="AE99" s="244"/>
      <c r="AF99" s="244"/>
      <c r="AG99" s="244"/>
      <c r="AH99" s="201"/>
      <c r="AM99" s="210" t="s">
        <v>6324</v>
      </c>
      <c r="AN99" s="210"/>
      <c r="AO99" s="210"/>
      <c r="AP99" s="210"/>
      <c r="AQ99" s="210" t="s">
        <v>6325</v>
      </c>
      <c r="AR99" s="210"/>
      <c r="AS99" s="210"/>
      <c r="AT99" s="210"/>
      <c r="AU99" s="210"/>
      <c r="AW99" s="215" t="s">
        <v>6326</v>
      </c>
      <c r="AX99" s="216"/>
      <c r="AY99" s="216"/>
      <c r="AZ99" s="216"/>
      <c r="BA99" s="216"/>
      <c r="BB99" s="216" t="s">
        <v>6327</v>
      </c>
      <c r="BC99" s="216"/>
      <c r="BD99" s="216"/>
      <c r="BE99" s="216"/>
      <c r="BF99" s="216"/>
      <c r="BG99" s="216"/>
      <c r="BH99" s="216"/>
      <c r="BI99" s="216"/>
      <c r="BJ99" s="216"/>
      <c r="BK99" s="216"/>
      <c r="BL99" s="216"/>
      <c r="BM99" s="216"/>
      <c r="BN99" s="216"/>
      <c r="BO99" s="216"/>
      <c r="BP99" s="216"/>
      <c r="BQ99" s="216"/>
      <c r="BR99" s="216"/>
      <c r="BS99" s="216"/>
      <c r="BT99" s="216"/>
      <c r="BU99" s="216"/>
      <c r="BV99" s="216"/>
      <c r="BW99" s="217"/>
    </row>
    <row r="100" spans="8:8" ht="18.0">
      <c r="A100" s="263"/>
      <c r="B100" s="268"/>
      <c r="C100" s="268"/>
      <c r="D100" s="268"/>
      <c r="E100" s="268"/>
      <c r="F100" s="268"/>
      <c r="G100" s="269"/>
      <c r="H100" s="269"/>
      <c r="I100" s="269"/>
      <c r="J100" s="269"/>
      <c r="K100" s="269"/>
      <c r="L100" s="269"/>
      <c r="M100" s="269"/>
      <c r="N100" s="269"/>
      <c r="O100" s="269"/>
      <c r="P100" s="269"/>
      <c r="Q100" s="269"/>
      <c r="R100" s="269"/>
      <c r="S100" s="269"/>
      <c r="T100" s="269"/>
      <c r="U100" s="269"/>
      <c r="V100" s="269"/>
      <c r="W100" s="264"/>
      <c r="X100" s="244" t="s">
        <v>6333</v>
      </c>
      <c r="Y100" s="244"/>
      <c r="Z100" s="244"/>
      <c r="AA100" s="244"/>
      <c r="AB100" s="244"/>
      <c r="AC100" s="244" t="s">
        <v>6334</v>
      </c>
      <c r="AD100" s="244"/>
      <c r="AE100" s="244"/>
      <c r="AF100" s="244"/>
      <c r="AG100" s="244"/>
      <c r="AH100" s="201"/>
      <c r="AM100" s="210" t="s">
        <v>6330</v>
      </c>
      <c r="AN100" s="210"/>
      <c r="AO100" s="210"/>
      <c r="AP100" s="210"/>
      <c r="AQ100" s="210" t="s">
        <v>6331</v>
      </c>
      <c r="AR100" s="210"/>
      <c r="AS100" s="210"/>
      <c r="AT100" s="210"/>
      <c r="AU100" s="210"/>
      <c r="AW100" s="215" t="s">
        <v>6332</v>
      </c>
      <c r="AX100" s="216"/>
      <c r="AY100" s="216"/>
      <c r="AZ100" s="216"/>
      <c r="BA100" s="216"/>
      <c r="BB100" s="216" t="s">
        <v>4960</v>
      </c>
      <c r="BC100" s="216"/>
      <c r="BD100" s="216"/>
      <c r="BE100" s="216"/>
      <c r="BF100" s="216"/>
      <c r="BG100" s="216"/>
      <c r="BH100" s="216"/>
      <c r="BI100" s="216"/>
      <c r="BJ100" s="216"/>
      <c r="BK100" s="216"/>
      <c r="BL100" s="216"/>
      <c r="BM100" s="216"/>
      <c r="BN100" s="216"/>
      <c r="BO100" s="216"/>
      <c r="BP100" s="216"/>
      <c r="BQ100" s="216"/>
      <c r="BR100" s="216"/>
      <c r="BS100" s="216"/>
      <c r="BT100" s="216"/>
      <c r="BU100" s="216"/>
      <c r="BV100" s="216"/>
      <c r="BW100" s="217"/>
    </row>
    <row r="101" spans="8:8" ht="18.0">
      <c r="A101" s="263"/>
      <c r="B101" s="268"/>
      <c r="C101" s="268"/>
      <c r="D101" s="268"/>
      <c r="E101" s="268"/>
      <c r="F101" s="268"/>
      <c r="G101" s="269"/>
      <c r="H101" s="269"/>
      <c r="I101" s="269"/>
      <c r="J101" s="269"/>
      <c r="K101" s="269"/>
      <c r="L101" s="269"/>
      <c r="M101" s="269"/>
      <c r="N101" s="269"/>
      <c r="O101" s="269"/>
      <c r="P101" s="269"/>
      <c r="Q101" s="269"/>
      <c r="R101" s="269"/>
      <c r="S101" s="269"/>
      <c r="T101" s="269"/>
      <c r="U101" s="269"/>
      <c r="V101" s="269"/>
      <c r="W101" s="264"/>
      <c r="X101" s="244" t="s">
        <v>6339</v>
      </c>
      <c r="Y101" s="244"/>
      <c r="Z101" s="244"/>
      <c r="AA101" s="244"/>
      <c r="AB101" s="244"/>
      <c r="AC101" s="244" t="s">
        <v>6340</v>
      </c>
      <c r="AD101" s="244"/>
      <c r="AE101" s="244"/>
      <c r="AF101" s="244"/>
      <c r="AG101" s="244"/>
      <c r="AH101" s="201"/>
      <c r="AM101" s="210" t="s">
        <v>6335</v>
      </c>
      <c r="AN101" s="210"/>
      <c r="AO101" s="210"/>
      <c r="AP101" s="210"/>
      <c r="AQ101" s="210" t="s">
        <v>6336</v>
      </c>
      <c r="AR101" s="210"/>
      <c r="AS101" s="210"/>
      <c r="AT101" s="210"/>
      <c r="AU101" s="210"/>
      <c r="AW101" s="215" t="s">
        <v>6337</v>
      </c>
      <c r="AX101" s="216"/>
      <c r="AY101" s="216"/>
      <c r="AZ101" s="216"/>
      <c r="BA101" s="216"/>
      <c r="BB101" s="216" t="s">
        <v>6338</v>
      </c>
      <c r="BC101" s="216"/>
      <c r="BD101" s="216"/>
      <c r="BE101" s="216"/>
      <c r="BF101" s="216"/>
      <c r="BG101" s="216"/>
      <c r="BH101" s="216"/>
      <c r="BI101" s="216"/>
      <c r="BJ101" s="216"/>
      <c r="BK101" s="216"/>
      <c r="BL101" s="216"/>
      <c r="BM101" s="216"/>
      <c r="BN101" s="216"/>
      <c r="BO101" s="216"/>
      <c r="BP101" s="216"/>
      <c r="BQ101" s="216"/>
      <c r="BR101" s="216"/>
      <c r="BS101" s="216"/>
      <c r="BT101" s="216"/>
      <c r="BU101" s="216"/>
      <c r="BV101" s="216"/>
      <c r="BW101" s="217"/>
    </row>
    <row r="102" spans="8:8" ht="18.0">
      <c r="A102" s="263"/>
      <c r="B102" s="268"/>
      <c r="C102" s="268"/>
      <c r="D102" s="268"/>
      <c r="E102" s="268"/>
      <c r="F102" s="268"/>
      <c r="G102" s="269"/>
      <c r="H102" s="269"/>
      <c r="I102" s="269"/>
      <c r="J102" s="269"/>
      <c r="K102" s="269"/>
      <c r="L102" s="269"/>
      <c r="M102" s="269"/>
      <c r="N102" s="269"/>
      <c r="O102" s="269"/>
      <c r="P102" s="269"/>
      <c r="Q102" s="269"/>
      <c r="R102" s="269"/>
      <c r="S102" s="269"/>
      <c r="T102" s="269"/>
      <c r="U102" s="269"/>
      <c r="V102" s="269"/>
      <c r="W102" s="264"/>
      <c r="X102" s="244" t="s">
        <v>6345</v>
      </c>
      <c r="Y102" s="244"/>
      <c r="Z102" s="244"/>
      <c r="AA102" s="244"/>
      <c r="AB102" s="244"/>
      <c r="AC102" s="244" t="s">
        <v>6346</v>
      </c>
      <c r="AD102" s="244"/>
      <c r="AE102" s="244"/>
      <c r="AF102" s="244"/>
      <c r="AG102" s="244"/>
      <c r="AH102" s="201"/>
      <c r="AM102" s="210" t="s">
        <v>6341</v>
      </c>
      <c r="AN102" s="210"/>
      <c r="AO102" s="210"/>
      <c r="AP102" s="210"/>
      <c r="AQ102" s="210" t="s">
        <v>6342</v>
      </c>
      <c r="AR102" s="210"/>
      <c r="AS102" s="210"/>
      <c r="AT102" s="210"/>
      <c r="AU102" s="210"/>
      <c r="AW102" s="215" t="s">
        <v>6343</v>
      </c>
      <c r="AX102" s="216"/>
      <c r="AY102" s="216"/>
      <c r="AZ102" s="216"/>
      <c r="BA102" s="216"/>
      <c r="BB102" s="216" t="s">
        <v>6344</v>
      </c>
      <c r="BC102" s="216"/>
      <c r="BD102" s="216"/>
      <c r="BE102" s="216"/>
      <c r="BF102" s="216"/>
      <c r="BG102" s="216"/>
      <c r="BH102" s="216"/>
      <c r="BI102" s="216"/>
      <c r="BJ102" s="216"/>
      <c r="BK102" s="216"/>
      <c r="BL102" s="216"/>
      <c r="BM102" s="216"/>
      <c r="BN102" s="216"/>
      <c r="BO102" s="216"/>
      <c r="BP102" s="216"/>
      <c r="BQ102" s="216"/>
      <c r="BR102" s="216"/>
      <c r="BS102" s="216"/>
      <c r="BT102" s="216"/>
      <c r="BU102" s="216"/>
      <c r="BV102" s="216"/>
      <c r="BW102" s="217"/>
    </row>
    <row r="103" spans="8:8" ht="18.0">
      <c r="A103" s="263"/>
      <c r="B103" s="268"/>
      <c r="C103" s="268"/>
      <c r="D103" s="268"/>
      <c r="E103" s="268"/>
      <c r="F103" s="268"/>
      <c r="G103" s="269"/>
      <c r="H103" s="269"/>
      <c r="I103" s="269"/>
      <c r="J103" s="269"/>
      <c r="K103" s="269"/>
      <c r="L103" s="269"/>
      <c r="M103" s="269"/>
      <c r="N103" s="269"/>
      <c r="O103" s="269"/>
      <c r="P103" s="269"/>
      <c r="Q103" s="269"/>
      <c r="R103" s="269"/>
      <c r="S103" s="269"/>
      <c r="T103" s="269"/>
      <c r="U103" s="269"/>
      <c r="V103" s="269"/>
      <c r="W103" s="264"/>
      <c r="X103" s="244" t="s">
        <v>6351</v>
      </c>
      <c r="Y103" s="244"/>
      <c r="Z103" s="244"/>
      <c r="AA103" s="244"/>
      <c r="AB103" s="244"/>
      <c r="AC103" s="244" t="s">
        <v>6352</v>
      </c>
      <c r="AD103" s="244"/>
      <c r="AE103" s="244"/>
      <c r="AF103" s="244"/>
      <c r="AG103" s="244"/>
      <c r="AH103" s="201"/>
      <c r="AM103" s="210" t="s">
        <v>6347</v>
      </c>
      <c r="AN103" s="210"/>
      <c r="AO103" s="210"/>
      <c r="AP103" s="210"/>
      <c r="AQ103" s="210" t="s">
        <v>6348</v>
      </c>
      <c r="AR103" s="210"/>
      <c r="AS103" s="210"/>
      <c r="AT103" s="210"/>
      <c r="AU103" s="210"/>
      <c r="AW103" s="215" t="s">
        <v>6349</v>
      </c>
      <c r="AX103" s="216"/>
      <c r="AY103" s="216"/>
      <c r="AZ103" s="216"/>
      <c r="BA103" s="216"/>
      <c r="BB103" s="216" t="s">
        <v>6350</v>
      </c>
      <c r="BC103" s="216"/>
      <c r="BD103" s="216"/>
      <c r="BE103" s="216"/>
      <c r="BF103" s="216"/>
      <c r="BG103" s="216"/>
      <c r="BH103" s="216"/>
      <c r="BI103" s="216"/>
      <c r="BJ103" s="216"/>
      <c r="BK103" s="216"/>
      <c r="BL103" s="216"/>
      <c r="BM103" s="216"/>
      <c r="BN103" s="216"/>
      <c r="BO103" s="216"/>
      <c r="BP103" s="216"/>
      <c r="BQ103" s="216"/>
      <c r="BR103" s="216"/>
      <c r="BS103" s="216"/>
      <c r="BT103" s="216"/>
      <c r="BU103" s="216"/>
      <c r="BV103" s="216"/>
      <c r="BW103" s="217"/>
    </row>
    <row r="104" spans="8:8" ht="18.0">
      <c r="A104" s="263"/>
      <c r="B104" s="268"/>
      <c r="C104" s="268"/>
      <c r="D104" s="268"/>
      <c r="E104" s="268"/>
      <c r="F104" s="268"/>
      <c r="G104" s="269"/>
      <c r="H104" s="269"/>
      <c r="I104" s="269"/>
      <c r="J104" s="269"/>
      <c r="K104" s="269"/>
      <c r="L104" s="269"/>
      <c r="M104" s="269"/>
      <c r="N104" s="269"/>
      <c r="O104" s="269"/>
      <c r="P104" s="269"/>
      <c r="Q104" s="269"/>
      <c r="R104" s="269"/>
      <c r="S104" s="269"/>
      <c r="T104" s="269"/>
      <c r="U104" s="269"/>
      <c r="V104" s="269"/>
      <c r="W104" s="264"/>
      <c r="X104" s="244" t="s">
        <v>6357</v>
      </c>
      <c r="Y104" s="244"/>
      <c r="Z104" s="244"/>
      <c r="AA104" s="244"/>
      <c r="AB104" s="244"/>
      <c r="AC104" s="244" t="s">
        <v>6358</v>
      </c>
      <c r="AD104" s="244"/>
      <c r="AE104" s="244"/>
      <c r="AF104" s="244"/>
      <c r="AG104" s="244"/>
      <c r="AH104" s="201"/>
      <c r="AM104" s="210" t="s">
        <v>6353</v>
      </c>
      <c r="AN104" s="210"/>
      <c r="AO104" s="210"/>
      <c r="AP104" s="210"/>
      <c r="AQ104" s="210" t="s">
        <v>6354</v>
      </c>
      <c r="AR104" s="210"/>
      <c r="AS104" s="210"/>
      <c r="AT104" s="210"/>
      <c r="AU104" s="210"/>
      <c r="AW104" s="215" t="s">
        <v>6355</v>
      </c>
      <c r="AX104" s="216"/>
      <c r="AY104" s="216"/>
      <c r="AZ104" s="216"/>
      <c r="BA104" s="216"/>
      <c r="BB104" s="216" t="s">
        <v>6356</v>
      </c>
      <c r="BC104" s="216"/>
      <c r="BD104" s="216"/>
      <c r="BE104" s="216"/>
      <c r="BF104" s="216"/>
      <c r="BG104" s="216"/>
      <c r="BH104" s="216"/>
      <c r="BI104" s="216"/>
      <c r="BJ104" s="216"/>
      <c r="BK104" s="216"/>
      <c r="BL104" s="216"/>
      <c r="BM104" s="216"/>
      <c r="BN104" s="216"/>
      <c r="BO104" s="216"/>
      <c r="BP104" s="216"/>
      <c r="BQ104" s="216"/>
      <c r="BR104" s="216"/>
      <c r="BS104" s="216"/>
      <c r="BT104" s="216"/>
      <c r="BU104" s="216"/>
      <c r="BV104" s="216"/>
      <c r="BW104" s="217"/>
    </row>
    <row r="105" spans="8:8" ht="18.0">
      <c r="A105" s="263"/>
      <c r="B105" s="268"/>
      <c r="C105" s="268"/>
      <c r="D105" s="268"/>
      <c r="E105" s="268"/>
      <c r="F105" s="268"/>
      <c r="G105" s="269"/>
      <c r="H105" s="269"/>
      <c r="I105" s="269"/>
      <c r="J105" s="269"/>
      <c r="K105" s="269"/>
      <c r="L105" s="269"/>
      <c r="M105" s="269"/>
      <c r="N105" s="269"/>
      <c r="O105" s="269"/>
      <c r="P105" s="269"/>
      <c r="Q105" s="269"/>
      <c r="R105" s="269"/>
      <c r="S105" s="269"/>
      <c r="T105" s="269"/>
      <c r="U105" s="269"/>
      <c r="V105" s="269"/>
      <c r="W105" s="264"/>
      <c r="X105" s="244" t="s">
        <v>6363</v>
      </c>
      <c r="Y105" s="244"/>
      <c r="Z105" s="244"/>
      <c r="AA105" s="244"/>
      <c r="AB105" s="244"/>
      <c r="AC105" s="244" t="s">
        <v>6364</v>
      </c>
      <c r="AD105" s="244"/>
      <c r="AE105" s="244"/>
      <c r="AF105" s="244"/>
      <c r="AG105" s="244"/>
      <c r="AH105" s="201"/>
      <c r="AM105" s="210" t="s">
        <v>6359</v>
      </c>
      <c r="AN105" s="210"/>
      <c r="AO105" s="210"/>
      <c r="AP105" s="210"/>
      <c r="AQ105" s="210" t="s">
        <v>6360</v>
      </c>
      <c r="AR105" s="210"/>
      <c r="AS105" s="210"/>
      <c r="AT105" s="210"/>
      <c r="AU105" s="210"/>
      <c r="AW105" s="215" t="s">
        <v>6361</v>
      </c>
      <c r="AX105" s="216"/>
      <c r="AY105" s="216"/>
      <c r="AZ105" s="216"/>
      <c r="BA105" s="216"/>
      <c r="BB105" s="216" t="s">
        <v>6362</v>
      </c>
      <c r="BC105" s="216"/>
      <c r="BD105" s="216"/>
      <c r="BE105" s="216"/>
      <c r="BF105" s="216"/>
      <c r="BG105" s="216"/>
      <c r="BH105" s="216"/>
      <c r="BI105" s="216"/>
      <c r="BJ105" s="216"/>
      <c r="BK105" s="216"/>
      <c r="BL105" s="216"/>
      <c r="BM105" s="216"/>
      <c r="BN105" s="216"/>
      <c r="BO105" s="216"/>
      <c r="BP105" s="216"/>
      <c r="BQ105" s="216"/>
      <c r="BR105" s="216"/>
      <c r="BS105" s="216"/>
      <c r="BT105" s="216"/>
      <c r="BU105" s="216"/>
      <c r="BV105" s="216"/>
      <c r="BW105" s="217"/>
    </row>
    <row r="106" spans="8:8" ht="18.0">
      <c r="A106" s="263"/>
      <c r="B106" s="268"/>
      <c r="C106" s="268"/>
      <c r="D106" s="268"/>
      <c r="E106" s="268"/>
      <c r="F106" s="268"/>
      <c r="G106" s="269"/>
      <c r="H106" s="269"/>
      <c r="I106" s="269"/>
      <c r="J106" s="269"/>
      <c r="K106" s="269"/>
      <c r="L106" s="269"/>
      <c r="M106" s="269"/>
      <c r="N106" s="269"/>
      <c r="O106" s="269"/>
      <c r="P106" s="269"/>
      <c r="Q106" s="269"/>
      <c r="R106" s="269"/>
      <c r="S106" s="269"/>
      <c r="T106" s="269"/>
      <c r="U106" s="269"/>
      <c r="V106" s="269"/>
      <c r="W106" s="264"/>
      <c r="X106" s="244" t="s">
        <v>6373</v>
      </c>
      <c r="Y106" s="244"/>
      <c r="Z106" s="244"/>
      <c r="AA106" s="244"/>
      <c r="AB106" s="244"/>
      <c r="AC106" s="244" t="s">
        <v>6374</v>
      </c>
      <c r="AD106" s="244"/>
      <c r="AE106" s="244"/>
      <c r="AF106" s="244"/>
      <c r="AG106" s="244"/>
      <c r="AH106" s="201"/>
      <c r="AM106" s="210" t="s">
        <v>6365</v>
      </c>
      <c r="AN106" s="210"/>
      <c r="AO106" s="210"/>
      <c r="AP106" s="210"/>
      <c r="AQ106" s="210" t="s">
        <v>6366</v>
      </c>
      <c r="AR106" s="210"/>
      <c r="AS106" s="210"/>
      <c r="AT106" s="210"/>
      <c r="AU106" s="210"/>
      <c r="AW106" s="215" t="s">
        <v>6367</v>
      </c>
      <c r="AX106" s="216"/>
      <c r="AY106" s="216"/>
      <c r="AZ106" s="216"/>
      <c r="BA106" s="216"/>
      <c r="BB106" s="216" t="s">
        <v>6368</v>
      </c>
      <c r="BC106" s="216"/>
      <c r="BD106" s="216"/>
      <c r="BE106" s="216"/>
      <c r="BF106" s="216"/>
      <c r="BG106" s="216"/>
      <c r="BH106" s="216"/>
      <c r="BI106" s="216"/>
      <c r="BJ106" s="216"/>
      <c r="BK106" s="216"/>
      <c r="BL106" s="216"/>
      <c r="BM106" s="216"/>
      <c r="BN106" s="216"/>
      <c r="BO106" s="216"/>
      <c r="BP106" s="216"/>
      <c r="BQ106" s="216"/>
      <c r="BR106" s="216"/>
      <c r="BS106" s="216"/>
      <c r="BT106" s="216"/>
      <c r="BU106" s="216"/>
      <c r="BV106" s="216"/>
      <c r="BW106" s="217"/>
    </row>
    <row r="107" spans="8:8" ht="15.15" customHeight="1">
      <c r="A107" s="263"/>
      <c r="B107" s="268" t="s">
        <v>1818</v>
      </c>
      <c r="C107" s="268" t="s">
        <v>1819</v>
      </c>
      <c r="D107" s="268" t="s">
        <v>6369</v>
      </c>
      <c r="E107" s="268"/>
      <c r="F107" s="268"/>
      <c r="G107" s="269" t="s">
        <v>6370</v>
      </c>
      <c r="H107" s="269"/>
      <c r="I107" s="269" t="str">
        <f>_xlfn.DISPIMG("ID_29D99376728B4E0DA5F27A9F964AEE38",1)</f>
        <v>=DISPIMG("ID_29D99376728B4E0DA5F27A9F964AEE38",1)</v>
      </c>
      <c r="J107" s="269"/>
      <c r="K107" s="269"/>
      <c r="L107" s="269" t="s">
        <v>6371</v>
      </c>
      <c r="M107" s="269"/>
      <c r="N107" s="269"/>
      <c r="O107" s="269" t="str">
        <f>_xlfn.DISPIMG("ID_D1A3A8CA1CD8468C8A5B842D859C3A6A",1)</f>
        <v>=DISPIMG("ID_D1A3A8CA1CD8468C8A5B842D859C3A6A",1)</v>
      </c>
      <c r="P107" s="269"/>
      <c r="Q107" s="269" t="s">
        <v>6372</v>
      </c>
      <c r="R107" s="269"/>
      <c r="S107" s="269"/>
      <c r="T107" s="269" t="str">
        <f>_xlfn.DISPIMG("ID_5446B2BA367045058AFBA9B7E4A50892",1)</f>
        <v>=DISPIMG("ID_5446B2BA367045058AFBA9B7E4A50892",1)</v>
      </c>
      <c r="U107" s="269"/>
      <c r="V107" s="269"/>
      <c r="W107" s="264"/>
      <c r="X107" s="244" t="s">
        <v>6379</v>
      </c>
      <c r="Y107" s="244"/>
      <c r="Z107" s="244"/>
      <c r="AA107" s="244"/>
      <c r="AB107" s="244"/>
      <c r="AC107" s="244" t="s">
        <v>6380</v>
      </c>
      <c r="AD107" s="244"/>
      <c r="AE107" s="244"/>
      <c r="AF107" s="244"/>
      <c r="AG107" s="244"/>
      <c r="AH107" s="201"/>
      <c r="AM107" s="210" t="s">
        <v>6375</v>
      </c>
      <c r="AN107" s="210"/>
      <c r="AO107" s="210"/>
      <c r="AP107" s="210"/>
      <c r="AQ107" s="210" t="s">
        <v>6376</v>
      </c>
      <c r="AR107" s="210"/>
      <c r="AS107" s="210"/>
      <c r="AT107" s="210"/>
      <c r="AU107" s="210"/>
      <c r="AW107" s="215" t="s">
        <v>6377</v>
      </c>
      <c r="AX107" s="216"/>
      <c r="AY107" s="216"/>
      <c r="AZ107" s="216"/>
      <c r="BA107" s="216"/>
      <c r="BB107" s="216" t="s">
        <v>6378</v>
      </c>
      <c r="BC107" s="216"/>
      <c r="BD107" s="216"/>
      <c r="BE107" s="216"/>
      <c r="BF107" s="216"/>
      <c r="BG107" s="216"/>
      <c r="BH107" s="216"/>
      <c r="BI107" s="216"/>
      <c r="BJ107" s="216"/>
      <c r="BK107" s="216"/>
      <c r="BL107" s="216"/>
      <c r="BM107" s="216"/>
      <c r="BN107" s="216"/>
      <c r="BO107" s="216"/>
      <c r="BP107" s="216"/>
      <c r="BQ107" s="216"/>
      <c r="BR107" s="216"/>
      <c r="BS107" s="216"/>
      <c r="BT107" s="216"/>
      <c r="BU107" s="216"/>
      <c r="BV107" s="216"/>
      <c r="BW107" s="217"/>
    </row>
    <row r="108" spans="8:8" ht="18.0">
      <c r="A108" s="263"/>
      <c r="B108" s="268"/>
      <c r="C108" s="268"/>
      <c r="D108" s="268"/>
      <c r="E108" s="268"/>
      <c r="F108" s="268"/>
      <c r="G108" s="269"/>
      <c r="H108" s="269"/>
      <c r="I108" s="269"/>
      <c r="J108" s="269"/>
      <c r="K108" s="269"/>
      <c r="L108" s="269"/>
      <c r="M108" s="269"/>
      <c r="N108" s="269"/>
      <c r="O108" s="269"/>
      <c r="P108" s="269"/>
      <c r="Q108" s="269"/>
      <c r="R108" s="269"/>
      <c r="S108" s="269"/>
      <c r="T108" s="269"/>
      <c r="U108" s="269"/>
      <c r="V108" s="269"/>
      <c r="W108" s="264"/>
      <c r="X108" s="244" t="s">
        <v>6385</v>
      </c>
      <c r="Y108" s="244"/>
      <c r="Z108" s="244"/>
      <c r="AA108" s="244"/>
      <c r="AB108" s="244"/>
      <c r="AC108" s="244" t="s">
        <v>6386</v>
      </c>
      <c r="AD108" s="244"/>
      <c r="AE108" s="244"/>
      <c r="AF108" s="244"/>
      <c r="AG108" s="244"/>
      <c r="AH108" s="201"/>
      <c r="AM108" s="210" t="s">
        <v>6381</v>
      </c>
      <c r="AN108" s="210"/>
      <c r="AO108" s="210"/>
      <c r="AP108" s="210"/>
      <c r="AQ108" s="210" t="s">
        <v>6382</v>
      </c>
      <c r="AR108" s="210"/>
      <c r="AS108" s="210"/>
      <c r="AT108" s="210"/>
      <c r="AU108" s="210"/>
      <c r="AW108" s="215" t="s">
        <v>6383</v>
      </c>
      <c r="AX108" s="216"/>
      <c r="AY108" s="216"/>
      <c r="AZ108" s="216"/>
      <c r="BA108" s="216"/>
      <c r="BB108" s="216" t="s">
        <v>6384</v>
      </c>
      <c r="BC108" s="216"/>
      <c r="BD108" s="216"/>
      <c r="BE108" s="216"/>
      <c r="BF108" s="216"/>
      <c r="BG108" s="216"/>
      <c r="BH108" s="216"/>
      <c r="BI108" s="216"/>
      <c r="BJ108" s="216"/>
      <c r="BK108" s="216"/>
      <c r="BL108" s="216"/>
      <c r="BM108" s="216"/>
      <c r="BN108" s="216"/>
      <c r="BO108" s="216"/>
      <c r="BP108" s="216"/>
      <c r="BQ108" s="216"/>
      <c r="BR108" s="216"/>
      <c r="BS108" s="216"/>
      <c r="BT108" s="216"/>
      <c r="BU108" s="216"/>
      <c r="BV108" s="216"/>
      <c r="BW108" s="217"/>
    </row>
    <row r="109" spans="8:8" ht="18.0">
      <c r="A109" s="263"/>
      <c r="B109" s="268"/>
      <c r="C109" s="268"/>
      <c r="D109" s="268"/>
      <c r="E109" s="268"/>
      <c r="F109" s="268"/>
      <c r="G109" s="269"/>
      <c r="H109" s="269"/>
      <c r="I109" s="269"/>
      <c r="J109" s="269"/>
      <c r="K109" s="269"/>
      <c r="L109" s="269"/>
      <c r="M109" s="269"/>
      <c r="N109" s="269"/>
      <c r="O109" s="269"/>
      <c r="P109" s="269"/>
      <c r="Q109" s="269"/>
      <c r="R109" s="269"/>
      <c r="S109" s="269"/>
      <c r="T109" s="269"/>
      <c r="U109" s="269"/>
      <c r="V109" s="269"/>
      <c r="W109" s="264"/>
      <c r="X109" s="244" t="s">
        <v>6391</v>
      </c>
      <c r="Y109" s="244"/>
      <c r="Z109" s="244"/>
      <c r="AA109" s="244"/>
      <c r="AB109" s="244"/>
      <c r="AC109" s="244" t="s">
        <v>6392</v>
      </c>
      <c r="AD109" s="244"/>
      <c r="AE109" s="244"/>
      <c r="AF109" s="244"/>
      <c r="AG109" s="244"/>
      <c r="AH109" s="201"/>
      <c r="AM109" s="210" t="s">
        <v>6387</v>
      </c>
      <c r="AN109" s="210"/>
      <c r="AO109" s="210"/>
      <c r="AP109" s="210"/>
      <c r="AQ109" s="210" t="s">
        <v>6388</v>
      </c>
      <c r="AR109" s="210"/>
      <c r="AS109" s="210"/>
      <c r="AT109" s="210"/>
      <c r="AU109" s="210"/>
      <c r="AW109" s="215" t="s">
        <v>6389</v>
      </c>
      <c r="AX109" s="216"/>
      <c r="AY109" s="216"/>
      <c r="AZ109" s="216"/>
      <c r="BA109" s="216"/>
      <c r="BB109" s="216" t="s">
        <v>6390</v>
      </c>
      <c r="BC109" s="216"/>
      <c r="BD109" s="216"/>
      <c r="BE109" s="216"/>
      <c r="BF109" s="216"/>
      <c r="BG109" s="216"/>
      <c r="BH109" s="216"/>
      <c r="BI109" s="216"/>
      <c r="BJ109" s="216"/>
      <c r="BK109" s="216"/>
      <c r="BL109" s="216"/>
      <c r="BM109" s="216"/>
      <c r="BN109" s="216"/>
      <c r="BO109" s="216"/>
      <c r="BP109" s="216"/>
      <c r="BQ109" s="216"/>
      <c r="BR109" s="216"/>
      <c r="BS109" s="216"/>
      <c r="BT109" s="216"/>
      <c r="BU109" s="216"/>
      <c r="BV109" s="216"/>
      <c r="BW109" s="217"/>
    </row>
    <row r="110" spans="8:8" ht="18.0">
      <c r="A110" s="263"/>
      <c r="B110" s="268"/>
      <c r="C110" s="268"/>
      <c r="D110" s="268"/>
      <c r="E110" s="268"/>
      <c r="F110" s="268"/>
      <c r="G110" s="269"/>
      <c r="H110" s="269"/>
      <c r="I110" s="269"/>
      <c r="J110" s="269"/>
      <c r="K110" s="269"/>
      <c r="L110" s="269"/>
      <c r="M110" s="269"/>
      <c r="N110" s="269"/>
      <c r="O110" s="269"/>
      <c r="P110" s="269"/>
      <c r="Q110" s="269"/>
      <c r="R110" s="269"/>
      <c r="S110" s="269"/>
      <c r="T110" s="269"/>
      <c r="U110" s="269"/>
      <c r="V110" s="269"/>
      <c r="W110" s="264"/>
      <c r="X110" s="244" t="s">
        <v>6397</v>
      </c>
      <c r="Y110" s="244"/>
      <c r="Z110" s="244"/>
      <c r="AA110" s="244"/>
      <c r="AB110" s="244"/>
      <c r="AC110" s="244" t="s">
        <v>6398</v>
      </c>
      <c r="AD110" s="244"/>
      <c r="AE110" s="244"/>
      <c r="AF110" s="244"/>
      <c r="AG110" s="244"/>
      <c r="AH110" s="201"/>
      <c r="AM110" s="210" t="s">
        <v>6393</v>
      </c>
      <c r="AN110" s="210"/>
      <c r="AO110" s="210"/>
      <c r="AP110" s="210"/>
      <c r="AQ110" s="210" t="s">
        <v>6394</v>
      </c>
      <c r="AR110" s="210"/>
      <c r="AS110" s="210"/>
      <c r="AT110" s="210"/>
      <c r="AU110" s="210"/>
      <c r="AW110" s="215" t="s">
        <v>6395</v>
      </c>
      <c r="AX110" s="216"/>
      <c r="AY110" s="216"/>
      <c r="AZ110" s="216"/>
      <c r="BA110" s="216"/>
      <c r="BB110" s="216" t="s">
        <v>6396</v>
      </c>
      <c r="BC110" s="216"/>
      <c r="BD110" s="216"/>
      <c r="BE110" s="216"/>
      <c r="BF110" s="216"/>
      <c r="BG110" s="216"/>
      <c r="BH110" s="216"/>
      <c r="BI110" s="216"/>
      <c r="BJ110" s="216"/>
      <c r="BK110" s="216"/>
      <c r="BL110" s="216"/>
      <c r="BM110" s="216"/>
      <c r="BN110" s="216"/>
      <c r="BO110" s="216"/>
      <c r="BP110" s="216"/>
      <c r="BQ110" s="216"/>
      <c r="BR110" s="216"/>
      <c r="BS110" s="216"/>
      <c r="BT110" s="216"/>
      <c r="BU110" s="216"/>
      <c r="BV110" s="216"/>
      <c r="BW110" s="217"/>
    </row>
    <row r="111" spans="8:8" ht="18.0">
      <c r="A111" s="263"/>
      <c r="B111" s="268"/>
      <c r="C111" s="268"/>
      <c r="D111" s="268"/>
      <c r="E111" s="268"/>
      <c r="F111" s="268"/>
      <c r="G111" s="269"/>
      <c r="H111" s="269"/>
      <c r="I111" s="269"/>
      <c r="J111" s="269"/>
      <c r="K111" s="269"/>
      <c r="L111" s="269"/>
      <c r="M111" s="269"/>
      <c r="N111" s="269"/>
      <c r="O111" s="269"/>
      <c r="P111" s="269"/>
      <c r="Q111" s="269"/>
      <c r="R111" s="269"/>
      <c r="S111" s="269"/>
      <c r="T111" s="269"/>
      <c r="U111" s="269"/>
      <c r="V111" s="269"/>
      <c r="W111" s="264"/>
      <c r="X111" s="244" t="s">
        <v>6403</v>
      </c>
      <c r="Y111" s="244"/>
      <c r="Z111" s="244"/>
      <c r="AA111" s="244"/>
      <c r="AB111" s="244"/>
      <c r="AC111" s="244" t="s">
        <v>6404</v>
      </c>
      <c r="AD111" s="244"/>
      <c r="AE111" s="244"/>
      <c r="AF111" s="244"/>
      <c r="AG111" s="244"/>
      <c r="AH111" s="201"/>
      <c r="AM111" s="210" t="s">
        <v>6399</v>
      </c>
      <c r="AN111" s="210"/>
      <c r="AO111" s="210"/>
      <c r="AP111" s="210"/>
      <c r="AQ111" s="210" t="s">
        <v>6400</v>
      </c>
      <c r="AR111" s="210"/>
      <c r="AS111" s="210"/>
      <c r="AT111" s="210"/>
      <c r="AU111" s="210"/>
      <c r="AW111" s="215" t="s">
        <v>6401</v>
      </c>
      <c r="AX111" s="216"/>
      <c r="AY111" s="216"/>
      <c r="AZ111" s="216"/>
      <c r="BA111" s="216"/>
      <c r="BB111" s="216" t="s">
        <v>6402</v>
      </c>
      <c r="BC111" s="216"/>
      <c r="BD111" s="216"/>
      <c r="BE111" s="216"/>
      <c r="BF111" s="216"/>
      <c r="BG111" s="216"/>
      <c r="BH111" s="216"/>
      <c r="BI111" s="216"/>
      <c r="BJ111" s="216"/>
      <c r="BK111" s="216"/>
      <c r="BL111" s="216"/>
      <c r="BM111" s="216"/>
      <c r="BN111" s="216"/>
      <c r="BO111" s="216"/>
      <c r="BP111" s="216"/>
      <c r="BQ111" s="216"/>
      <c r="BR111" s="216"/>
      <c r="BS111" s="216"/>
      <c r="BT111" s="216"/>
      <c r="BU111" s="216"/>
      <c r="BV111" s="216"/>
      <c r="BW111" s="217"/>
    </row>
    <row r="112" spans="8:8" ht="18.0">
      <c r="A112" s="263"/>
      <c r="B112" s="268"/>
      <c r="C112" s="268"/>
      <c r="D112" s="268"/>
      <c r="E112" s="268"/>
      <c r="F112" s="268"/>
      <c r="G112" s="269"/>
      <c r="H112" s="269"/>
      <c r="I112" s="269"/>
      <c r="J112" s="269"/>
      <c r="K112" s="269"/>
      <c r="L112" s="269"/>
      <c r="M112" s="269"/>
      <c r="N112" s="269"/>
      <c r="O112" s="269"/>
      <c r="P112" s="269"/>
      <c r="Q112" s="269"/>
      <c r="R112" s="269"/>
      <c r="S112" s="269"/>
      <c r="T112" s="269"/>
      <c r="U112" s="269"/>
      <c r="V112" s="269"/>
      <c r="W112" s="264"/>
      <c r="X112" s="244" t="s">
        <v>6409</v>
      </c>
      <c r="Y112" s="244"/>
      <c r="Z112" s="244"/>
      <c r="AA112" s="244"/>
      <c r="AB112" s="244"/>
      <c r="AC112" s="244" t="s">
        <v>6410</v>
      </c>
      <c r="AD112" s="244"/>
      <c r="AE112" s="244"/>
      <c r="AF112" s="244"/>
      <c r="AG112" s="244"/>
      <c r="AH112" s="201"/>
      <c r="AM112" s="210" t="s">
        <v>6405</v>
      </c>
      <c r="AN112" s="210"/>
      <c r="AO112" s="210"/>
      <c r="AP112" s="210"/>
      <c r="AQ112" s="210" t="s">
        <v>6406</v>
      </c>
      <c r="AR112" s="210"/>
      <c r="AS112" s="210"/>
      <c r="AT112" s="210"/>
      <c r="AU112" s="210"/>
      <c r="AW112" s="215" t="s">
        <v>6407</v>
      </c>
      <c r="AX112" s="216"/>
      <c r="AY112" s="216"/>
      <c r="AZ112" s="216"/>
      <c r="BA112" s="216"/>
      <c r="BB112" s="216" t="s">
        <v>6408</v>
      </c>
      <c r="BC112" s="216"/>
      <c r="BD112" s="216"/>
      <c r="BE112" s="216"/>
      <c r="BF112" s="216"/>
      <c r="BG112" s="216"/>
      <c r="BH112" s="216"/>
      <c r="BI112" s="216"/>
      <c r="BJ112" s="216"/>
      <c r="BK112" s="216"/>
      <c r="BL112" s="216"/>
      <c r="BM112" s="216"/>
      <c r="BN112" s="216"/>
      <c r="BO112" s="216"/>
      <c r="BP112" s="216"/>
      <c r="BQ112" s="216"/>
      <c r="BR112" s="216"/>
      <c r="BS112" s="216"/>
      <c r="BT112" s="216"/>
      <c r="BU112" s="216"/>
      <c r="BV112" s="216"/>
      <c r="BW112" s="217"/>
    </row>
    <row r="113" spans="8:8" ht="18.0">
      <c r="A113" s="263"/>
      <c r="B113" s="268"/>
      <c r="C113" s="268"/>
      <c r="D113" s="268"/>
      <c r="E113" s="268"/>
      <c r="F113" s="268"/>
      <c r="G113" s="269"/>
      <c r="H113" s="269"/>
      <c r="I113" s="269"/>
      <c r="J113" s="269"/>
      <c r="K113" s="269"/>
      <c r="L113" s="269"/>
      <c r="M113" s="269"/>
      <c r="N113" s="269"/>
      <c r="O113" s="269"/>
      <c r="P113" s="269"/>
      <c r="Q113" s="269"/>
      <c r="R113" s="269"/>
      <c r="S113" s="269"/>
      <c r="T113" s="269"/>
      <c r="U113" s="269"/>
      <c r="V113" s="269"/>
      <c r="W113" s="264"/>
      <c r="X113" s="244" t="s">
        <v>6415</v>
      </c>
      <c r="Y113" s="244"/>
      <c r="Z113" s="244"/>
      <c r="AA113" s="244"/>
      <c r="AB113" s="244"/>
      <c r="AC113" s="244" t="s">
        <v>6416</v>
      </c>
      <c r="AD113" s="244"/>
      <c r="AE113" s="244"/>
      <c r="AF113" s="244"/>
      <c r="AG113" s="244"/>
      <c r="AH113" s="201"/>
      <c r="AM113" s="210" t="s">
        <v>6411</v>
      </c>
      <c r="AN113" s="210"/>
      <c r="AO113" s="210"/>
      <c r="AP113" s="210"/>
      <c r="AQ113" s="210" t="s">
        <v>6412</v>
      </c>
      <c r="AR113" s="210"/>
      <c r="AS113" s="210"/>
      <c r="AT113" s="210"/>
      <c r="AU113" s="210"/>
      <c r="AW113" s="215" t="s">
        <v>6413</v>
      </c>
      <c r="AX113" s="216"/>
      <c r="AY113" s="216"/>
      <c r="AZ113" s="216"/>
      <c r="BA113" s="216"/>
      <c r="BB113" s="216" t="s">
        <v>6414</v>
      </c>
      <c r="BC113" s="216"/>
      <c r="BD113" s="216"/>
      <c r="BE113" s="216"/>
      <c r="BF113" s="216"/>
      <c r="BG113" s="216"/>
      <c r="BH113" s="216"/>
      <c r="BI113" s="216"/>
      <c r="BJ113" s="216"/>
      <c r="BK113" s="216"/>
      <c r="BL113" s="216"/>
      <c r="BM113" s="216"/>
      <c r="BN113" s="216"/>
      <c r="BO113" s="216"/>
      <c r="BP113" s="216"/>
      <c r="BQ113" s="216"/>
      <c r="BR113" s="216"/>
      <c r="BS113" s="216"/>
      <c r="BT113" s="216"/>
      <c r="BU113" s="216"/>
      <c r="BV113" s="216"/>
      <c r="BW113" s="217"/>
    </row>
    <row r="114" spans="8:8" ht="18.0">
      <c r="A114" s="263"/>
      <c r="B114" s="268"/>
      <c r="C114" s="268"/>
      <c r="D114" s="268"/>
      <c r="E114" s="268"/>
      <c r="F114" s="268"/>
      <c r="G114" s="269"/>
      <c r="H114" s="269"/>
      <c r="I114" s="269"/>
      <c r="J114" s="269"/>
      <c r="K114" s="269"/>
      <c r="L114" s="269"/>
      <c r="M114" s="269"/>
      <c r="N114" s="269"/>
      <c r="O114" s="269"/>
      <c r="P114" s="269"/>
      <c r="Q114" s="269"/>
      <c r="R114" s="269"/>
      <c r="S114" s="269"/>
      <c r="T114" s="269"/>
      <c r="U114" s="269"/>
      <c r="V114" s="269"/>
      <c r="W114" s="264"/>
      <c r="X114" s="244" t="s">
        <v>6421</v>
      </c>
      <c r="Y114" s="244"/>
      <c r="Z114" s="244"/>
      <c r="AA114" s="244"/>
      <c r="AB114" s="244"/>
      <c r="AC114" s="244" t="s">
        <v>6422</v>
      </c>
      <c r="AD114" s="244"/>
      <c r="AE114" s="244"/>
      <c r="AF114" s="244"/>
      <c r="AG114" s="244"/>
      <c r="AH114" s="201"/>
      <c r="AM114" s="210" t="s">
        <v>6417</v>
      </c>
      <c r="AN114" s="210"/>
      <c r="AO114" s="210"/>
      <c r="AP114" s="210"/>
      <c r="AQ114" s="210" t="s">
        <v>6418</v>
      </c>
      <c r="AR114" s="210"/>
      <c r="AS114" s="210"/>
      <c r="AT114" s="210"/>
      <c r="AU114" s="210"/>
      <c r="AW114" s="215" t="s">
        <v>6419</v>
      </c>
      <c r="AX114" s="216"/>
      <c r="AY114" s="216"/>
      <c r="AZ114" s="216"/>
      <c r="BA114" s="216"/>
      <c r="BB114" s="216" t="s">
        <v>6420</v>
      </c>
      <c r="BC114" s="216"/>
      <c r="BD114" s="216"/>
      <c r="BE114" s="216"/>
      <c r="BF114" s="216"/>
      <c r="BG114" s="216"/>
      <c r="BH114" s="216"/>
      <c r="BI114" s="216"/>
      <c r="BJ114" s="216"/>
      <c r="BK114" s="216"/>
      <c r="BL114" s="216"/>
      <c r="BM114" s="216"/>
      <c r="BN114" s="216"/>
      <c r="BO114" s="216"/>
      <c r="BP114" s="216"/>
      <c r="BQ114" s="216"/>
      <c r="BR114" s="216"/>
      <c r="BS114" s="216"/>
      <c r="BT114" s="216"/>
      <c r="BU114" s="216"/>
      <c r="BV114" s="216"/>
      <c r="BW114" s="217"/>
    </row>
    <row r="115" spans="8:8" ht="18.0">
      <c r="A115" s="263"/>
      <c r="B115" s="268"/>
      <c r="C115" s="268"/>
      <c r="D115" s="268"/>
      <c r="E115" s="268"/>
      <c r="F115" s="268"/>
      <c r="G115" s="269"/>
      <c r="H115" s="269"/>
      <c r="I115" s="269"/>
      <c r="J115" s="269"/>
      <c r="K115" s="269"/>
      <c r="L115" s="269"/>
      <c r="M115" s="269"/>
      <c r="N115" s="269"/>
      <c r="O115" s="269"/>
      <c r="P115" s="269"/>
      <c r="Q115" s="269"/>
      <c r="R115" s="269"/>
      <c r="S115" s="269"/>
      <c r="T115" s="269"/>
      <c r="U115" s="269"/>
      <c r="V115" s="269"/>
      <c r="W115" s="264"/>
      <c r="X115" s="244" t="s">
        <v>6426</v>
      </c>
      <c r="Y115" s="244"/>
      <c r="Z115" s="244"/>
      <c r="AA115" s="244"/>
      <c r="AB115" s="244"/>
      <c r="AC115" s="244" t="s">
        <v>6427</v>
      </c>
      <c r="AD115" s="244"/>
      <c r="AE115" s="244"/>
      <c r="AF115" s="244"/>
      <c r="AG115" s="244"/>
      <c r="AH115" s="201"/>
      <c r="AM115" s="210" t="s">
        <v>6423</v>
      </c>
      <c r="AN115" s="210"/>
      <c r="AO115" s="210"/>
      <c r="AP115" s="210"/>
      <c r="AQ115" s="210" t="s">
        <v>6424</v>
      </c>
      <c r="AR115" s="210"/>
      <c r="AS115" s="210"/>
      <c r="AT115" s="210"/>
      <c r="AU115" s="210"/>
      <c r="AW115" s="215" t="s">
        <v>6425</v>
      </c>
      <c r="AX115" s="216"/>
      <c r="AY115" s="216"/>
      <c r="AZ115" s="216"/>
      <c r="BA115" s="216"/>
      <c r="BB115" s="216" t="s">
        <v>5416</v>
      </c>
      <c r="BC115" s="216"/>
      <c r="BD115" s="216"/>
      <c r="BE115" s="216"/>
      <c r="BF115" s="216"/>
      <c r="BG115" s="216"/>
      <c r="BH115" s="216"/>
      <c r="BI115" s="216"/>
      <c r="BJ115" s="216"/>
      <c r="BK115" s="216"/>
      <c r="BL115" s="216"/>
      <c r="BM115" s="216"/>
      <c r="BN115" s="216"/>
      <c r="BO115" s="216"/>
      <c r="BP115" s="216"/>
      <c r="BQ115" s="216"/>
      <c r="BR115" s="216"/>
      <c r="BS115" s="216"/>
      <c r="BT115" s="216"/>
      <c r="BU115" s="216"/>
      <c r="BV115" s="216"/>
      <c r="BW115" s="217"/>
    </row>
    <row r="116" spans="8:8" ht="18.0">
      <c r="A116" s="263"/>
      <c r="B116" s="268"/>
      <c r="C116" s="268"/>
      <c r="D116" s="268"/>
      <c r="E116" s="268"/>
      <c r="F116" s="268"/>
      <c r="G116" s="269"/>
      <c r="H116" s="269"/>
      <c r="I116" s="269"/>
      <c r="J116" s="269"/>
      <c r="K116" s="269"/>
      <c r="L116" s="269"/>
      <c r="M116" s="269"/>
      <c r="N116" s="269"/>
      <c r="O116" s="269"/>
      <c r="P116" s="269"/>
      <c r="Q116" s="269"/>
      <c r="R116" s="269"/>
      <c r="S116" s="269"/>
      <c r="T116" s="269"/>
      <c r="U116" s="269"/>
      <c r="V116" s="269"/>
      <c r="W116" s="264"/>
      <c r="X116" s="244" t="s">
        <v>6432</v>
      </c>
      <c r="Y116" s="244"/>
      <c r="Z116" s="244"/>
      <c r="AA116" s="244"/>
      <c r="AB116" s="244"/>
      <c r="AC116" s="244" t="s">
        <v>6433</v>
      </c>
      <c r="AD116" s="244"/>
      <c r="AE116" s="244"/>
      <c r="AF116" s="244"/>
      <c r="AG116" s="244"/>
      <c r="AH116" s="201"/>
      <c r="AM116" s="210" t="s">
        <v>6428</v>
      </c>
      <c r="AN116" s="210"/>
      <c r="AO116" s="210"/>
      <c r="AP116" s="210"/>
      <c r="AQ116" s="210" t="s">
        <v>6429</v>
      </c>
      <c r="AR116" s="210"/>
      <c r="AS116" s="210"/>
      <c r="AT116" s="210"/>
      <c r="AU116" s="210"/>
      <c r="AW116" s="215" t="s">
        <v>6430</v>
      </c>
      <c r="AX116" s="216"/>
      <c r="AY116" s="216"/>
      <c r="AZ116" s="216"/>
      <c r="BA116" s="216"/>
      <c r="BB116" s="216" t="s">
        <v>6431</v>
      </c>
      <c r="BC116" s="216"/>
      <c r="BD116" s="216"/>
      <c r="BE116" s="216"/>
      <c r="BF116" s="216"/>
      <c r="BG116" s="216"/>
      <c r="BH116" s="216"/>
      <c r="BI116" s="216"/>
      <c r="BJ116" s="216"/>
      <c r="BK116" s="216"/>
      <c r="BL116" s="216"/>
      <c r="BM116" s="216"/>
      <c r="BN116" s="216"/>
      <c r="BO116" s="216"/>
      <c r="BP116" s="216"/>
      <c r="BQ116" s="216"/>
      <c r="BR116" s="216"/>
      <c r="BS116" s="216"/>
      <c r="BT116" s="216"/>
      <c r="BU116" s="216"/>
      <c r="BV116" s="216"/>
      <c r="BW116" s="217"/>
    </row>
    <row r="117" spans="8:8" ht="18.0">
      <c r="A117" s="263"/>
      <c r="B117" s="268"/>
      <c r="C117" s="268"/>
      <c r="D117" s="268"/>
      <c r="E117" s="268"/>
      <c r="F117" s="268"/>
      <c r="G117" s="269"/>
      <c r="H117" s="269"/>
      <c r="I117" s="269"/>
      <c r="J117" s="269"/>
      <c r="K117" s="269"/>
      <c r="L117" s="269"/>
      <c r="M117" s="269"/>
      <c r="N117" s="269"/>
      <c r="O117" s="269"/>
      <c r="P117" s="269"/>
      <c r="Q117" s="269"/>
      <c r="R117" s="269"/>
      <c r="S117" s="269"/>
      <c r="T117" s="269"/>
      <c r="U117" s="269"/>
      <c r="V117" s="269"/>
      <c r="W117" s="264"/>
      <c r="X117" s="244" t="s">
        <v>6438</v>
      </c>
      <c r="Y117" s="244"/>
      <c r="Z117" s="244"/>
      <c r="AA117" s="244"/>
      <c r="AB117" s="244"/>
      <c r="AC117" s="244" t="s">
        <v>6439</v>
      </c>
      <c r="AD117" s="244"/>
      <c r="AE117" s="244"/>
      <c r="AF117" s="244"/>
      <c r="AG117" s="244"/>
      <c r="AH117" s="201"/>
      <c r="AM117" s="210" t="s">
        <v>6434</v>
      </c>
      <c r="AN117" s="210"/>
      <c r="AO117" s="210"/>
      <c r="AP117" s="210"/>
      <c r="AQ117" s="210" t="s">
        <v>6435</v>
      </c>
      <c r="AR117" s="210"/>
      <c r="AS117" s="210"/>
      <c r="AT117" s="210"/>
      <c r="AU117" s="210"/>
      <c r="AW117" s="215" t="s">
        <v>6436</v>
      </c>
      <c r="AX117" s="216"/>
      <c r="AY117" s="216"/>
      <c r="AZ117" s="216"/>
      <c r="BA117" s="216"/>
      <c r="BB117" s="216" t="s">
        <v>6437</v>
      </c>
      <c r="BC117" s="216"/>
      <c r="BD117" s="216"/>
      <c r="BE117" s="216"/>
      <c r="BF117" s="216"/>
      <c r="BG117" s="216"/>
      <c r="BH117" s="216"/>
      <c r="BI117" s="216"/>
      <c r="BJ117" s="216"/>
      <c r="BK117" s="216"/>
      <c r="BL117" s="216"/>
      <c r="BM117" s="216"/>
      <c r="BN117" s="216"/>
      <c r="BO117" s="216"/>
      <c r="BP117" s="216"/>
      <c r="BQ117" s="216"/>
      <c r="BR117" s="216"/>
      <c r="BS117" s="216"/>
      <c r="BT117" s="216"/>
      <c r="BU117" s="216"/>
      <c r="BV117" s="216"/>
      <c r="BW117" s="217"/>
    </row>
    <row r="118" spans="8:8" ht="18.0">
      <c r="A118" s="263"/>
      <c r="B118" s="268"/>
      <c r="C118" s="268"/>
      <c r="D118" s="268"/>
      <c r="E118" s="268"/>
      <c r="F118" s="268"/>
      <c r="G118" s="269"/>
      <c r="H118" s="269"/>
      <c r="I118" s="269"/>
      <c r="J118" s="269"/>
      <c r="K118" s="269"/>
      <c r="L118" s="269"/>
      <c r="M118" s="269"/>
      <c r="N118" s="269"/>
      <c r="O118" s="269"/>
      <c r="P118" s="269"/>
      <c r="Q118" s="269"/>
      <c r="R118" s="269"/>
      <c r="S118" s="269"/>
      <c r="T118" s="269"/>
      <c r="U118" s="269"/>
      <c r="V118" s="269"/>
      <c r="W118" s="264"/>
      <c r="X118" s="244" t="s">
        <v>6444</v>
      </c>
      <c r="Y118" s="244"/>
      <c r="Z118" s="244"/>
      <c r="AA118" s="244"/>
      <c r="AB118" s="244"/>
      <c r="AC118" s="244" t="s">
        <v>6445</v>
      </c>
      <c r="AD118" s="244"/>
      <c r="AE118" s="244"/>
      <c r="AF118" s="244"/>
      <c r="AG118" s="244"/>
      <c r="AH118" s="201"/>
      <c r="AM118" s="210" t="s">
        <v>6440</v>
      </c>
      <c r="AN118" s="210"/>
      <c r="AO118" s="210"/>
      <c r="AP118" s="210"/>
      <c r="AQ118" s="210" t="s">
        <v>6441</v>
      </c>
      <c r="AR118" s="210"/>
      <c r="AS118" s="210"/>
      <c r="AT118" s="210"/>
      <c r="AU118" s="210"/>
      <c r="AW118" s="215" t="s">
        <v>6442</v>
      </c>
      <c r="AX118" s="216"/>
      <c r="AY118" s="216"/>
      <c r="AZ118" s="216"/>
      <c r="BA118" s="216"/>
      <c r="BB118" s="216" t="s">
        <v>6443</v>
      </c>
      <c r="BC118" s="216"/>
      <c r="BD118" s="216"/>
      <c r="BE118" s="216"/>
      <c r="BF118" s="216"/>
      <c r="BG118" s="216"/>
      <c r="BH118" s="216"/>
      <c r="BI118" s="216"/>
      <c r="BJ118" s="216"/>
      <c r="BK118" s="216"/>
      <c r="BL118" s="216"/>
      <c r="BM118" s="216"/>
      <c r="BN118" s="216"/>
      <c r="BO118" s="216"/>
      <c r="BP118" s="216"/>
      <c r="BQ118" s="216"/>
      <c r="BR118" s="216"/>
      <c r="BS118" s="216"/>
      <c r="BT118" s="216"/>
      <c r="BU118" s="216"/>
      <c r="BV118" s="216"/>
      <c r="BW118" s="217"/>
    </row>
    <row r="119" spans="8:8" ht="18.0">
      <c r="A119" s="263"/>
      <c r="B119" s="268"/>
      <c r="C119" s="268"/>
      <c r="D119" s="268"/>
      <c r="E119" s="268"/>
      <c r="F119" s="268"/>
      <c r="G119" s="269"/>
      <c r="H119" s="269"/>
      <c r="I119" s="269"/>
      <c r="J119" s="269"/>
      <c r="K119" s="269"/>
      <c r="L119" s="269"/>
      <c r="M119" s="269"/>
      <c r="N119" s="269"/>
      <c r="O119" s="269"/>
      <c r="P119" s="269"/>
      <c r="Q119" s="269"/>
      <c r="R119" s="269"/>
      <c r="S119" s="269"/>
      <c r="T119" s="269"/>
      <c r="U119" s="269"/>
      <c r="V119" s="269"/>
      <c r="W119" s="264"/>
      <c r="X119" s="244" t="s">
        <v>6450</v>
      </c>
      <c r="Y119" s="244"/>
      <c r="Z119" s="244"/>
      <c r="AA119" s="244"/>
      <c r="AB119" s="244"/>
      <c r="AC119" s="244" t="s">
        <v>6451</v>
      </c>
      <c r="AD119" s="244"/>
      <c r="AE119" s="244"/>
      <c r="AF119" s="244"/>
      <c r="AG119" s="244"/>
      <c r="AH119" s="201"/>
      <c r="AM119" s="210" t="s">
        <v>6446</v>
      </c>
      <c r="AN119" s="210"/>
      <c r="AO119" s="210"/>
      <c r="AP119" s="210"/>
      <c r="AQ119" s="210" t="s">
        <v>6447</v>
      </c>
      <c r="AR119" s="210"/>
      <c r="AS119" s="210"/>
      <c r="AT119" s="210"/>
      <c r="AU119" s="210"/>
      <c r="AW119" s="215" t="s">
        <v>6448</v>
      </c>
      <c r="AX119" s="216"/>
      <c r="AY119" s="216"/>
      <c r="AZ119" s="216"/>
      <c r="BA119" s="216"/>
      <c r="BB119" s="216" t="s">
        <v>6449</v>
      </c>
      <c r="BC119" s="216"/>
      <c r="BD119" s="216"/>
      <c r="BE119" s="216"/>
      <c r="BF119" s="216"/>
      <c r="BG119" s="216"/>
      <c r="BH119" s="216"/>
      <c r="BI119" s="216"/>
      <c r="BJ119" s="216"/>
      <c r="BK119" s="216"/>
      <c r="BL119" s="216"/>
      <c r="BM119" s="216"/>
      <c r="BN119" s="216"/>
      <c r="BO119" s="216"/>
      <c r="BP119" s="216"/>
      <c r="BQ119" s="216"/>
      <c r="BR119" s="216"/>
      <c r="BS119" s="216"/>
      <c r="BT119" s="216"/>
      <c r="BU119" s="216"/>
      <c r="BV119" s="216"/>
      <c r="BW119" s="217"/>
    </row>
    <row r="120" spans="8:8" ht="18.0">
      <c r="A120" s="263"/>
      <c r="B120" s="268"/>
      <c r="C120" s="268"/>
      <c r="D120" s="268"/>
      <c r="E120" s="268"/>
      <c r="F120" s="268"/>
      <c r="G120" s="269"/>
      <c r="H120" s="269"/>
      <c r="I120" s="269"/>
      <c r="J120" s="269"/>
      <c r="K120" s="269"/>
      <c r="L120" s="269"/>
      <c r="M120" s="269"/>
      <c r="N120" s="269"/>
      <c r="O120" s="269"/>
      <c r="P120" s="269"/>
      <c r="Q120" s="269"/>
      <c r="R120" s="269"/>
      <c r="S120" s="269"/>
      <c r="T120" s="269"/>
      <c r="U120" s="269"/>
      <c r="V120" s="269"/>
      <c r="W120" s="264"/>
      <c r="X120" s="244" t="s">
        <v>6455</v>
      </c>
      <c r="Y120" s="244"/>
      <c r="Z120" s="244"/>
      <c r="AA120" s="244"/>
      <c r="AB120" s="244"/>
      <c r="AC120" s="244" t="s">
        <v>6456</v>
      </c>
      <c r="AD120" s="244"/>
      <c r="AE120" s="244"/>
      <c r="AF120" s="244"/>
      <c r="AG120" s="244"/>
      <c r="AH120" s="201"/>
      <c r="AM120" s="210" t="s">
        <v>6452</v>
      </c>
      <c r="AN120" s="210"/>
      <c r="AO120" s="210"/>
      <c r="AP120" s="210"/>
      <c r="AQ120" s="210" t="s">
        <v>6453</v>
      </c>
      <c r="AR120" s="210"/>
      <c r="AS120" s="210"/>
      <c r="AT120" s="210"/>
      <c r="AU120" s="210"/>
      <c r="AW120" s="215" t="s">
        <v>6454</v>
      </c>
      <c r="AX120" s="216"/>
      <c r="AY120" s="216"/>
      <c r="AZ120" s="216"/>
      <c r="BA120" s="216"/>
      <c r="BB120" s="216" t="s">
        <v>6378</v>
      </c>
      <c r="BC120" s="216"/>
      <c r="BD120" s="216"/>
      <c r="BE120" s="216"/>
      <c r="BF120" s="216"/>
      <c r="BG120" s="216"/>
      <c r="BH120" s="216"/>
      <c r="BI120" s="216"/>
      <c r="BJ120" s="216"/>
      <c r="BK120" s="216"/>
      <c r="BL120" s="216"/>
      <c r="BM120" s="216"/>
      <c r="BN120" s="216"/>
      <c r="BO120" s="216"/>
      <c r="BP120" s="216"/>
      <c r="BQ120" s="216"/>
      <c r="BR120" s="216"/>
      <c r="BS120" s="216"/>
      <c r="BT120" s="216"/>
      <c r="BU120" s="216"/>
      <c r="BV120" s="216"/>
      <c r="BW120" s="217"/>
    </row>
    <row r="121" spans="8:8" ht="18.0">
      <c r="A121" s="263"/>
      <c r="B121" s="268"/>
      <c r="C121" s="268"/>
      <c r="D121" s="268"/>
      <c r="E121" s="268"/>
      <c r="F121" s="268"/>
      <c r="G121" s="269"/>
      <c r="H121" s="269"/>
      <c r="I121" s="269"/>
      <c r="J121" s="269"/>
      <c r="K121" s="269"/>
      <c r="L121" s="269"/>
      <c r="M121" s="269"/>
      <c r="N121" s="269"/>
      <c r="O121" s="269"/>
      <c r="P121" s="269"/>
      <c r="Q121" s="269"/>
      <c r="R121" s="269"/>
      <c r="S121" s="269"/>
      <c r="T121" s="269"/>
      <c r="U121" s="269"/>
      <c r="V121" s="269"/>
      <c r="W121" s="264"/>
      <c r="X121" s="244" t="s">
        <v>6461</v>
      </c>
      <c r="Y121" s="244"/>
      <c r="Z121" s="244"/>
      <c r="AA121" s="244"/>
      <c r="AB121" s="244"/>
      <c r="AC121" s="244" t="s">
        <v>6462</v>
      </c>
      <c r="AD121" s="244"/>
      <c r="AE121" s="244"/>
      <c r="AF121" s="244"/>
      <c r="AG121" s="244"/>
      <c r="AH121" s="201"/>
      <c r="AI121" s="201"/>
      <c r="AM121" s="210" t="s">
        <v>6457</v>
      </c>
      <c r="AN121" s="210"/>
      <c r="AO121" s="210"/>
      <c r="AP121" s="210"/>
      <c r="AQ121" s="210" t="s">
        <v>6458</v>
      </c>
      <c r="AR121" s="210"/>
      <c r="AS121" s="210"/>
      <c r="AT121" s="210"/>
      <c r="AU121" s="210"/>
      <c r="AW121" s="215" t="s">
        <v>6459</v>
      </c>
      <c r="AX121" s="216"/>
      <c r="AY121" s="216"/>
      <c r="AZ121" s="216"/>
      <c r="BA121" s="216"/>
      <c r="BB121" s="216" t="s">
        <v>6460</v>
      </c>
      <c r="BC121" s="216"/>
      <c r="BD121" s="216"/>
      <c r="BE121" s="216"/>
      <c r="BF121" s="216"/>
      <c r="BG121" s="216"/>
      <c r="BH121" s="216"/>
      <c r="BI121" s="216"/>
      <c r="BJ121" s="216"/>
      <c r="BK121" s="216"/>
      <c r="BL121" s="216"/>
      <c r="BM121" s="216"/>
      <c r="BN121" s="216"/>
      <c r="BO121" s="216"/>
      <c r="BP121" s="216"/>
      <c r="BQ121" s="216"/>
      <c r="BR121" s="216"/>
      <c r="BS121" s="216"/>
      <c r="BT121" s="216"/>
      <c r="BU121" s="216"/>
      <c r="BV121" s="216"/>
      <c r="BW121" s="217"/>
    </row>
    <row r="122" spans="8:8" ht="16.5">
      <c r="A122" s="263"/>
      <c r="B122" s="268"/>
      <c r="C122" s="268"/>
      <c r="D122" s="268"/>
      <c r="E122" s="268"/>
      <c r="F122" s="268"/>
      <c r="G122" s="269"/>
      <c r="H122" s="269"/>
      <c r="I122" s="269"/>
      <c r="J122" s="269"/>
      <c r="K122" s="269"/>
      <c r="L122" s="269"/>
      <c r="M122" s="269"/>
      <c r="N122" s="269"/>
      <c r="O122" s="269"/>
      <c r="P122" s="269"/>
      <c r="Q122" s="269"/>
      <c r="R122" s="269"/>
      <c r="S122" s="269"/>
      <c r="T122" s="269"/>
      <c r="U122" s="269"/>
      <c r="V122" s="269"/>
      <c r="W122" s="264"/>
      <c r="X122" s="244" t="s">
        <v>6465</v>
      </c>
      <c r="Y122" s="244"/>
      <c r="Z122" s="244"/>
      <c r="AA122" s="244"/>
      <c r="AB122" s="244"/>
      <c r="AC122" s="244" t="s">
        <v>6466</v>
      </c>
      <c r="AD122" s="244"/>
      <c r="AE122" s="244"/>
      <c r="AF122" s="244"/>
      <c r="AG122" s="244"/>
      <c r="AH122" s="201"/>
      <c r="AI122" s="201"/>
      <c r="AJ122" s="201"/>
      <c r="AK122" s="201"/>
      <c r="AL122" s="201"/>
      <c r="AM122" s="201"/>
      <c r="AN122" s="201"/>
      <c r="AO122" s="201"/>
      <c r="AP122" s="201"/>
      <c r="AW122" s="215" t="s">
        <v>6463</v>
      </c>
      <c r="AX122" s="216"/>
      <c r="AY122" s="216"/>
      <c r="AZ122" s="216"/>
      <c r="BA122" s="216"/>
      <c r="BB122" s="216" t="s">
        <v>6464</v>
      </c>
      <c r="BC122" s="216"/>
      <c r="BD122" s="216"/>
      <c r="BE122" s="216"/>
      <c r="BF122" s="216"/>
      <c r="BG122" s="216"/>
      <c r="BH122" s="216"/>
      <c r="BI122" s="216"/>
      <c r="BJ122" s="216"/>
      <c r="BK122" s="216"/>
      <c r="BL122" s="216"/>
      <c r="BM122" s="216"/>
      <c r="BN122" s="216"/>
      <c r="BO122" s="216"/>
      <c r="BP122" s="216"/>
      <c r="BQ122" s="216"/>
      <c r="BR122" s="216"/>
      <c r="BS122" s="216"/>
      <c r="BT122" s="216"/>
      <c r="BU122" s="216"/>
      <c r="BV122" s="216"/>
      <c r="BW122" s="217"/>
    </row>
    <row r="123" spans="8:8" ht="16.5">
      <c r="A123" s="263"/>
      <c r="B123" s="268"/>
      <c r="C123" s="268"/>
      <c r="D123" s="268"/>
      <c r="E123" s="268"/>
      <c r="F123" s="268"/>
      <c r="G123" s="269"/>
      <c r="H123" s="269"/>
      <c r="I123" s="269"/>
      <c r="J123" s="269"/>
      <c r="K123" s="269"/>
      <c r="L123" s="269"/>
      <c r="M123" s="269"/>
      <c r="N123" s="269"/>
      <c r="O123" s="269"/>
      <c r="P123" s="269"/>
      <c r="Q123" s="269"/>
      <c r="R123" s="269"/>
      <c r="S123" s="269"/>
      <c r="T123" s="269"/>
      <c r="U123" s="269"/>
      <c r="V123" s="269"/>
      <c r="W123" s="264"/>
      <c r="X123" s="244" t="s">
        <v>6470</v>
      </c>
      <c r="Y123" s="244"/>
      <c r="Z123" s="244"/>
      <c r="AA123" s="244"/>
      <c r="AB123" s="244"/>
      <c r="AC123" s="244" t="s">
        <v>6471</v>
      </c>
      <c r="AD123" s="244"/>
      <c r="AE123" s="244"/>
      <c r="AF123" s="244"/>
      <c r="AG123" s="244"/>
      <c r="AH123" s="201"/>
      <c r="AI123" s="201"/>
      <c r="AJ123" s="270" t="s">
        <v>6467</v>
      </c>
      <c r="AK123" s="270"/>
      <c r="AL123" s="270"/>
      <c r="AM123" s="271">
        <v>700.0</v>
      </c>
      <c r="AN123" s="270"/>
      <c r="AO123" s="270"/>
      <c r="AP123" s="270" t="s">
        <v>5706</v>
      </c>
      <c r="AQ123" s="270"/>
      <c r="AR123" s="270"/>
      <c r="AS123" s="201"/>
      <c r="AT123" s="201"/>
      <c r="AU123" s="201"/>
      <c r="AW123" s="215" t="s">
        <v>6468</v>
      </c>
      <c r="AX123" s="216"/>
      <c r="AY123" s="216"/>
      <c r="AZ123" s="216"/>
      <c r="BA123" s="216"/>
      <c r="BB123" s="216" t="s">
        <v>6469</v>
      </c>
      <c r="BC123" s="216"/>
      <c r="BD123" s="216"/>
      <c r="BE123" s="216"/>
      <c r="BF123" s="216"/>
      <c r="BG123" s="216"/>
      <c r="BH123" s="216"/>
      <c r="BI123" s="216"/>
      <c r="BJ123" s="216"/>
      <c r="BK123" s="216"/>
      <c r="BL123" s="216"/>
      <c r="BM123" s="216"/>
      <c r="BN123" s="216"/>
      <c r="BO123" s="216"/>
      <c r="BP123" s="216"/>
      <c r="BQ123" s="216"/>
      <c r="BR123" s="216"/>
      <c r="BS123" s="216"/>
      <c r="BT123" s="216"/>
      <c r="BU123" s="216"/>
      <c r="BV123" s="216"/>
      <c r="BW123" s="217"/>
    </row>
    <row r="124" spans="8:8" ht="16.5">
      <c r="A124" s="263"/>
      <c r="B124" s="268"/>
      <c r="C124" s="268"/>
      <c r="D124" s="268"/>
      <c r="E124" s="268"/>
      <c r="F124" s="268"/>
      <c r="G124" s="269"/>
      <c r="H124" s="269"/>
      <c r="I124" s="269"/>
      <c r="J124" s="269"/>
      <c r="K124" s="269"/>
      <c r="L124" s="269"/>
      <c r="M124" s="269"/>
      <c r="N124" s="269"/>
      <c r="O124" s="269"/>
      <c r="P124" s="269"/>
      <c r="Q124" s="269"/>
      <c r="R124" s="269"/>
      <c r="S124" s="269"/>
      <c r="T124" s="269"/>
      <c r="U124" s="269"/>
      <c r="V124" s="269"/>
      <c r="W124" s="264"/>
      <c r="X124" s="244" t="s">
        <v>6475</v>
      </c>
      <c r="Y124" s="244"/>
      <c r="Z124" s="244"/>
      <c r="AA124" s="244"/>
      <c r="AB124" s="244"/>
      <c r="AC124" s="244" t="s">
        <v>6476</v>
      </c>
      <c r="AD124" s="244"/>
      <c r="AE124" s="244"/>
      <c r="AF124" s="244"/>
      <c r="AG124" s="244"/>
      <c r="AH124" s="201"/>
      <c r="AJ124" s="272" t="s">
        <v>6472</v>
      </c>
      <c r="AK124" s="272"/>
      <c r="AL124" s="272"/>
      <c r="AM124" s="273">
        <v>700.0</v>
      </c>
      <c r="AN124" s="272"/>
      <c r="AO124" s="272"/>
      <c r="AP124" s="272" t="s">
        <v>5353</v>
      </c>
      <c r="AQ124" s="272"/>
      <c r="AR124" s="272"/>
      <c r="AS124" s="201"/>
      <c r="AT124" s="201"/>
      <c r="AU124" s="201"/>
      <c r="AW124" s="215" t="s">
        <v>6473</v>
      </c>
      <c r="AX124" s="216"/>
      <c r="AY124" s="216"/>
      <c r="AZ124" s="216"/>
      <c r="BA124" s="216"/>
      <c r="BB124" s="216" t="s">
        <v>6474</v>
      </c>
      <c r="BC124" s="216"/>
      <c r="BD124" s="216"/>
      <c r="BE124" s="216"/>
      <c r="BF124" s="216"/>
      <c r="BG124" s="216"/>
      <c r="BH124" s="216"/>
      <c r="BI124" s="216"/>
      <c r="BJ124" s="216"/>
      <c r="BK124" s="216"/>
      <c r="BL124" s="216"/>
      <c r="BM124" s="216"/>
      <c r="BN124" s="216"/>
      <c r="BO124" s="216"/>
      <c r="BP124" s="216"/>
      <c r="BQ124" s="216"/>
      <c r="BR124" s="216"/>
      <c r="BS124" s="216"/>
      <c r="BT124" s="216"/>
      <c r="BU124" s="216"/>
      <c r="BV124" s="216"/>
      <c r="BW124" s="217"/>
    </row>
    <row r="125" spans="8:8" ht="16.5">
      <c r="A125" s="263"/>
      <c r="B125" s="268"/>
      <c r="C125" s="268"/>
      <c r="D125" s="268"/>
      <c r="E125" s="268"/>
      <c r="F125" s="268"/>
      <c r="G125" s="269"/>
      <c r="H125" s="269"/>
      <c r="I125" s="269"/>
      <c r="J125" s="269"/>
      <c r="K125" s="269"/>
      <c r="L125" s="269"/>
      <c r="M125" s="269"/>
      <c r="N125" s="269"/>
      <c r="O125" s="269"/>
      <c r="P125" s="269"/>
      <c r="Q125" s="269"/>
      <c r="R125" s="269"/>
      <c r="S125" s="269"/>
      <c r="T125" s="269"/>
      <c r="U125" s="269"/>
      <c r="V125" s="269"/>
      <c r="W125" s="264"/>
      <c r="X125" s="244" t="s">
        <v>6479</v>
      </c>
      <c r="Y125" s="244"/>
      <c r="Z125" s="244"/>
      <c r="AA125" s="244"/>
      <c r="AB125" s="244"/>
      <c r="AC125" s="244" t="s">
        <v>6480</v>
      </c>
      <c r="AD125" s="244"/>
      <c r="AE125" s="244"/>
      <c r="AF125" s="244"/>
      <c r="AG125" s="244"/>
      <c r="AH125" s="201"/>
      <c r="AJ125" s="272" t="s">
        <v>5454</v>
      </c>
      <c r="AK125" s="272"/>
      <c r="AL125" s="272"/>
      <c r="AM125" s="273">
        <v>500.0</v>
      </c>
      <c r="AN125" s="272"/>
      <c r="AO125" s="272"/>
      <c r="AP125" s="272" t="s">
        <v>5453</v>
      </c>
      <c r="AQ125" s="272"/>
      <c r="AR125" s="272"/>
      <c r="AS125" s="201"/>
      <c r="AT125" s="201"/>
      <c r="AU125" s="201"/>
      <c r="AW125" s="215" t="s">
        <v>6477</v>
      </c>
      <c r="AX125" s="216"/>
      <c r="AY125" s="216"/>
      <c r="AZ125" s="216"/>
      <c r="BA125" s="216"/>
      <c r="BB125" s="216" t="s">
        <v>6478</v>
      </c>
      <c r="BC125" s="216"/>
      <c r="BD125" s="216"/>
      <c r="BE125" s="216"/>
      <c r="BF125" s="216"/>
      <c r="BG125" s="216"/>
      <c r="BH125" s="216"/>
      <c r="BI125" s="216"/>
      <c r="BJ125" s="216"/>
      <c r="BK125" s="216"/>
      <c r="BL125" s="216"/>
      <c r="BM125" s="216"/>
      <c r="BN125" s="216"/>
      <c r="BO125" s="216"/>
      <c r="BP125" s="216"/>
      <c r="BQ125" s="216"/>
      <c r="BR125" s="216"/>
      <c r="BS125" s="216"/>
      <c r="BT125" s="216"/>
      <c r="BU125" s="216"/>
      <c r="BV125" s="216"/>
      <c r="BW125" s="217"/>
    </row>
    <row r="126" spans="8:8" ht="30.0">
      <c r="A126" s="263"/>
      <c r="B126" s="268"/>
      <c r="C126" s="268"/>
      <c r="D126" s="268"/>
      <c r="E126" s="268"/>
      <c r="F126" s="268"/>
      <c r="G126" s="269"/>
      <c r="H126" s="269"/>
      <c r="I126" s="269"/>
      <c r="J126" s="269"/>
      <c r="K126" s="269"/>
      <c r="L126" s="269"/>
      <c r="M126" s="269"/>
      <c r="N126" s="269"/>
      <c r="O126" s="269"/>
      <c r="P126" s="269"/>
      <c r="Q126" s="269"/>
      <c r="R126" s="269"/>
      <c r="S126" s="269"/>
      <c r="T126" s="269"/>
      <c r="U126" s="269"/>
      <c r="V126" s="269"/>
      <c r="W126" s="264"/>
      <c r="X126" s="244" t="s">
        <v>6485</v>
      </c>
      <c r="Y126" s="244"/>
      <c r="Z126" s="244"/>
      <c r="AA126" s="244"/>
      <c r="AB126" s="244"/>
      <c r="AC126" s="244" t="s">
        <v>6486</v>
      </c>
      <c r="AD126" s="244"/>
      <c r="AE126" s="244"/>
      <c r="AF126" s="244"/>
      <c r="AG126" s="244"/>
      <c r="AH126" s="201"/>
      <c r="AJ126" s="272" t="s">
        <v>6481</v>
      </c>
      <c r="AK126" s="272"/>
      <c r="AL126" s="272"/>
      <c r="AM126" s="273">
        <v>350.0</v>
      </c>
      <c r="AN126" s="272"/>
      <c r="AO126" s="272"/>
      <c r="AP126" s="274" t="s">
        <v>6482</v>
      </c>
      <c r="AQ126" s="272"/>
      <c r="AR126" s="272"/>
      <c r="AS126" s="201"/>
      <c r="AT126" s="201"/>
      <c r="AU126" s="201"/>
      <c r="AW126" s="215" t="s">
        <v>6483</v>
      </c>
      <c r="AX126" s="216"/>
      <c r="AY126" s="216"/>
      <c r="AZ126" s="216"/>
      <c r="BA126" s="216"/>
      <c r="BB126" s="216" t="s">
        <v>6484</v>
      </c>
      <c r="BC126" s="216"/>
      <c r="BD126" s="216"/>
      <c r="BE126" s="216"/>
      <c r="BF126" s="216"/>
      <c r="BG126" s="216"/>
      <c r="BH126" s="216"/>
      <c r="BI126" s="216"/>
      <c r="BJ126" s="216"/>
      <c r="BK126" s="216"/>
      <c r="BL126" s="216"/>
      <c r="BM126" s="216"/>
      <c r="BN126" s="216"/>
      <c r="BO126" s="216"/>
      <c r="BP126" s="216"/>
      <c r="BQ126" s="216"/>
      <c r="BR126" s="216"/>
      <c r="BS126" s="216"/>
      <c r="BT126" s="216"/>
      <c r="BU126" s="216"/>
      <c r="BV126" s="216"/>
      <c r="BW126" s="217"/>
    </row>
    <row r="127" spans="8:8" ht="16.5">
      <c r="A127" s="263"/>
      <c r="B127" s="268"/>
      <c r="C127" s="268"/>
      <c r="D127" s="268"/>
      <c r="E127" s="268"/>
      <c r="F127" s="268"/>
      <c r="G127" s="269"/>
      <c r="H127" s="269"/>
      <c r="I127" s="269"/>
      <c r="J127" s="269"/>
      <c r="K127" s="269"/>
      <c r="L127" s="269"/>
      <c r="M127" s="269"/>
      <c r="N127" s="269"/>
      <c r="O127" s="269"/>
      <c r="P127" s="269"/>
      <c r="Q127" s="269"/>
      <c r="R127" s="269"/>
      <c r="S127" s="269"/>
      <c r="T127" s="269"/>
      <c r="U127" s="269"/>
      <c r="V127" s="269"/>
      <c r="W127" s="264"/>
      <c r="X127" s="244" t="s">
        <v>6489</v>
      </c>
      <c r="Y127" s="244"/>
      <c r="Z127" s="244"/>
      <c r="AA127" s="244"/>
      <c r="AB127" s="244"/>
      <c r="AC127" s="244" t="s">
        <v>6490</v>
      </c>
      <c r="AD127" s="244"/>
      <c r="AE127" s="244"/>
      <c r="AF127" s="244"/>
      <c r="AG127" s="244"/>
      <c r="AH127" s="201"/>
      <c r="AJ127" s="272" t="s">
        <v>5686</v>
      </c>
      <c r="AK127" s="272"/>
      <c r="AL127" s="272"/>
      <c r="AM127" s="273">
        <v>450.0</v>
      </c>
      <c r="AN127" s="272"/>
      <c r="AO127" s="272"/>
      <c r="AP127" s="272" t="s">
        <v>5685</v>
      </c>
      <c r="AQ127" s="272"/>
      <c r="AR127" s="272"/>
      <c r="AS127" s="201"/>
      <c r="AT127" s="201"/>
      <c r="AU127" s="201"/>
      <c r="AW127" s="215" t="s">
        <v>6487</v>
      </c>
      <c r="AX127" s="216"/>
      <c r="AY127" s="216"/>
      <c r="AZ127" s="216"/>
      <c r="BA127" s="216"/>
      <c r="BB127" s="216" t="s">
        <v>6488</v>
      </c>
      <c r="BC127" s="216"/>
      <c r="BD127" s="216"/>
      <c r="BE127" s="216"/>
      <c r="BF127" s="216"/>
      <c r="BG127" s="216"/>
      <c r="BH127" s="216"/>
      <c r="BI127" s="216"/>
      <c r="BJ127" s="216"/>
      <c r="BK127" s="216"/>
      <c r="BL127" s="216"/>
      <c r="BM127" s="216"/>
      <c r="BN127" s="216"/>
      <c r="BO127" s="216"/>
      <c r="BP127" s="216"/>
      <c r="BQ127" s="216"/>
      <c r="BR127" s="216"/>
      <c r="BS127" s="216"/>
      <c r="BT127" s="216"/>
      <c r="BU127" s="216"/>
      <c r="BV127" s="216"/>
      <c r="BW127" s="217"/>
    </row>
    <row r="128" spans="8:8" ht="16.5">
      <c r="A128" s="263"/>
      <c r="B128" s="268"/>
      <c r="C128" s="268"/>
      <c r="D128" s="268"/>
      <c r="E128" s="268"/>
      <c r="F128" s="268"/>
      <c r="G128" s="269"/>
      <c r="H128" s="269"/>
      <c r="I128" s="269"/>
      <c r="J128" s="269"/>
      <c r="K128" s="269"/>
      <c r="L128" s="269"/>
      <c r="M128" s="269"/>
      <c r="N128" s="269"/>
      <c r="O128" s="269"/>
      <c r="P128" s="269"/>
      <c r="Q128" s="269"/>
      <c r="R128" s="269"/>
      <c r="S128" s="269"/>
      <c r="T128" s="269"/>
      <c r="U128" s="269"/>
      <c r="V128" s="269"/>
      <c r="W128" s="264"/>
      <c r="X128" s="244" t="s">
        <v>6494</v>
      </c>
      <c r="Y128" s="244"/>
      <c r="Z128" s="244"/>
      <c r="AA128" s="244"/>
      <c r="AB128" s="244"/>
      <c r="AC128" s="244" t="s">
        <v>6495</v>
      </c>
      <c r="AD128" s="244"/>
      <c r="AE128" s="244"/>
      <c r="AF128" s="244"/>
      <c r="AG128" s="244"/>
      <c r="AH128" s="201"/>
      <c r="AJ128" s="272" t="s">
        <v>6491</v>
      </c>
      <c r="AK128" s="272"/>
      <c r="AL128" s="272"/>
      <c r="AM128" s="273">
        <v>900.0</v>
      </c>
      <c r="AN128" s="272"/>
      <c r="AO128" s="272"/>
      <c r="AP128" s="272" t="s">
        <v>6274</v>
      </c>
      <c r="AQ128" s="272"/>
      <c r="AR128" s="272"/>
      <c r="AS128" s="201"/>
      <c r="AT128" s="201"/>
      <c r="AU128" s="201"/>
      <c r="AW128" s="215" t="s">
        <v>6492</v>
      </c>
      <c r="AX128" s="216"/>
      <c r="AY128" s="216"/>
      <c r="AZ128" s="216"/>
      <c r="BA128" s="216"/>
      <c r="BB128" s="216" t="s">
        <v>6493</v>
      </c>
      <c r="BC128" s="216"/>
      <c r="BD128" s="216"/>
      <c r="BE128" s="216"/>
      <c r="BF128" s="216"/>
      <c r="BG128" s="216"/>
      <c r="BH128" s="216"/>
      <c r="BI128" s="216"/>
      <c r="BJ128" s="216"/>
      <c r="BK128" s="216"/>
      <c r="BL128" s="216"/>
      <c r="BM128" s="216"/>
      <c r="BN128" s="216"/>
      <c r="BO128" s="216"/>
      <c r="BP128" s="216"/>
      <c r="BQ128" s="216"/>
      <c r="BR128" s="216"/>
      <c r="BS128" s="216"/>
      <c r="BT128" s="216"/>
      <c r="BU128" s="216"/>
      <c r="BV128" s="216"/>
      <c r="BW128" s="217"/>
    </row>
    <row r="129" spans="8:8" ht="16.5">
      <c r="A129" s="263"/>
      <c r="B129" s="268"/>
      <c r="C129" s="268"/>
      <c r="D129" s="268"/>
      <c r="E129" s="268"/>
      <c r="F129" s="268"/>
      <c r="G129" s="269"/>
      <c r="H129" s="269"/>
      <c r="I129" s="269"/>
      <c r="J129" s="269"/>
      <c r="K129" s="269"/>
      <c r="L129" s="269"/>
      <c r="M129" s="269"/>
      <c r="N129" s="269"/>
      <c r="O129" s="269"/>
      <c r="P129" s="269"/>
      <c r="Q129" s="269"/>
      <c r="R129" s="269"/>
      <c r="S129" s="269"/>
      <c r="T129" s="269"/>
      <c r="U129" s="269"/>
      <c r="V129" s="269"/>
      <c r="W129" s="264"/>
      <c r="X129" s="244" t="s">
        <v>6499</v>
      </c>
      <c r="Y129" s="244"/>
      <c r="Z129" s="244"/>
      <c r="AA129" s="244"/>
      <c r="AB129" s="244"/>
      <c r="AC129" s="244" t="s">
        <v>6495</v>
      </c>
      <c r="AD129" s="244"/>
      <c r="AE129" s="244"/>
      <c r="AF129" s="244"/>
      <c r="AG129" s="244"/>
      <c r="AH129" s="201"/>
      <c r="AJ129" s="270" t="s">
        <v>6496</v>
      </c>
      <c r="AK129" s="270"/>
      <c r="AL129" s="270"/>
      <c r="AM129" s="271">
        <v>2700.0</v>
      </c>
      <c r="AN129" s="270"/>
      <c r="AO129" s="270"/>
      <c r="AP129" s="270"/>
      <c r="AQ129" s="270"/>
      <c r="AR129" s="270"/>
      <c r="AS129" s="201"/>
      <c r="AT129" s="201"/>
      <c r="AU129" s="201"/>
      <c r="AW129" s="215" t="s">
        <v>6497</v>
      </c>
      <c r="AX129" s="216"/>
      <c r="AY129" s="216"/>
      <c r="AZ129" s="216"/>
      <c r="BA129" s="216"/>
      <c r="BB129" s="216" t="s">
        <v>6368</v>
      </c>
      <c r="BC129" s="216"/>
      <c r="BD129" s="216"/>
      <c r="BE129" s="216"/>
      <c r="BF129" s="216"/>
      <c r="BG129" s="216"/>
      <c r="BH129" s="216"/>
      <c r="BI129" s="216"/>
      <c r="BJ129" s="216"/>
      <c r="BK129" s="216"/>
      <c r="BL129" s="216"/>
      <c r="BM129" s="216"/>
      <c r="BN129" s="216"/>
      <c r="BO129" s="216"/>
      <c r="BP129" s="216"/>
      <c r="BQ129" s="216"/>
      <c r="BR129" s="216"/>
      <c r="BS129" s="216"/>
      <c r="BT129" s="216"/>
      <c r="BU129" s="216"/>
      <c r="BV129" s="216"/>
      <c r="BW129" s="217"/>
    </row>
    <row r="130" spans="8:8" ht="22.35">
      <c r="A130" s="263"/>
      <c r="B130" s="266" t="s">
        <v>6498</v>
      </c>
      <c r="C130" s="267"/>
      <c r="D130" s="267"/>
      <c r="E130" s="267"/>
      <c r="F130" s="267"/>
      <c r="G130" s="267"/>
      <c r="H130" s="267"/>
      <c r="I130" s="267"/>
      <c r="J130" s="267"/>
      <c r="K130" s="267"/>
      <c r="L130" s="267"/>
      <c r="M130" s="267"/>
      <c r="N130" s="267"/>
      <c r="O130" s="267"/>
      <c r="P130" s="267"/>
      <c r="Q130" s="267"/>
      <c r="R130" s="267"/>
      <c r="S130" s="267"/>
      <c r="T130" s="267"/>
      <c r="U130" s="267"/>
      <c r="V130" s="267"/>
      <c r="W130" s="264"/>
      <c r="X130" s="244" t="s">
        <v>6506</v>
      </c>
      <c r="Y130" s="244"/>
      <c r="Z130" s="244"/>
      <c r="AA130" s="244"/>
      <c r="AB130" s="244"/>
      <c r="AC130" s="244" t="s">
        <v>6507</v>
      </c>
      <c r="AD130" s="244"/>
      <c r="AE130" s="244"/>
      <c r="AF130" s="244"/>
      <c r="AG130" s="244"/>
      <c r="AH130" s="201"/>
      <c r="AJ130" s="272" t="s">
        <v>5651</v>
      </c>
      <c r="AK130" s="272"/>
      <c r="AL130" s="272"/>
      <c r="AM130" s="273">
        <v>800.0</v>
      </c>
      <c r="AN130" s="272"/>
      <c r="AO130" s="272"/>
      <c r="AP130" s="272" t="s">
        <v>5650</v>
      </c>
      <c r="AQ130" s="272"/>
      <c r="AR130" s="272"/>
      <c r="AS130" s="201"/>
      <c r="AT130" s="201"/>
      <c r="AU130" s="201"/>
      <c r="AW130" s="215" t="s">
        <v>6500</v>
      </c>
      <c r="AX130" s="216"/>
      <c r="AY130" s="216"/>
      <c r="AZ130" s="216"/>
      <c r="BA130" s="216"/>
      <c r="BB130" s="216" t="s">
        <v>6501</v>
      </c>
      <c r="BC130" s="216"/>
      <c r="BD130" s="216"/>
      <c r="BE130" s="216"/>
      <c r="BF130" s="216"/>
      <c r="BG130" s="216"/>
      <c r="BH130" s="216"/>
      <c r="BI130" s="216"/>
      <c r="BJ130" s="216"/>
      <c r="BK130" s="216"/>
      <c r="BL130" s="216"/>
      <c r="BM130" s="216"/>
      <c r="BN130" s="216"/>
      <c r="BO130" s="216"/>
      <c r="BP130" s="216"/>
      <c r="BQ130" s="216"/>
      <c r="BR130" s="216"/>
      <c r="BS130" s="216"/>
      <c r="BT130" s="216"/>
      <c r="BU130" s="216"/>
      <c r="BV130" s="216"/>
      <c r="BW130" s="217"/>
    </row>
    <row r="131" spans="8:8" ht="15.75" customHeight="1">
      <c r="A131" s="263"/>
      <c r="B131" s="268" t="s">
        <v>2574</v>
      </c>
      <c r="C131" s="268" t="s">
        <v>2575</v>
      </c>
      <c r="D131" s="268" t="s">
        <v>6502</v>
      </c>
      <c r="E131" s="268"/>
      <c r="F131" s="268"/>
      <c r="G131" s="269" t="s">
        <v>6503</v>
      </c>
      <c r="H131" s="269"/>
      <c r="I131" s="269"/>
      <c r="J131" s="269" t="str">
        <f>_xlfn.DISPIMG("ID_23143003968242578C48134A0EEDF6F2",1)</f>
        <v>=DISPIMG("ID_23143003968242578C48134A0EEDF6F2",1)</v>
      </c>
      <c r="K131" s="269"/>
      <c r="L131" s="269"/>
      <c r="M131" s="269"/>
      <c r="N131" s="269"/>
      <c r="O131" s="269" t="s">
        <v>6504</v>
      </c>
      <c r="P131" s="269"/>
      <c r="Q131" s="269"/>
      <c r="R131" s="269"/>
      <c r="S131" s="269" t="str">
        <f>_xlfn.DISPIMG("ID_78F21BF5072241C3B41D7C75B29D374C",1)</f>
        <v>=DISPIMG("ID_78F21BF5072241C3B41D7C75B29D374C",1)</v>
      </c>
      <c r="T131" s="269"/>
      <c r="U131" s="269"/>
      <c r="V131" s="269"/>
      <c r="W131" s="264"/>
      <c r="X131" s="244" t="s">
        <v>6512</v>
      </c>
      <c r="Y131" s="244"/>
      <c r="Z131" s="244"/>
      <c r="AA131" s="244"/>
      <c r="AB131" s="244"/>
      <c r="AC131" s="244" t="s">
        <v>6513</v>
      </c>
      <c r="AD131" s="244"/>
      <c r="AE131" s="244"/>
      <c r="AF131" s="244"/>
      <c r="AG131" s="244"/>
      <c r="AH131" s="201"/>
      <c r="AJ131" s="272" t="s">
        <v>6508</v>
      </c>
      <c r="AK131" s="272"/>
      <c r="AL131" s="272"/>
      <c r="AM131" s="273">
        <v>1000.0</v>
      </c>
      <c r="AN131" s="272"/>
      <c r="AO131" s="272"/>
      <c r="AP131" s="272" t="s">
        <v>6509</v>
      </c>
      <c r="AQ131" s="272"/>
      <c r="AR131" s="272"/>
      <c r="AS131" s="201"/>
      <c r="AT131" s="201"/>
      <c r="AU131" s="201"/>
      <c r="AW131" s="215" t="s">
        <v>6510</v>
      </c>
      <c r="AX131" s="216"/>
      <c r="AY131" s="216"/>
      <c r="AZ131" s="216"/>
      <c r="BA131" s="216"/>
      <c r="BB131" s="216" t="s">
        <v>6511</v>
      </c>
      <c r="BC131" s="216"/>
      <c r="BD131" s="216"/>
      <c r="BE131" s="216"/>
      <c r="BF131" s="216"/>
      <c r="BG131" s="216"/>
      <c r="BH131" s="216"/>
      <c r="BI131" s="216"/>
      <c r="BJ131" s="216"/>
      <c r="BK131" s="216"/>
      <c r="BL131" s="216"/>
      <c r="BM131" s="216"/>
      <c r="BN131" s="216"/>
      <c r="BO131" s="216"/>
      <c r="BP131" s="216"/>
      <c r="BQ131" s="216"/>
      <c r="BR131" s="216"/>
      <c r="BS131" s="216"/>
      <c r="BT131" s="216"/>
      <c r="BU131" s="216"/>
      <c r="BV131" s="216"/>
      <c r="BW131" s="217"/>
    </row>
    <row r="132" spans="8:8" ht="16.5">
      <c r="A132" s="263"/>
      <c r="B132" s="268"/>
      <c r="C132" s="268"/>
      <c r="D132" s="268"/>
      <c r="E132" s="268"/>
      <c r="F132" s="268"/>
      <c r="G132" s="269"/>
      <c r="H132" s="269"/>
      <c r="I132" s="269"/>
      <c r="J132" s="269"/>
      <c r="K132" s="269"/>
      <c r="L132" s="269"/>
      <c r="M132" s="269"/>
      <c r="N132" s="269"/>
      <c r="O132" s="269"/>
      <c r="P132" s="269"/>
      <c r="Q132" s="269"/>
      <c r="R132" s="269"/>
      <c r="S132" s="269"/>
      <c r="T132" s="269"/>
      <c r="U132" s="269"/>
      <c r="V132" s="269"/>
      <c r="W132" s="264"/>
      <c r="X132" s="244" t="s">
        <v>6517</v>
      </c>
      <c r="Y132" s="244"/>
      <c r="Z132" s="244"/>
      <c r="AA132" s="244"/>
      <c r="AB132" s="244"/>
      <c r="AC132" s="244" t="s">
        <v>6518</v>
      </c>
      <c r="AD132" s="244"/>
      <c r="AE132" s="244"/>
      <c r="AF132" s="244"/>
      <c r="AG132" s="244"/>
      <c r="AH132" s="201"/>
      <c r="AJ132" s="272" t="s">
        <v>6514</v>
      </c>
      <c r="AK132" s="272"/>
      <c r="AL132" s="272"/>
      <c r="AM132" s="273">
        <v>1000.0</v>
      </c>
      <c r="AN132" s="272"/>
      <c r="AO132" s="272"/>
      <c r="AP132" s="272" t="s">
        <v>5382</v>
      </c>
      <c r="AQ132" s="272"/>
      <c r="AR132" s="272"/>
      <c r="AS132" s="201"/>
      <c r="AT132" s="201"/>
      <c r="AU132" s="201"/>
      <c r="AW132" s="215" t="s">
        <v>6515</v>
      </c>
      <c r="AX132" s="216"/>
      <c r="AY132" s="216"/>
      <c r="AZ132" s="216"/>
      <c r="BA132" s="216"/>
      <c r="BB132" s="216" t="s">
        <v>6516</v>
      </c>
      <c r="BC132" s="216"/>
      <c r="BD132" s="216"/>
      <c r="BE132" s="216"/>
      <c r="BF132" s="216"/>
      <c r="BG132" s="216"/>
      <c r="BH132" s="216"/>
      <c r="BI132" s="216"/>
      <c r="BJ132" s="216"/>
      <c r="BK132" s="216"/>
      <c r="BL132" s="216"/>
      <c r="BM132" s="216"/>
      <c r="BN132" s="216"/>
      <c r="BO132" s="216"/>
      <c r="BP132" s="216"/>
      <c r="BQ132" s="216"/>
      <c r="BR132" s="216"/>
      <c r="BS132" s="216"/>
      <c r="BT132" s="216"/>
      <c r="BU132" s="216"/>
      <c r="BV132" s="216"/>
      <c r="BW132" s="217"/>
    </row>
    <row r="133" spans="8:8" ht="16.5">
      <c r="A133" s="263"/>
      <c r="B133" s="268"/>
      <c r="C133" s="268"/>
      <c r="D133" s="268"/>
      <c r="E133" s="268"/>
      <c r="F133" s="268"/>
      <c r="G133" s="269"/>
      <c r="H133" s="269"/>
      <c r="I133" s="269"/>
      <c r="J133" s="269"/>
      <c r="K133" s="269"/>
      <c r="L133" s="269"/>
      <c r="M133" s="269"/>
      <c r="N133" s="269"/>
      <c r="O133" s="269"/>
      <c r="P133" s="269"/>
      <c r="Q133" s="269"/>
      <c r="R133" s="269"/>
      <c r="S133" s="269"/>
      <c r="T133" s="269"/>
      <c r="U133" s="269"/>
      <c r="V133" s="269"/>
      <c r="W133" s="264"/>
      <c r="X133" s="244" t="s">
        <v>6521</v>
      </c>
      <c r="Y133" s="244"/>
      <c r="Z133" s="244"/>
      <c r="AA133" s="244"/>
      <c r="AB133" s="244"/>
      <c r="AC133" s="244" t="s">
        <v>6522</v>
      </c>
      <c r="AD133" s="244"/>
      <c r="AE133" s="244"/>
      <c r="AF133" s="244"/>
      <c r="AG133" s="244"/>
      <c r="AH133" s="201"/>
      <c r="AJ133" s="272" t="s">
        <v>5935</v>
      </c>
      <c r="AK133" s="272"/>
      <c r="AL133" s="272"/>
      <c r="AM133" s="273">
        <v>3100.0</v>
      </c>
      <c r="AN133" s="272"/>
      <c r="AO133" s="272"/>
      <c r="AP133" s="272" t="s">
        <v>5934</v>
      </c>
      <c r="AQ133" s="272"/>
      <c r="AR133" s="272"/>
      <c r="AS133" s="201"/>
      <c r="AT133" s="201"/>
      <c r="AU133" s="201"/>
      <c r="AW133" s="215" t="s">
        <v>6519</v>
      </c>
      <c r="AX133" s="216"/>
      <c r="AY133" s="216"/>
      <c r="AZ133" s="216"/>
      <c r="BA133" s="216"/>
      <c r="BB133" s="216" t="s">
        <v>6520</v>
      </c>
      <c r="BC133" s="216"/>
      <c r="BD133" s="216"/>
      <c r="BE133" s="216"/>
      <c r="BF133" s="216"/>
      <c r="BG133" s="216"/>
      <c r="BH133" s="216"/>
      <c r="BI133" s="216"/>
      <c r="BJ133" s="216"/>
      <c r="BK133" s="216"/>
      <c r="BL133" s="216"/>
      <c r="BM133" s="216"/>
      <c r="BN133" s="216"/>
      <c r="BO133" s="216"/>
      <c r="BP133" s="216"/>
      <c r="BQ133" s="216"/>
      <c r="BR133" s="216"/>
      <c r="BS133" s="216"/>
      <c r="BT133" s="216"/>
      <c r="BU133" s="216"/>
      <c r="BV133" s="216"/>
      <c r="BW133" s="217"/>
    </row>
    <row r="134" spans="8:8" ht="16.5">
      <c r="A134" s="263"/>
      <c r="B134" s="268"/>
      <c r="C134" s="268"/>
      <c r="D134" s="268"/>
      <c r="E134" s="268"/>
      <c r="F134" s="268"/>
      <c r="G134" s="269"/>
      <c r="H134" s="269"/>
      <c r="I134" s="269"/>
      <c r="J134" s="269"/>
      <c r="K134" s="269"/>
      <c r="L134" s="269"/>
      <c r="M134" s="269"/>
      <c r="N134" s="269"/>
      <c r="O134" s="269"/>
      <c r="P134" s="269"/>
      <c r="Q134" s="269"/>
      <c r="R134" s="269"/>
      <c r="S134" s="269"/>
      <c r="T134" s="269"/>
      <c r="U134" s="269"/>
      <c r="V134" s="269"/>
      <c r="W134" s="264"/>
      <c r="X134" s="244" t="s">
        <v>6525</v>
      </c>
      <c r="Y134" s="244"/>
      <c r="Z134" s="244"/>
      <c r="AA134" s="244"/>
      <c r="AB134" s="244"/>
      <c r="AC134" s="244" t="s">
        <v>6526</v>
      </c>
      <c r="AD134" s="244"/>
      <c r="AE134" s="244"/>
      <c r="AF134" s="244"/>
      <c r="AG134" s="244"/>
      <c r="AH134" s="201"/>
      <c r="AJ134" s="272" t="s">
        <v>5738</v>
      </c>
      <c r="AK134" s="272"/>
      <c r="AL134" s="272"/>
      <c r="AM134" s="273">
        <v>3900.0</v>
      </c>
      <c r="AN134" s="272"/>
      <c r="AO134" s="272"/>
      <c r="AP134" s="272" t="s">
        <v>5737</v>
      </c>
      <c r="AQ134" s="272"/>
      <c r="AR134" s="272"/>
      <c r="AS134" s="201"/>
      <c r="AT134" s="201"/>
      <c r="AU134" s="201"/>
      <c r="AW134" s="215" t="s">
        <v>6523</v>
      </c>
      <c r="AX134" s="216"/>
      <c r="AY134" s="216"/>
      <c r="AZ134" s="216"/>
      <c r="BA134" s="216"/>
      <c r="BB134" s="216" t="s">
        <v>6524</v>
      </c>
      <c r="BC134" s="216"/>
      <c r="BD134" s="216"/>
      <c r="BE134" s="216"/>
      <c r="BF134" s="216"/>
      <c r="BG134" s="216"/>
      <c r="BH134" s="216"/>
      <c r="BI134" s="216"/>
      <c r="BJ134" s="216"/>
      <c r="BK134" s="216"/>
      <c r="BL134" s="216"/>
      <c r="BM134" s="216"/>
      <c r="BN134" s="216"/>
      <c r="BO134" s="216"/>
      <c r="BP134" s="216"/>
      <c r="BQ134" s="216"/>
      <c r="BR134" s="216"/>
      <c r="BS134" s="216"/>
      <c r="BT134" s="216"/>
      <c r="BU134" s="216"/>
      <c r="BV134" s="216"/>
      <c r="BW134" s="217"/>
    </row>
    <row r="135" spans="8:8" ht="16.5">
      <c r="A135" s="263"/>
      <c r="B135" s="268"/>
      <c r="C135" s="268"/>
      <c r="D135" s="268"/>
      <c r="E135" s="268"/>
      <c r="F135" s="268"/>
      <c r="G135" s="269"/>
      <c r="H135" s="269"/>
      <c r="I135" s="269"/>
      <c r="J135" s="269"/>
      <c r="K135" s="269"/>
      <c r="L135" s="269"/>
      <c r="M135" s="269"/>
      <c r="N135" s="269"/>
      <c r="O135" s="269"/>
      <c r="P135" s="269"/>
      <c r="Q135" s="269"/>
      <c r="R135" s="269"/>
      <c r="S135" s="269"/>
      <c r="T135" s="269"/>
      <c r="U135" s="269"/>
      <c r="V135" s="269"/>
      <c r="W135" s="264"/>
      <c r="X135" s="244" t="s">
        <v>6529</v>
      </c>
      <c r="Y135" s="244"/>
      <c r="Z135" s="244"/>
      <c r="AA135" s="244"/>
      <c r="AB135" s="244"/>
      <c r="AC135" s="244" t="s">
        <v>6530</v>
      </c>
      <c r="AD135" s="244"/>
      <c r="AE135" s="244"/>
      <c r="AF135" s="244"/>
      <c r="AG135" s="244"/>
      <c r="AH135" s="201"/>
      <c r="AJ135" s="272" t="s">
        <v>5729</v>
      </c>
      <c r="AK135" s="272"/>
      <c r="AL135" s="272"/>
      <c r="AM135" s="273">
        <v>1600.0</v>
      </c>
      <c r="AN135" s="272"/>
      <c r="AO135" s="272"/>
      <c r="AP135" s="272" t="s">
        <v>5728</v>
      </c>
      <c r="AQ135" s="272"/>
      <c r="AR135" s="272"/>
      <c r="AS135" s="201"/>
      <c r="AT135" s="201"/>
      <c r="AU135" s="201"/>
      <c r="AW135" s="215" t="s">
        <v>6527</v>
      </c>
      <c r="AX135" s="216"/>
      <c r="AY135" s="216"/>
      <c r="AZ135" s="216"/>
      <c r="BA135" s="216"/>
      <c r="BB135" s="216" t="s">
        <v>6528</v>
      </c>
      <c r="BC135" s="216"/>
      <c r="BD135" s="216"/>
      <c r="BE135" s="216"/>
      <c r="BF135" s="216"/>
      <c r="BG135" s="216"/>
      <c r="BH135" s="216"/>
      <c r="BI135" s="216"/>
      <c r="BJ135" s="216"/>
      <c r="BK135" s="216"/>
      <c r="BL135" s="216"/>
      <c r="BM135" s="216"/>
      <c r="BN135" s="216"/>
      <c r="BO135" s="216"/>
      <c r="BP135" s="216"/>
      <c r="BQ135" s="216"/>
      <c r="BR135" s="216"/>
      <c r="BS135" s="216"/>
      <c r="BT135" s="216"/>
      <c r="BU135" s="216"/>
      <c r="BV135" s="216"/>
      <c r="BW135" s="217"/>
    </row>
    <row r="136" spans="8:8" ht="16.5">
      <c r="A136" s="263"/>
      <c r="B136" s="268"/>
      <c r="C136" s="268"/>
      <c r="D136" s="268"/>
      <c r="E136" s="268"/>
      <c r="F136" s="268"/>
      <c r="G136" s="269"/>
      <c r="H136" s="269"/>
      <c r="I136" s="269"/>
      <c r="J136" s="269"/>
      <c r="K136" s="269"/>
      <c r="L136" s="269"/>
      <c r="M136" s="269"/>
      <c r="N136" s="269"/>
      <c r="O136" s="269"/>
      <c r="P136" s="269"/>
      <c r="Q136" s="269"/>
      <c r="R136" s="269"/>
      <c r="S136" s="269"/>
      <c r="T136" s="269"/>
      <c r="U136" s="269"/>
      <c r="V136" s="269"/>
      <c r="W136" s="264"/>
      <c r="X136" s="244" t="s">
        <v>6534</v>
      </c>
      <c r="Y136" s="244"/>
      <c r="Z136" s="244"/>
      <c r="AA136" s="244"/>
      <c r="AB136" s="244"/>
      <c r="AC136" s="244" t="s">
        <v>6535</v>
      </c>
      <c r="AD136" s="244"/>
      <c r="AE136" s="244"/>
      <c r="AF136" s="244"/>
      <c r="AG136" s="244"/>
      <c r="AH136" s="201"/>
      <c r="AJ136" s="272" t="s">
        <v>6531</v>
      </c>
      <c r="AK136" s="272"/>
      <c r="AL136" s="272"/>
      <c r="AM136" s="273">
        <v>2500.0</v>
      </c>
      <c r="AN136" s="272"/>
      <c r="AO136" s="272"/>
      <c r="AP136" s="272" t="s">
        <v>5652</v>
      </c>
      <c r="AQ136" s="272"/>
      <c r="AR136" s="272"/>
      <c r="AS136" s="201"/>
      <c r="AT136" s="201"/>
      <c r="AU136" s="201"/>
      <c r="AW136" s="215" t="s">
        <v>6532</v>
      </c>
      <c r="AX136" s="216"/>
      <c r="AY136" s="216"/>
      <c r="AZ136" s="216"/>
      <c r="BA136" s="216"/>
      <c r="BB136" s="216" t="s">
        <v>6533</v>
      </c>
      <c r="BC136" s="216"/>
      <c r="BD136" s="216"/>
      <c r="BE136" s="216"/>
      <c r="BF136" s="216"/>
      <c r="BG136" s="216"/>
      <c r="BH136" s="216"/>
      <c r="BI136" s="216"/>
      <c r="BJ136" s="216"/>
      <c r="BK136" s="216"/>
      <c r="BL136" s="216"/>
      <c r="BM136" s="216"/>
      <c r="BN136" s="216"/>
      <c r="BO136" s="216"/>
      <c r="BP136" s="216"/>
      <c r="BQ136" s="216"/>
      <c r="BR136" s="216"/>
      <c r="BS136" s="216"/>
      <c r="BT136" s="216"/>
      <c r="BU136" s="216"/>
      <c r="BV136" s="216"/>
      <c r="BW136" s="217"/>
    </row>
    <row r="137" spans="8:8" ht="16.5">
      <c r="A137" s="263"/>
      <c r="B137" s="268"/>
      <c r="C137" s="268"/>
      <c r="D137" s="268"/>
      <c r="E137" s="268"/>
      <c r="F137" s="268"/>
      <c r="G137" s="269"/>
      <c r="H137" s="269"/>
      <c r="I137" s="269"/>
      <c r="J137" s="269"/>
      <c r="K137" s="269"/>
      <c r="L137" s="269"/>
      <c r="M137" s="269"/>
      <c r="N137" s="269"/>
      <c r="O137" s="269"/>
      <c r="P137" s="269"/>
      <c r="Q137" s="269"/>
      <c r="R137" s="269"/>
      <c r="S137" s="269"/>
      <c r="T137" s="269"/>
      <c r="U137" s="269"/>
      <c r="V137" s="269"/>
      <c r="W137" s="264"/>
      <c r="X137" s="244" t="s">
        <v>6538</v>
      </c>
      <c r="Y137" s="244"/>
      <c r="Z137" s="244"/>
      <c r="AA137" s="244"/>
      <c r="AB137" s="244"/>
      <c r="AC137" s="244" t="s">
        <v>6539</v>
      </c>
      <c r="AD137" s="244"/>
      <c r="AE137" s="244"/>
      <c r="AF137" s="244"/>
      <c r="AG137" s="244"/>
      <c r="AH137" s="201"/>
      <c r="AJ137" s="272" t="s">
        <v>6159</v>
      </c>
      <c r="AK137" s="272"/>
      <c r="AL137" s="272"/>
      <c r="AM137" s="273">
        <v>4500.0</v>
      </c>
      <c r="AN137" s="272"/>
      <c r="AO137" s="272"/>
      <c r="AP137" s="272" t="s">
        <v>6158</v>
      </c>
      <c r="AQ137" s="272"/>
      <c r="AR137" s="272"/>
      <c r="AS137" s="201"/>
      <c r="AT137" s="201"/>
      <c r="AU137" s="201"/>
      <c r="AW137" s="215" t="s">
        <v>6536</v>
      </c>
      <c r="AX137" s="216"/>
      <c r="AY137" s="216"/>
      <c r="AZ137" s="216"/>
      <c r="BA137" s="216"/>
      <c r="BB137" s="216" t="s">
        <v>6537</v>
      </c>
      <c r="BC137" s="216"/>
      <c r="BD137" s="216"/>
      <c r="BE137" s="216"/>
      <c r="BF137" s="216"/>
      <c r="BG137" s="216"/>
      <c r="BH137" s="216"/>
      <c r="BI137" s="216"/>
      <c r="BJ137" s="216"/>
      <c r="BK137" s="216"/>
      <c r="BL137" s="216"/>
      <c r="BM137" s="216"/>
      <c r="BN137" s="216"/>
      <c r="BO137" s="216"/>
      <c r="BP137" s="216"/>
      <c r="BQ137" s="216"/>
      <c r="BR137" s="216"/>
      <c r="BS137" s="216"/>
      <c r="BT137" s="216"/>
      <c r="BU137" s="216"/>
      <c r="BV137" s="216"/>
      <c r="BW137" s="217"/>
    </row>
    <row r="138" spans="8:8" ht="16.5">
      <c r="A138" s="263"/>
      <c r="B138" s="268"/>
      <c r="C138" s="268"/>
      <c r="D138" s="268"/>
      <c r="E138" s="268"/>
      <c r="F138" s="268"/>
      <c r="G138" s="269"/>
      <c r="H138" s="269"/>
      <c r="I138" s="269"/>
      <c r="J138" s="269"/>
      <c r="K138" s="269"/>
      <c r="L138" s="269"/>
      <c r="M138" s="269"/>
      <c r="N138" s="269"/>
      <c r="O138" s="269"/>
      <c r="P138" s="269"/>
      <c r="Q138" s="269"/>
      <c r="R138" s="269"/>
      <c r="S138" s="269"/>
      <c r="T138" s="269"/>
      <c r="U138" s="269"/>
      <c r="V138" s="269"/>
      <c r="W138" s="264"/>
      <c r="X138" s="244" t="s">
        <v>6543</v>
      </c>
      <c r="Y138" s="244"/>
      <c r="Z138" s="244"/>
      <c r="AA138" s="244"/>
      <c r="AB138" s="244"/>
      <c r="AC138" s="244" t="s">
        <v>6544</v>
      </c>
      <c r="AD138" s="244"/>
      <c r="AE138" s="244"/>
      <c r="AF138" s="244"/>
      <c r="AG138" s="244"/>
      <c r="AH138" s="201"/>
      <c r="AJ138" s="270" t="s">
        <v>6540</v>
      </c>
      <c r="AK138" s="270"/>
      <c r="AL138" s="270"/>
      <c r="AM138" s="271">
        <v>1000.0</v>
      </c>
      <c r="AN138" s="270"/>
      <c r="AO138" s="270"/>
      <c r="AP138" s="270" t="s">
        <v>5788</v>
      </c>
      <c r="AQ138" s="270"/>
      <c r="AR138" s="270"/>
      <c r="AS138" s="201"/>
      <c r="AT138" s="201"/>
      <c r="AU138" s="201"/>
      <c r="AW138" s="215" t="s">
        <v>6541</v>
      </c>
      <c r="AX138" s="216"/>
      <c r="AY138" s="216"/>
      <c r="AZ138" s="216"/>
      <c r="BA138" s="216"/>
      <c r="BB138" s="216" t="s">
        <v>6542</v>
      </c>
      <c r="BC138" s="216"/>
      <c r="BD138" s="216"/>
      <c r="BE138" s="216"/>
      <c r="BF138" s="216"/>
      <c r="BG138" s="216"/>
      <c r="BH138" s="216"/>
      <c r="BI138" s="216"/>
      <c r="BJ138" s="216"/>
      <c r="BK138" s="216"/>
      <c r="BL138" s="216"/>
      <c r="BM138" s="216"/>
      <c r="BN138" s="216"/>
      <c r="BO138" s="216"/>
      <c r="BP138" s="216"/>
      <c r="BQ138" s="216"/>
      <c r="BR138" s="216"/>
      <c r="BS138" s="216"/>
      <c r="BT138" s="216"/>
      <c r="BU138" s="216"/>
      <c r="BV138" s="216"/>
      <c r="BW138" s="217"/>
    </row>
    <row r="139" spans="8:8" ht="16.5">
      <c r="A139" s="263"/>
      <c r="B139" s="268"/>
      <c r="C139" s="268"/>
      <c r="D139" s="268"/>
      <c r="E139" s="268"/>
      <c r="F139" s="268"/>
      <c r="G139" s="269"/>
      <c r="H139" s="269"/>
      <c r="I139" s="269"/>
      <c r="J139" s="269"/>
      <c r="K139" s="269"/>
      <c r="L139" s="269"/>
      <c r="M139" s="269"/>
      <c r="N139" s="269"/>
      <c r="O139" s="269"/>
      <c r="P139" s="269"/>
      <c r="Q139" s="269"/>
      <c r="R139" s="269"/>
      <c r="S139" s="269"/>
      <c r="T139" s="269"/>
      <c r="U139" s="269"/>
      <c r="V139" s="269"/>
      <c r="W139" s="264"/>
      <c r="X139" s="244" t="s">
        <v>5865</v>
      </c>
      <c r="Y139" s="244"/>
      <c r="Z139" s="244"/>
      <c r="AA139" s="244"/>
      <c r="AB139" s="244"/>
      <c r="AC139" s="244" t="s">
        <v>6548</v>
      </c>
      <c r="AD139" s="244"/>
      <c r="AE139" s="244"/>
      <c r="AF139" s="244"/>
      <c r="AG139" s="244"/>
      <c r="AH139" s="201"/>
      <c r="AJ139" s="272" t="s">
        <v>6545</v>
      </c>
      <c r="AK139" s="272"/>
      <c r="AL139" s="272"/>
      <c r="AM139" s="273">
        <v>600.0</v>
      </c>
      <c r="AN139" s="272"/>
      <c r="AO139" s="272"/>
      <c r="AP139" s="272" t="s">
        <v>5730</v>
      </c>
      <c r="AQ139" s="272"/>
      <c r="AR139" s="272"/>
      <c r="AS139" s="201"/>
      <c r="AT139" s="201"/>
      <c r="AU139" s="201"/>
      <c r="AW139" s="215" t="s">
        <v>6546</v>
      </c>
      <c r="AX139" s="216"/>
      <c r="AY139" s="216"/>
      <c r="AZ139" s="216"/>
      <c r="BA139" s="216"/>
      <c r="BB139" s="216" t="s">
        <v>6547</v>
      </c>
      <c r="BC139" s="216"/>
      <c r="BD139" s="216"/>
      <c r="BE139" s="216"/>
      <c r="BF139" s="216"/>
      <c r="BG139" s="216"/>
      <c r="BH139" s="216"/>
      <c r="BI139" s="216"/>
      <c r="BJ139" s="216"/>
      <c r="BK139" s="216"/>
      <c r="BL139" s="216"/>
      <c r="BM139" s="216"/>
      <c r="BN139" s="216"/>
      <c r="BO139" s="216"/>
      <c r="BP139" s="216"/>
      <c r="BQ139" s="216"/>
      <c r="BR139" s="216"/>
      <c r="BS139" s="216"/>
      <c r="BT139" s="216"/>
      <c r="BU139" s="216"/>
      <c r="BV139" s="216"/>
      <c r="BW139" s="217"/>
    </row>
    <row r="140" spans="8:8" ht="16.5">
      <c r="A140" s="263"/>
      <c r="B140" s="268"/>
      <c r="C140" s="268"/>
      <c r="D140" s="268"/>
      <c r="E140" s="268"/>
      <c r="F140" s="268"/>
      <c r="G140" s="269"/>
      <c r="H140" s="269"/>
      <c r="I140" s="269"/>
      <c r="J140" s="269"/>
      <c r="K140" s="269"/>
      <c r="L140" s="269"/>
      <c r="M140" s="269"/>
      <c r="N140" s="269"/>
      <c r="O140" s="269"/>
      <c r="P140" s="269"/>
      <c r="Q140" s="269"/>
      <c r="R140" s="269"/>
      <c r="S140" s="269"/>
      <c r="T140" s="269"/>
      <c r="U140" s="269"/>
      <c r="V140" s="269"/>
      <c r="W140" s="264"/>
      <c r="X140" s="244" t="s">
        <v>6552</v>
      </c>
      <c r="Y140" s="244"/>
      <c r="Z140" s="244"/>
      <c r="AA140" s="244"/>
      <c r="AB140" s="244"/>
      <c r="AC140" s="244" t="s">
        <v>6553</v>
      </c>
      <c r="AD140" s="244"/>
      <c r="AE140" s="244"/>
      <c r="AF140" s="244"/>
      <c r="AG140" s="244"/>
      <c r="AH140" s="201"/>
      <c r="AJ140" s="272" t="s">
        <v>6549</v>
      </c>
      <c r="AK140" s="272"/>
      <c r="AL140" s="272"/>
      <c r="AM140" s="273">
        <v>900.0</v>
      </c>
      <c r="AN140" s="272"/>
      <c r="AO140" s="272"/>
      <c r="AP140" s="272" t="s">
        <v>5676</v>
      </c>
      <c r="AQ140" s="272"/>
      <c r="AR140" s="272"/>
      <c r="AS140" s="201"/>
      <c r="AT140" s="201"/>
      <c r="AU140" s="201"/>
      <c r="AW140" s="215" t="s">
        <v>6550</v>
      </c>
      <c r="AX140" s="216"/>
      <c r="AY140" s="216"/>
      <c r="AZ140" s="216"/>
      <c r="BA140" s="216"/>
      <c r="BB140" s="216" t="s">
        <v>6551</v>
      </c>
      <c r="BC140" s="216"/>
      <c r="BD140" s="216"/>
      <c r="BE140" s="216"/>
      <c r="BF140" s="216"/>
      <c r="BG140" s="216"/>
      <c r="BH140" s="216"/>
      <c r="BI140" s="216"/>
      <c r="BJ140" s="216"/>
      <c r="BK140" s="216"/>
      <c r="BL140" s="216"/>
      <c r="BM140" s="216"/>
      <c r="BN140" s="216"/>
      <c r="BO140" s="216"/>
      <c r="BP140" s="216"/>
      <c r="BQ140" s="216"/>
      <c r="BR140" s="216"/>
      <c r="BS140" s="216"/>
      <c r="BT140" s="216"/>
      <c r="BU140" s="216"/>
      <c r="BV140" s="216"/>
      <c r="BW140" s="217"/>
    </row>
    <row r="141" spans="8:8" ht="16.5">
      <c r="A141" s="263"/>
      <c r="B141" s="268"/>
      <c r="C141" s="268"/>
      <c r="D141" s="268"/>
      <c r="E141" s="268"/>
      <c r="F141" s="268"/>
      <c r="G141" s="269"/>
      <c r="H141" s="269"/>
      <c r="I141" s="269"/>
      <c r="J141" s="269"/>
      <c r="K141" s="269"/>
      <c r="L141" s="269"/>
      <c r="M141" s="269"/>
      <c r="N141" s="269"/>
      <c r="O141" s="269"/>
      <c r="P141" s="269"/>
      <c r="Q141" s="269"/>
      <c r="R141" s="269"/>
      <c r="S141" s="269"/>
      <c r="T141" s="269"/>
      <c r="U141" s="269"/>
      <c r="V141" s="269"/>
      <c r="W141" s="264"/>
      <c r="X141" s="244" t="s">
        <v>6557</v>
      </c>
      <c r="Y141" s="244"/>
      <c r="Z141" s="244"/>
      <c r="AA141" s="244"/>
      <c r="AB141" s="244"/>
      <c r="AC141" s="244" t="s">
        <v>6558</v>
      </c>
      <c r="AD141" s="244"/>
      <c r="AE141" s="244"/>
      <c r="AF141" s="244"/>
      <c r="AG141" s="244"/>
      <c r="AH141" s="201"/>
      <c r="AJ141" s="272" t="s">
        <v>6554</v>
      </c>
      <c r="AK141" s="272"/>
      <c r="AL141" s="272"/>
      <c r="AM141" s="273">
        <v>1600.0</v>
      </c>
      <c r="AN141" s="272"/>
      <c r="AO141" s="272"/>
      <c r="AP141" s="272" t="s">
        <v>5834</v>
      </c>
      <c r="AQ141" s="272"/>
      <c r="AR141" s="272"/>
      <c r="AS141" s="201"/>
      <c r="AT141" s="201"/>
      <c r="AU141" s="201"/>
      <c r="AW141" s="215" t="s">
        <v>6555</v>
      </c>
      <c r="AX141" s="216"/>
      <c r="AY141" s="216"/>
      <c r="AZ141" s="216"/>
      <c r="BA141" s="216"/>
      <c r="BB141" s="216" t="s">
        <v>6556</v>
      </c>
      <c r="BC141" s="216"/>
      <c r="BD141" s="216"/>
      <c r="BE141" s="216"/>
      <c r="BF141" s="216"/>
      <c r="BG141" s="216"/>
      <c r="BH141" s="216"/>
      <c r="BI141" s="216"/>
      <c r="BJ141" s="216"/>
      <c r="BK141" s="216"/>
      <c r="BL141" s="216"/>
      <c r="BM141" s="216"/>
      <c r="BN141" s="216"/>
      <c r="BO141" s="216"/>
      <c r="BP141" s="216"/>
      <c r="BQ141" s="216"/>
      <c r="BR141" s="216"/>
      <c r="BS141" s="216"/>
      <c r="BT141" s="216"/>
      <c r="BU141" s="216"/>
      <c r="BV141" s="216"/>
      <c r="BW141" s="217"/>
    </row>
    <row r="142" spans="8:8" ht="16.5">
      <c r="A142" s="263"/>
      <c r="B142" s="268"/>
      <c r="C142" s="268"/>
      <c r="D142" s="268"/>
      <c r="E142" s="268"/>
      <c r="F142" s="268"/>
      <c r="G142" s="269"/>
      <c r="H142" s="269"/>
      <c r="I142" s="269"/>
      <c r="J142" s="269"/>
      <c r="K142" s="269"/>
      <c r="L142" s="269"/>
      <c r="M142" s="269"/>
      <c r="N142" s="269"/>
      <c r="O142" s="269"/>
      <c r="P142" s="269"/>
      <c r="Q142" s="269"/>
      <c r="R142" s="269"/>
      <c r="S142" s="269"/>
      <c r="T142" s="269"/>
      <c r="U142" s="269"/>
      <c r="V142" s="269"/>
      <c r="W142" s="264"/>
      <c r="X142" s="244" t="s">
        <v>6562</v>
      </c>
      <c r="Y142" s="244"/>
      <c r="Z142" s="244"/>
      <c r="AA142" s="244"/>
      <c r="AB142" s="244"/>
      <c r="AC142" s="244" t="s">
        <v>6563</v>
      </c>
      <c r="AD142" s="244"/>
      <c r="AE142" s="244"/>
      <c r="AF142" s="244"/>
      <c r="AG142" s="244"/>
      <c r="AH142" s="201"/>
      <c r="AJ142" s="272" t="s">
        <v>6559</v>
      </c>
      <c r="AK142" s="272"/>
      <c r="AL142" s="272"/>
      <c r="AM142" s="273">
        <v>4500.0</v>
      </c>
      <c r="AN142" s="272"/>
      <c r="AO142" s="272"/>
      <c r="AP142" s="272" t="s">
        <v>5822</v>
      </c>
      <c r="AQ142" s="272"/>
      <c r="AR142" s="272"/>
      <c r="AS142" s="201"/>
      <c r="AT142" s="201"/>
      <c r="AU142" s="201"/>
      <c r="AW142" s="215" t="s">
        <v>6560</v>
      </c>
      <c r="AX142" s="216"/>
      <c r="AY142" s="216"/>
      <c r="AZ142" s="216"/>
      <c r="BA142" s="216"/>
      <c r="BB142" s="216" t="s">
        <v>6561</v>
      </c>
      <c r="BC142" s="216"/>
      <c r="BD142" s="216"/>
      <c r="BE142" s="216"/>
      <c r="BF142" s="216"/>
      <c r="BG142" s="216"/>
      <c r="BH142" s="216"/>
      <c r="BI142" s="216"/>
      <c r="BJ142" s="216"/>
      <c r="BK142" s="216"/>
      <c r="BL142" s="216"/>
      <c r="BM142" s="216"/>
      <c r="BN142" s="216"/>
      <c r="BO142" s="216"/>
      <c r="BP142" s="216"/>
      <c r="BQ142" s="216"/>
      <c r="BR142" s="216"/>
      <c r="BS142" s="216"/>
      <c r="BT142" s="216"/>
      <c r="BU142" s="216"/>
      <c r="BV142" s="216"/>
      <c r="BW142" s="217"/>
    </row>
    <row r="143" spans="8:8" ht="16.5">
      <c r="A143" s="263"/>
      <c r="B143" s="268"/>
      <c r="C143" s="268"/>
      <c r="D143" s="268"/>
      <c r="E143" s="268"/>
      <c r="F143" s="268"/>
      <c r="G143" s="269"/>
      <c r="H143" s="269"/>
      <c r="I143" s="269"/>
      <c r="J143" s="269"/>
      <c r="K143" s="269"/>
      <c r="L143" s="269"/>
      <c r="M143" s="269"/>
      <c r="N143" s="269"/>
      <c r="O143" s="269"/>
      <c r="P143" s="269"/>
      <c r="Q143" s="269"/>
      <c r="R143" s="269"/>
      <c r="S143" s="269"/>
      <c r="T143" s="269"/>
      <c r="U143" s="269"/>
      <c r="V143" s="269"/>
      <c r="W143" s="264"/>
      <c r="X143" s="244" t="s">
        <v>6566</v>
      </c>
      <c r="Y143" s="244"/>
      <c r="Z143" s="244"/>
      <c r="AA143" s="244"/>
      <c r="AB143" s="244"/>
      <c r="AC143" s="244" t="s">
        <v>6567</v>
      </c>
      <c r="AD143" s="244"/>
      <c r="AE143" s="244"/>
      <c r="AF143" s="244"/>
      <c r="AG143" s="244"/>
      <c r="AH143" s="201"/>
      <c r="AJ143" s="272" t="s">
        <v>6564</v>
      </c>
      <c r="AK143" s="272"/>
      <c r="AL143" s="272"/>
      <c r="AM143" s="272" t="s">
        <v>5811</v>
      </c>
      <c r="AN143" s="272"/>
      <c r="AO143" s="272"/>
      <c r="AP143" s="272"/>
      <c r="AQ143" s="272"/>
      <c r="AR143" s="272"/>
      <c r="AS143" s="201"/>
      <c r="AT143" s="201"/>
      <c r="AU143" s="201"/>
      <c r="AW143" s="215" t="s">
        <v>6565</v>
      </c>
      <c r="AX143" s="216"/>
      <c r="AY143" s="216"/>
      <c r="AZ143" s="216"/>
      <c r="BA143" s="216"/>
      <c r="BB143" s="216" t="s">
        <v>6321</v>
      </c>
      <c r="BC143" s="216"/>
      <c r="BD143" s="216"/>
      <c r="BE143" s="216"/>
      <c r="BF143" s="216"/>
      <c r="BG143" s="216"/>
      <c r="BH143" s="216"/>
      <c r="BI143" s="216"/>
      <c r="BJ143" s="216"/>
      <c r="BK143" s="216"/>
      <c r="BL143" s="216"/>
      <c r="BM143" s="216"/>
      <c r="BN143" s="216"/>
      <c r="BO143" s="216"/>
      <c r="BP143" s="216"/>
      <c r="BQ143" s="216"/>
      <c r="BR143" s="216"/>
      <c r="BS143" s="216"/>
      <c r="BT143" s="216"/>
      <c r="BU143" s="216"/>
      <c r="BV143" s="216"/>
      <c r="BW143" s="217"/>
    </row>
    <row r="144" spans="8:8" ht="16.5">
      <c r="A144" s="263"/>
      <c r="B144" s="268"/>
      <c r="C144" s="268"/>
      <c r="D144" s="268"/>
      <c r="E144" s="268"/>
      <c r="F144" s="268"/>
      <c r="G144" s="269"/>
      <c r="H144" s="269"/>
      <c r="I144" s="269"/>
      <c r="J144" s="269"/>
      <c r="K144" s="269"/>
      <c r="L144" s="269"/>
      <c r="M144" s="269"/>
      <c r="N144" s="269"/>
      <c r="O144" s="269"/>
      <c r="P144" s="269"/>
      <c r="Q144" s="269"/>
      <c r="R144" s="269"/>
      <c r="S144" s="269"/>
      <c r="T144" s="269"/>
      <c r="U144" s="269"/>
      <c r="V144" s="269"/>
      <c r="W144" s="264"/>
      <c r="X144" s="244" t="s">
        <v>6570</v>
      </c>
      <c r="Y144" s="244"/>
      <c r="Z144" s="244"/>
      <c r="AA144" s="244"/>
      <c r="AB144" s="244"/>
      <c r="AC144" s="244" t="s">
        <v>6571</v>
      </c>
      <c r="AD144" s="244"/>
      <c r="AE144" s="244"/>
      <c r="AF144" s="244"/>
      <c r="AG144" s="244"/>
      <c r="AH144" s="201"/>
      <c r="AJ144" s="270" t="s">
        <v>6568</v>
      </c>
      <c r="AK144" s="270"/>
      <c r="AL144" s="270"/>
      <c r="AM144" s="271">
        <v>5000.0</v>
      </c>
      <c r="AN144" s="270"/>
      <c r="AO144" s="270"/>
      <c r="AP144" s="270" t="s">
        <v>5777</v>
      </c>
      <c r="AQ144" s="270"/>
      <c r="AR144" s="270"/>
      <c r="AS144" s="201"/>
      <c r="AT144" s="201"/>
      <c r="AU144" s="201"/>
      <c r="AW144" s="215" t="s">
        <v>6569</v>
      </c>
      <c r="AX144" s="216"/>
      <c r="AY144" s="216"/>
      <c r="AZ144" s="216"/>
      <c r="BA144" s="216"/>
      <c r="BB144" s="216" t="s">
        <v>6256</v>
      </c>
      <c r="BC144" s="216"/>
      <c r="BD144" s="216"/>
      <c r="BE144" s="216"/>
      <c r="BF144" s="216"/>
      <c r="BG144" s="216"/>
      <c r="BH144" s="216"/>
      <c r="BI144" s="216"/>
      <c r="BJ144" s="216"/>
      <c r="BK144" s="216"/>
      <c r="BL144" s="216"/>
      <c r="BM144" s="216"/>
      <c r="BN144" s="216"/>
      <c r="BO144" s="216"/>
      <c r="BP144" s="216"/>
      <c r="BQ144" s="216"/>
      <c r="BR144" s="216"/>
      <c r="BS144" s="216"/>
      <c r="BT144" s="216"/>
      <c r="BU144" s="216"/>
      <c r="BV144" s="216"/>
      <c r="BW144" s="217"/>
    </row>
    <row r="145" spans="8:8" ht="16.5">
      <c r="A145" s="263"/>
      <c r="B145" s="268"/>
      <c r="C145" s="268"/>
      <c r="D145" s="268"/>
      <c r="E145" s="268"/>
      <c r="F145" s="268"/>
      <c r="G145" s="269"/>
      <c r="H145" s="269"/>
      <c r="I145" s="269"/>
      <c r="J145" s="269"/>
      <c r="K145" s="269"/>
      <c r="L145" s="269"/>
      <c r="M145" s="269"/>
      <c r="N145" s="269"/>
      <c r="O145" s="269"/>
      <c r="P145" s="269"/>
      <c r="Q145" s="269"/>
      <c r="R145" s="269"/>
      <c r="S145" s="269"/>
      <c r="T145" s="269"/>
      <c r="U145" s="269"/>
      <c r="V145" s="269"/>
      <c r="W145" s="264"/>
      <c r="X145" s="244" t="s">
        <v>6575</v>
      </c>
      <c r="Y145" s="244"/>
      <c r="Z145" s="244"/>
      <c r="AA145" s="244"/>
      <c r="AB145" s="244"/>
      <c r="AC145" s="244" t="s">
        <v>6576</v>
      </c>
      <c r="AD145" s="244"/>
      <c r="AE145" s="244"/>
      <c r="AF145" s="244"/>
      <c r="AG145" s="244"/>
      <c r="AH145" s="201"/>
      <c r="AJ145" s="272" t="s">
        <v>6572</v>
      </c>
      <c r="AK145" s="272"/>
      <c r="AL145" s="272"/>
      <c r="AM145" s="273">
        <v>5000.0</v>
      </c>
      <c r="AN145" s="272"/>
      <c r="AO145" s="272"/>
      <c r="AP145" s="272" t="s">
        <v>5687</v>
      </c>
      <c r="AQ145" s="272"/>
      <c r="AR145" s="272"/>
      <c r="AS145" s="201"/>
      <c r="AT145" s="201"/>
      <c r="AU145" s="201"/>
      <c r="AW145" s="215" t="s">
        <v>6573</v>
      </c>
      <c r="AX145" s="216"/>
      <c r="AY145" s="216"/>
      <c r="AZ145" s="216"/>
      <c r="BA145" s="216"/>
      <c r="BB145" s="216" t="s">
        <v>6574</v>
      </c>
      <c r="BC145" s="216"/>
      <c r="BD145" s="216"/>
      <c r="BE145" s="216"/>
      <c r="BF145" s="216"/>
      <c r="BG145" s="216"/>
      <c r="BH145" s="216"/>
      <c r="BI145" s="216"/>
      <c r="BJ145" s="216"/>
      <c r="BK145" s="216"/>
      <c r="BL145" s="216"/>
      <c r="BM145" s="216"/>
      <c r="BN145" s="216"/>
      <c r="BO145" s="216"/>
      <c r="BP145" s="216"/>
      <c r="BQ145" s="216"/>
      <c r="BR145" s="216"/>
      <c r="BS145" s="216"/>
      <c r="BT145" s="216"/>
      <c r="BU145" s="216"/>
      <c r="BV145" s="216"/>
      <c r="BW145" s="217"/>
    </row>
    <row r="146" spans="8:8" ht="16.5">
      <c r="A146" s="263"/>
      <c r="B146" s="268"/>
      <c r="C146" s="268"/>
      <c r="D146" s="268"/>
      <c r="E146" s="268"/>
      <c r="F146" s="268"/>
      <c r="G146" s="269"/>
      <c r="H146" s="269"/>
      <c r="I146" s="269"/>
      <c r="J146" s="269"/>
      <c r="K146" s="269"/>
      <c r="L146" s="269"/>
      <c r="M146" s="269"/>
      <c r="N146" s="269"/>
      <c r="O146" s="269"/>
      <c r="P146" s="269"/>
      <c r="Q146" s="269"/>
      <c r="R146" s="269"/>
      <c r="S146" s="269"/>
      <c r="T146" s="269"/>
      <c r="U146" s="269"/>
      <c r="V146" s="269"/>
      <c r="W146" s="264"/>
      <c r="X146" s="244" t="s">
        <v>6580</v>
      </c>
      <c r="Y146" s="244"/>
      <c r="Z146" s="244"/>
      <c r="AA146" s="244"/>
      <c r="AB146" s="244"/>
      <c r="AC146" s="244" t="s">
        <v>6581</v>
      </c>
      <c r="AD146" s="244"/>
      <c r="AE146" s="244"/>
      <c r="AF146" s="244"/>
      <c r="AG146" s="244"/>
      <c r="AH146" s="201"/>
      <c r="AJ146" s="272" t="s">
        <v>6577</v>
      </c>
      <c r="AK146" s="272"/>
      <c r="AL146" s="272"/>
      <c r="AM146" s="273">
        <v>5000.0</v>
      </c>
      <c r="AN146" s="272"/>
      <c r="AO146" s="272"/>
      <c r="AP146" s="272" t="s">
        <v>5798</v>
      </c>
      <c r="AQ146" s="272"/>
      <c r="AR146" s="272"/>
      <c r="AS146" s="201"/>
      <c r="AT146" s="201"/>
      <c r="AU146" s="201"/>
      <c r="AW146" s="215" t="s">
        <v>6578</v>
      </c>
      <c r="AX146" s="216"/>
      <c r="AY146" s="216"/>
      <c r="AZ146" s="216"/>
      <c r="BA146" s="216"/>
      <c r="BB146" s="216" t="s">
        <v>6579</v>
      </c>
      <c r="BC146" s="216"/>
      <c r="BD146" s="216"/>
      <c r="BE146" s="216"/>
      <c r="BF146" s="216"/>
      <c r="BG146" s="216"/>
      <c r="BH146" s="216"/>
      <c r="BI146" s="216"/>
      <c r="BJ146" s="216"/>
      <c r="BK146" s="216"/>
      <c r="BL146" s="216"/>
      <c r="BM146" s="216"/>
      <c r="BN146" s="216"/>
      <c r="BO146" s="216"/>
      <c r="BP146" s="216"/>
      <c r="BQ146" s="216"/>
      <c r="BR146" s="216"/>
      <c r="BS146" s="216"/>
      <c r="BT146" s="216"/>
      <c r="BU146" s="216"/>
      <c r="BV146" s="216"/>
      <c r="BW146" s="217"/>
    </row>
    <row r="147" spans="8:8" ht="16.5">
      <c r="A147" s="263"/>
      <c r="B147" s="268"/>
      <c r="C147" s="268"/>
      <c r="D147" s="268"/>
      <c r="E147" s="268"/>
      <c r="F147" s="268"/>
      <c r="G147" s="269"/>
      <c r="H147" s="269"/>
      <c r="I147" s="269"/>
      <c r="J147" s="269"/>
      <c r="K147" s="269"/>
      <c r="L147" s="269"/>
      <c r="M147" s="269"/>
      <c r="N147" s="269"/>
      <c r="O147" s="269"/>
      <c r="P147" s="269"/>
      <c r="Q147" s="269"/>
      <c r="R147" s="269"/>
      <c r="S147" s="269"/>
      <c r="T147" s="269"/>
      <c r="U147" s="269"/>
      <c r="V147" s="269"/>
      <c r="W147" s="264"/>
      <c r="X147" s="244" t="s">
        <v>6585</v>
      </c>
      <c r="Y147" s="244"/>
      <c r="Z147" s="244"/>
      <c r="AA147" s="244"/>
      <c r="AB147" s="244"/>
      <c r="AC147" s="244" t="s">
        <v>6586</v>
      </c>
      <c r="AD147" s="244"/>
      <c r="AE147" s="244"/>
      <c r="AF147" s="244"/>
      <c r="AG147" s="244"/>
      <c r="AH147" s="201"/>
      <c r="AJ147" s="272" t="s">
        <v>6582</v>
      </c>
      <c r="AK147" s="272"/>
      <c r="AL147" s="272"/>
      <c r="AM147" s="273">
        <v>7000.0</v>
      </c>
      <c r="AN147" s="272"/>
      <c r="AO147" s="272"/>
      <c r="AP147" s="272" t="s">
        <v>5708</v>
      </c>
      <c r="AQ147" s="272"/>
      <c r="AR147" s="272"/>
      <c r="AS147" s="201"/>
      <c r="AT147" s="201"/>
      <c r="AU147" s="201"/>
      <c r="AW147" s="215" t="s">
        <v>6583</v>
      </c>
      <c r="AX147" s="216"/>
      <c r="AY147" s="216"/>
      <c r="AZ147" s="216"/>
      <c r="BA147" s="216"/>
      <c r="BB147" s="216" t="s">
        <v>6584</v>
      </c>
      <c r="BC147" s="216"/>
      <c r="BD147" s="216"/>
      <c r="BE147" s="216"/>
      <c r="BF147" s="216"/>
      <c r="BG147" s="216"/>
      <c r="BH147" s="216"/>
      <c r="BI147" s="216"/>
      <c r="BJ147" s="216"/>
      <c r="BK147" s="216"/>
      <c r="BL147" s="216"/>
      <c r="BM147" s="216"/>
      <c r="BN147" s="216"/>
      <c r="BO147" s="216"/>
      <c r="BP147" s="216"/>
      <c r="BQ147" s="216"/>
      <c r="BR147" s="216"/>
      <c r="BS147" s="216"/>
      <c r="BT147" s="216"/>
      <c r="BU147" s="216"/>
      <c r="BV147" s="216"/>
      <c r="BW147" s="217"/>
    </row>
    <row r="148" spans="8:8" ht="16.5">
      <c r="A148" s="263"/>
      <c r="B148" s="268"/>
      <c r="C148" s="268"/>
      <c r="D148" s="268"/>
      <c r="E148" s="268"/>
      <c r="F148" s="268"/>
      <c r="G148" s="269"/>
      <c r="H148" s="269"/>
      <c r="I148" s="269"/>
      <c r="J148" s="269"/>
      <c r="K148" s="269"/>
      <c r="L148" s="269"/>
      <c r="M148" s="269"/>
      <c r="N148" s="269"/>
      <c r="O148" s="269"/>
      <c r="P148" s="269"/>
      <c r="Q148" s="269"/>
      <c r="R148" s="269"/>
      <c r="S148" s="269"/>
      <c r="T148" s="269"/>
      <c r="U148" s="269"/>
      <c r="V148" s="269"/>
      <c r="W148" s="264"/>
      <c r="X148" s="244" t="s">
        <v>6590</v>
      </c>
      <c r="Y148" s="244"/>
      <c r="Z148" s="244"/>
      <c r="AA148" s="244"/>
      <c r="AB148" s="244"/>
      <c r="AC148" s="244" t="s">
        <v>6591</v>
      </c>
      <c r="AD148" s="244"/>
      <c r="AE148" s="244"/>
      <c r="AF148" s="244"/>
      <c r="AG148" s="244"/>
      <c r="AH148" s="201"/>
      <c r="AJ148" s="272" t="s">
        <v>6587</v>
      </c>
      <c r="AK148" s="272"/>
      <c r="AL148" s="272"/>
      <c r="AM148" s="273">
        <v>5500.0</v>
      </c>
      <c r="AN148" s="272"/>
      <c r="AO148" s="272"/>
      <c r="AP148" s="272" t="s">
        <v>5697</v>
      </c>
      <c r="AQ148" s="272"/>
      <c r="AR148" s="272"/>
      <c r="AS148" s="201"/>
      <c r="AT148" s="201"/>
      <c r="AU148" s="201"/>
      <c r="AW148" s="215" t="s">
        <v>6588</v>
      </c>
      <c r="AX148" s="216"/>
      <c r="AY148" s="216"/>
      <c r="AZ148" s="216"/>
      <c r="BA148" s="216"/>
      <c r="BB148" s="216" t="s">
        <v>6589</v>
      </c>
      <c r="BC148" s="216"/>
      <c r="BD148" s="216"/>
      <c r="BE148" s="216"/>
      <c r="BF148" s="216"/>
      <c r="BG148" s="216"/>
      <c r="BH148" s="216"/>
      <c r="BI148" s="216"/>
      <c r="BJ148" s="216"/>
      <c r="BK148" s="216"/>
      <c r="BL148" s="216"/>
      <c r="BM148" s="216"/>
      <c r="BN148" s="216"/>
      <c r="BO148" s="216"/>
      <c r="BP148" s="216"/>
      <c r="BQ148" s="216"/>
      <c r="BR148" s="216"/>
      <c r="BS148" s="216"/>
      <c r="BT148" s="216"/>
      <c r="BU148" s="216"/>
      <c r="BV148" s="216"/>
      <c r="BW148" s="217"/>
    </row>
    <row r="149" spans="8:8" ht="16.5">
      <c r="A149" s="263"/>
      <c r="B149" s="268"/>
      <c r="C149" s="268"/>
      <c r="D149" s="268"/>
      <c r="E149" s="268"/>
      <c r="F149" s="268"/>
      <c r="G149" s="269"/>
      <c r="H149" s="269"/>
      <c r="I149" s="269"/>
      <c r="J149" s="269"/>
      <c r="K149" s="269"/>
      <c r="L149" s="269"/>
      <c r="M149" s="269"/>
      <c r="N149" s="269"/>
      <c r="O149" s="269"/>
      <c r="P149" s="269"/>
      <c r="Q149" s="269"/>
      <c r="R149" s="269"/>
      <c r="S149" s="269"/>
      <c r="T149" s="269"/>
      <c r="U149" s="269"/>
      <c r="V149" s="269"/>
      <c r="W149" s="264"/>
      <c r="X149" s="244" t="s">
        <v>6595</v>
      </c>
      <c r="Y149" s="244"/>
      <c r="Z149" s="244"/>
      <c r="AA149" s="244"/>
      <c r="AB149" s="244"/>
      <c r="AC149" s="244" t="s">
        <v>6596</v>
      </c>
      <c r="AD149" s="244"/>
      <c r="AE149" s="244"/>
      <c r="AF149" s="244"/>
      <c r="AG149" s="244"/>
      <c r="AH149" s="201"/>
      <c r="AJ149" s="272" t="s">
        <v>6592</v>
      </c>
      <c r="AK149" s="272"/>
      <c r="AL149" s="272"/>
      <c r="AM149" s="273">
        <v>10000.0</v>
      </c>
      <c r="AN149" s="272"/>
      <c r="AO149" s="272"/>
      <c r="AP149" s="272" t="s">
        <v>5720</v>
      </c>
      <c r="AQ149" s="272"/>
      <c r="AR149" s="272"/>
      <c r="AS149" s="201"/>
      <c r="AT149" s="201"/>
      <c r="AU149" s="201"/>
      <c r="AW149" s="215" t="s">
        <v>6593</v>
      </c>
      <c r="AX149" s="216"/>
      <c r="AY149" s="216"/>
      <c r="AZ149" s="216"/>
      <c r="BA149" s="216"/>
      <c r="BB149" s="216" t="s">
        <v>6594</v>
      </c>
      <c r="BC149" s="216"/>
      <c r="BD149" s="216"/>
      <c r="BE149" s="216"/>
      <c r="BF149" s="216"/>
      <c r="BG149" s="216"/>
      <c r="BH149" s="216"/>
      <c r="BI149" s="216"/>
      <c r="BJ149" s="216"/>
      <c r="BK149" s="216"/>
      <c r="BL149" s="216"/>
      <c r="BM149" s="216"/>
      <c r="BN149" s="216"/>
      <c r="BO149" s="216"/>
      <c r="BP149" s="216"/>
      <c r="BQ149" s="216"/>
      <c r="BR149" s="216"/>
      <c r="BS149" s="216"/>
      <c r="BT149" s="216"/>
      <c r="BU149" s="216"/>
      <c r="BV149" s="216"/>
      <c r="BW149" s="217"/>
    </row>
    <row r="150" spans="8:8" ht="16.5">
      <c r="A150" s="263"/>
      <c r="B150" s="268"/>
      <c r="C150" s="268"/>
      <c r="D150" s="268"/>
      <c r="E150" s="268"/>
      <c r="F150" s="268"/>
      <c r="G150" s="269"/>
      <c r="H150" s="269"/>
      <c r="I150" s="269"/>
      <c r="J150" s="269"/>
      <c r="K150" s="269"/>
      <c r="L150" s="269"/>
      <c r="M150" s="269"/>
      <c r="N150" s="269"/>
      <c r="O150" s="269"/>
      <c r="P150" s="269"/>
      <c r="Q150" s="269"/>
      <c r="R150" s="269"/>
      <c r="S150" s="269"/>
      <c r="T150" s="269"/>
      <c r="U150" s="269"/>
      <c r="V150" s="269"/>
      <c r="W150" s="264"/>
      <c r="X150" s="244" t="s">
        <v>6600</v>
      </c>
      <c r="Y150" s="244"/>
      <c r="Z150" s="244"/>
      <c r="AA150" s="244"/>
      <c r="AB150" s="244"/>
      <c r="AC150" s="244" t="s">
        <v>6601</v>
      </c>
      <c r="AD150" s="244"/>
      <c r="AE150" s="244"/>
      <c r="AF150" s="244"/>
      <c r="AG150" s="244"/>
      <c r="AH150" s="201"/>
      <c r="AJ150" s="272" t="s">
        <v>6597</v>
      </c>
      <c r="AK150" s="272"/>
      <c r="AL150" s="272"/>
      <c r="AM150" s="273">
        <v>12000.0</v>
      </c>
      <c r="AN150" s="272"/>
      <c r="AO150" s="272"/>
      <c r="AP150" s="272" t="s">
        <v>5763</v>
      </c>
      <c r="AQ150" s="272"/>
      <c r="AR150" s="272"/>
      <c r="AS150" s="201"/>
      <c r="AT150" s="201"/>
      <c r="AU150" s="201"/>
      <c r="AW150" s="215" t="s">
        <v>6598</v>
      </c>
      <c r="AX150" s="216"/>
      <c r="AY150" s="216"/>
      <c r="AZ150" s="216"/>
      <c r="BA150" s="216"/>
      <c r="BB150" s="216" t="s">
        <v>6599</v>
      </c>
      <c r="BC150" s="216"/>
      <c r="BD150" s="216"/>
      <c r="BE150" s="216"/>
      <c r="BF150" s="216"/>
      <c r="BG150" s="216"/>
      <c r="BH150" s="216"/>
      <c r="BI150" s="216"/>
      <c r="BJ150" s="216"/>
      <c r="BK150" s="216"/>
      <c r="BL150" s="216"/>
      <c r="BM150" s="216"/>
      <c r="BN150" s="216"/>
      <c r="BO150" s="216"/>
      <c r="BP150" s="216"/>
      <c r="BQ150" s="216"/>
      <c r="BR150" s="216"/>
      <c r="BS150" s="216"/>
      <c r="BT150" s="216"/>
      <c r="BU150" s="216"/>
      <c r="BV150" s="216"/>
      <c r="BW150" s="217"/>
    </row>
    <row r="151" spans="8:8" ht="16.5">
      <c r="A151" s="263"/>
      <c r="B151" s="268"/>
      <c r="C151" s="268"/>
      <c r="D151" s="268"/>
      <c r="E151" s="268"/>
      <c r="F151" s="268"/>
      <c r="G151" s="269"/>
      <c r="H151" s="269"/>
      <c r="I151" s="269"/>
      <c r="J151" s="269"/>
      <c r="K151" s="269"/>
      <c r="L151" s="269"/>
      <c r="M151" s="269"/>
      <c r="N151" s="269"/>
      <c r="O151" s="269"/>
      <c r="P151" s="269"/>
      <c r="Q151" s="269"/>
      <c r="R151" s="269"/>
      <c r="S151" s="269"/>
      <c r="T151" s="269"/>
      <c r="U151" s="269"/>
      <c r="V151" s="269"/>
      <c r="W151" s="264"/>
      <c r="X151" s="244" t="s">
        <v>6605</v>
      </c>
      <c r="Y151" s="244"/>
      <c r="Z151" s="244"/>
      <c r="AA151" s="244"/>
      <c r="AB151" s="244"/>
      <c r="AC151" s="244" t="s">
        <v>6606</v>
      </c>
      <c r="AD151" s="244"/>
      <c r="AE151" s="244"/>
      <c r="AF151" s="244"/>
      <c r="AG151" s="244"/>
      <c r="AH151" s="201"/>
      <c r="AJ151" s="272" t="s">
        <v>6602</v>
      </c>
      <c r="AK151" s="272"/>
      <c r="AL151" s="272"/>
      <c r="AM151" s="273">
        <v>1000.0</v>
      </c>
      <c r="AN151" s="272"/>
      <c r="AO151" s="272"/>
      <c r="AP151" s="272" t="s">
        <v>5351</v>
      </c>
      <c r="AQ151" s="272"/>
      <c r="AR151" s="272"/>
      <c r="AS151" s="201"/>
      <c r="AT151" s="201"/>
      <c r="AU151" s="201"/>
      <c r="AW151" s="215" t="s">
        <v>6603</v>
      </c>
      <c r="AX151" s="216"/>
      <c r="AY151" s="216"/>
      <c r="AZ151" s="216"/>
      <c r="BA151" s="216"/>
      <c r="BB151" s="216" t="s">
        <v>6604</v>
      </c>
      <c r="BC151" s="216"/>
      <c r="BD151" s="216"/>
      <c r="BE151" s="216"/>
      <c r="BF151" s="216"/>
      <c r="BG151" s="216"/>
      <c r="BH151" s="216"/>
      <c r="BI151" s="216"/>
      <c r="BJ151" s="216"/>
      <c r="BK151" s="216"/>
      <c r="BL151" s="216"/>
      <c r="BM151" s="216"/>
      <c r="BN151" s="216"/>
      <c r="BO151" s="216"/>
      <c r="BP151" s="216"/>
      <c r="BQ151" s="216"/>
      <c r="BR151" s="216"/>
      <c r="BS151" s="216"/>
      <c r="BT151" s="216"/>
      <c r="BU151" s="216"/>
      <c r="BV151" s="216"/>
      <c r="BW151" s="217"/>
    </row>
    <row r="152" spans="8:8" ht="16.5">
      <c r="A152" s="263"/>
      <c r="B152" s="268"/>
      <c r="C152" s="268"/>
      <c r="D152" s="268"/>
      <c r="E152" s="268"/>
      <c r="F152" s="268"/>
      <c r="G152" s="269"/>
      <c r="H152" s="269"/>
      <c r="I152" s="269"/>
      <c r="J152" s="269"/>
      <c r="K152" s="269"/>
      <c r="L152" s="269"/>
      <c r="M152" s="269"/>
      <c r="N152" s="269"/>
      <c r="O152" s="269"/>
      <c r="P152" s="269"/>
      <c r="Q152" s="269"/>
      <c r="R152" s="269"/>
      <c r="S152" s="269"/>
      <c r="T152" s="269"/>
      <c r="U152" s="269"/>
      <c r="V152" s="269"/>
      <c r="W152" s="264"/>
      <c r="X152" s="244" t="s">
        <v>6609</v>
      </c>
      <c r="Y152" s="244"/>
      <c r="Z152" s="244"/>
      <c r="AA152" s="244"/>
      <c r="AB152" s="244"/>
      <c r="AC152" s="244" t="s">
        <v>6610</v>
      </c>
      <c r="AD152" s="244"/>
      <c r="AE152" s="244"/>
      <c r="AF152" s="244"/>
      <c r="AG152" s="244"/>
      <c r="AH152" s="201"/>
      <c r="AJ152" s="272" t="s">
        <v>5862</v>
      </c>
      <c r="AK152" s="272"/>
      <c r="AL152" s="272"/>
      <c r="AM152" s="273">
        <v>250.0</v>
      </c>
      <c r="AN152" s="272"/>
      <c r="AO152" s="272"/>
      <c r="AP152" s="272" t="s">
        <v>5861</v>
      </c>
      <c r="AQ152" s="272"/>
      <c r="AR152" s="272"/>
      <c r="AS152" s="201"/>
      <c r="AT152" s="201"/>
      <c r="AU152" s="201"/>
      <c r="AW152" s="215" t="s">
        <v>6607</v>
      </c>
      <c r="AX152" s="216"/>
      <c r="AY152" s="216"/>
      <c r="AZ152" s="216"/>
      <c r="BA152" s="216"/>
      <c r="BB152" s="216" t="s">
        <v>6608</v>
      </c>
      <c r="BC152" s="216"/>
      <c r="BD152" s="216"/>
      <c r="BE152" s="216"/>
      <c r="BF152" s="216"/>
      <c r="BG152" s="216"/>
      <c r="BH152" s="216"/>
      <c r="BI152" s="216"/>
      <c r="BJ152" s="216"/>
      <c r="BK152" s="216"/>
      <c r="BL152" s="216"/>
      <c r="BM152" s="216"/>
      <c r="BN152" s="216"/>
      <c r="BO152" s="216"/>
      <c r="BP152" s="216"/>
      <c r="BQ152" s="216"/>
      <c r="BR152" s="216"/>
      <c r="BS152" s="216"/>
      <c r="BT152" s="216"/>
      <c r="BU152" s="216"/>
      <c r="BV152" s="216"/>
      <c r="BW152" s="217"/>
    </row>
    <row r="153" spans="8:8" ht="16.5">
      <c r="A153" s="263"/>
      <c r="B153" s="268"/>
      <c r="C153" s="268"/>
      <c r="D153" s="268"/>
      <c r="E153" s="268"/>
      <c r="F153" s="268"/>
      <c r="G153" s="269"/>
      <c r="H153" s="269"/>
      <c r="I153" s="269"/>
      <c r="J153" s="269"/>
      <c r="K153" s="269"/>
      <c r="L153" s="269"/>
      <c r="M153" s="269"/>
      <c r="N153" s="269"/>
      <c r="O153" s="269"/>
      <c r="P153" s="269"/>
      <c r="Q153" s="269"/>
      <c r="R153" s="269"/>
      <c r="S153" s="269"/>
      <c r="T153" s="269"/>
      <c r="U153" s="269"/>
      <c r="V153" s="269"/>
      <c r="W153" s="264"/>
      <c r="X153" s="244" t="s">
        <v>6614</v>
      </c>
      <c r="Y153" s="244"/>
      <c r="Z153" s="244"/>
      <c r="AA153" s="244"/>
      <c r="AB153" s="244"/>
      <c r="AC153" s="244" t="s">
        <v>6615</v>
      </c>
      <c r="AD153" s="244"/>
      <c r="AE153" s="244"/>
      <c r="AF153" s="244"/>
      <c r="AG153" s="244"/>
      <c r="AH153" s="201"/>
      <c r="AJ153" s="272" t="s">
        <v>6611</v>
      </c>
      <c r="AK153" s="272"/>
      <c r="AL153" s="272"/>
      <c r="AM153" s="273">
        <v>600.0</v>
      </c>
      <c r="AN153" s="272"/>
      <c r="AO153" s="272"/>
      <c r="AP153" s="272" t="s">
        <v>6253</v>
      </c>
      <c r="AQ153" s="272"/>
      <c r="AR153" s="272"/>
      <c r="AS153" s="201"/>
      <c r="AT153" s="201"/>
      <c r="AU153" s="201"/>
      <c r="AW153" s="215" t="s">
        <v>6612</v>
      </c>
      <c r="AX153" s="216"/>
      <c r="AY153" s="216"/>
      <c r="AZ153" s="216"/>
      <c r="BA153" s="216"/>
      <c r="BB153" s="216" t="s">
        <v>6613</v>
      </c>
      <c r="BC153" s="216"/>
      <c r="BD153" s="216"/>
      <c r="BE153" s="216"/>
      <c r="BF153" s="216"/>
      <c r="BG153" s="216"/>
      <c r="BH153" s="216"/>
      <c r="BI153" s="216"/>
      <c r="BJ153" s="216"/>
      <c r="BK153" s="216"/>
      <c r="BL153" s="216"/>
      <c r="BM153" s="216"/>
      <c r="BN153" s="216"/>
      <c r="BO153" s="216"/>
      <c r="BP153" s="216"/>
      <c r="BQ153" s="216"/>
      <c r="BR153" s="216"/>
      <c r="BS153" s="216"/>
      <c r="BT153" s="216"/>
      <c r="BU153" s="216"/>
      <c r="BV153" s="216"/>
      <c r="BW153" s="217"/>
    </row>
    <row r="154" spans="8:8" ht="16.5">
      <c r="A154" s="263"/>
      <c r="B154" s="268"/>
      <c r="C154" s="268"/>
      <c r="D154" s="268"/>
      <c r="E154" s="268"/>
      <c r="F154" s="268"/>
      <c r="G154" s="269"/>
      <c r="H154" s="269"/>
      <c r="I154" s="269"/>
      <c r="J154" s="269"/>
      <c r="K154" s="269"/>
      <c r="L154" s="269"/>
      <c r="M154" s="269"/>
      <c r="N154" s="269"/>
      <c r="O154" s="269"/>
      <c r="P154" s="269"/>
      <c r="Q154" s="269"/>
      <c r="R154" s="269"/>
      <c r="S154" s="269"/>
      <c r="T154" s="269"/>
      <c r="U154" s="269"/>
      <c r="V154" s="269"/>
      <c r="W154" s="264"/>
      <c r="X154" s="244" t="s">
        <v>6618</v>
      </c>
      <c r="Y154" s="244"/>
      <c r="Z154" s="244"/>
      <c r="AA154" s="244"/>
      <c r="AB154" s="244"/>
      <c r="AC154" s="244" t="s">
        <v>6619</v>
      </c>
      <c r="AD154" s="244"/>
      <c r="AE154" s="244"/>
      <c r="AF154" s="244"/>
      <c r="AG154" s="244"/>
      <c r="AH154" s="201"/>
      <c r="AJ154" s="272" t="s">
        <v>5663</v>
      </c>
      <c r="AK154" s="272"/>
      <c r="AL154" s="272"/>
      <c r="AM154" s="273">
        <v>700.0</v>
      </c>
      <c r="AN154" s="272"/>
      <c r="AO154" s="272"/>
      <c r="AP154" s="272" t="s">
        <v>5662</v>
      </c>
      <c r="AQ154" s="272"/>
      <c r="AR154" s="272"/>
      <c r="AS154" s="201"/>
      <c r="AT154" s="201"/>
      <c r="AU154" s="201"/>
      <c r="AW154" s="215" t="s">
        <v>6616</v>
      </c>
      <c r="AX154" s="216"/>
      <c r="AY154" s="216"/>
      <c r="AZ154" s="216"/>
      <c r="BA154" s="216"/>
      <c r="BB154" s="216" t="s">
        <v>6617</v>
      </c>
      <c r="BC154" s="216"/>
      <c r="BD154" s="216"/>
      <c r="BE154" s="216"/>
      <c r="BF154" s="216"/>
      <c r="BG154" s="216"/>
      <c r="BH154" s="216"/>
      <c r="BI154" s="216"/>
      <c r="BJ154" s="216"/>
      <c r="BK154" s="216"/>
      <c r="BL154" s="216"/>
      <c r="BM154" s="216"/>
      <c r="BN154" s="216"/>
      <c r="BO154" s="216"/>
      <c r="BP154" s="216"/>
      <c r="BQ154" s="216"/>
      <c r="BR154" s="216"/>
      <c r="BS154" s="216"/>
      <c r="BT154" s="216"/>
      <c r="BU154" s="216"/>
      <c r="BV154" s="216"/>
      <c r="BW154" s="217"/>
    </row>
    <row r="155" spans="8:8" ht="16.5">
      <c r="A155" s="263"/>
      <c r="B155" s="268"/>
      <c r="C155" s="268"/>
      <c r="D155" s="268"/>
      <c r="E155" s="268"/>
      <c r="F155" s="268"/>
      <c r="G155" s="269"/>
      <c r="H155" s="269"/>
      <c r="I155" s="269"/>
      <c r="J155" s="269"/>
      <c r="K155" s="269"/>
      <c r="L155" s="269"/>
      <c r="M155" s="269"/>
      <c r="N155" s="269"/>
      <c r="O155" s="269"/>
      <c r="P155" s="269"/>
      <c r="Q155" s="269"/>
      <c r="R155" s="269"/>
      <c r="S155" s="269"/>
      <c r="T155" s="269"/>
      <c r="U155" s="269"/>
      <c r="V155" s="269"/>
      <c r="W155" s="264"/>
      <c r="X155" s="244" t="s">
        <v>6623</v>
      </c>
      <c r="Y155" s="244"/>
      <c r="Z155" s="244"/>
      <c r="AA155" s="244"/>
      <c r="AB155" s="244"/>
      <c r="AC155" s="244" t="s">
        <v>6624</v>
      </c>
      <c r="AD155" s="244"/>
      <c r="AE155" s="244"/>
      <c r="AF155" s="244"/>
      <c r="AG155" s="244"/>
      <c r="AH155" s="201"/>
      <c r="AJ155" s="270" t="s">
        <v>6620</v>
      </c>
      <c r="AK155" s="270"/>
      <c r="AL155" s="270"/>
      <c r="AM155" s="271">
        <v>2500.0</v>
      </c>
      <c r="AN155" s="270"/>
      <c r="AO155" s="270"/>
      <c r="AP155" s="270"/>
      <c r="AQ155" s="270"/>
      <c r="AR155" s="270"/>
      <c r="AS155" s="201"/>
      <c r="AT155" s="201"/>
      <c r="AU155" s="201"/>
      <c r="AW155" s="215" t="s">
        <v>6621</v>
      </c>
      <c r="AX155" s="216"/>
      <c r="AY155" s="216"/>
      <c r="AZ155" s="216"/>
      <c r="BA155" s="216"/>
      <c r="BB155" s="216" t="s">
        <v>6622</v>
      </c>
      <c r="BC155" s="216"/>
      <c r="BD155" s="216"/>
      <c r="BE155" s="216"/>
      <c r="BF155" s="216"/>
      <c r="BG155" s="216"/>
      <c r="BH155" s="216"/>
      <c r="BI155" s="216"/>
      <c r="BJ155" s="216"/>
      <c r="BK155" s="216"/>
      <c r="BL155" s="216"/>
      <c r="BM155" s="216"/>
      <c r="BN155" s="216"/>
      <c r="BO155" s="216"/>
      <c r="BP155" s="216"/>
      <c r="BQ155" s="216"/>
      <c r="BR155" s="216"/>
      <c r="BS155" s="216"/>
      <c r="BT155" s="216"/>
      <c r="BU155" s="216"/>
      <c r="BV155" s="216"/>
      <c r="BW155" s="217"/>
    </row>
    <row r="156" spans="8:8" ht="16.5">
      <c r="A156" s="263"/>
      <c r="B156" s="268"/>
      <c r="C156" s="268"/>
      <c r="D156" s="268"/>
      <c r="E156" s="268"/>
      <c r="F156" s="268"/>
      <c r="G156" s="269"/>
      <c r="H156" s="269"/>
      <c r="I156" s="269"/>
      <c r="J156" s="269"/>
      <c r="K156" s="269"/>
      <c r="L156" s="269"/>
      <c r="M156" s="269"/>
      <c r="N156" s="269"/>
      <c r="O156" s="269"/>
      <c r="P156" s="269"/>
      <c r="Q156" s="269"/>
      <c r="R156" s="269"/>
      <c r="S156" s="269"/>
      <c r="T156" s="269"/>
      <c r="U156" s="269"/>
      <c r="V156" s="269"/>
      <c r="W156" s="264"/>
      <c r="X156" s="244" t="s">
        <v>6628</v>
      </c>
      <c r="Y156" s="244"/>
      <c r="Z156" s="244"/>
      <c r="AA156" s="244"/>
      <c r="AB156" s="244"/>
      <c r="AC156" s="244" t="s">
        <v>6629</v>
      </c>
      <c r="AD156" s="244"/>
      <c r="AE156" s="244"/>
      <c r="AF156" s="244"/>
      <c r="AG156" s="244"/>
      <c r="AH156" s="201"/>
      <c r="AJ156" s="272" t="s">
        <v>6625</v>
      </c>
      <c r="AK156" s="272"/>
      <c r="AL156" s="272"/>
      <c r="AM156" s="273">
        <v>800.0</v>
      </c>
      <c r="AN156" s="272"/>
      <c r="AO156" s="272"/>
      <c r="AP156" s="272" t="s">
        <v>5626</v>
      </c>
      <c r="AQ156" s="272"/>
      <c r="AR156" s="272"/>
      <c r="AS156" s="201"/>
      <c r="AT156" s="201"/>
      <c r="AU156" s="201"/>
      <c r="AW156" s="215" t="s">
        <v>6626</v>
      </c>
      <c r="AX156" s="216"/>
      <c r="AY156" s="216"/>
      <c r="AZ156" s="216"/>
      <c r="BA156" s="216"/>
      <c r="BB156" s="216" t="s">
        <v>6627</v>
      </c>
      <c r="BC156" s="216"/>
      <c r="BD156" s="216"/>
      <c r="BE156" s="216"/>
      <c r="BF156" s="216"/>
      <c r="BG156" s="216"/>
      <c r="BH156" s="216"/>
      <c r="BI156" s="216"/>
      <c r="BJ156" s="216"/>
      <c r="BK156" s="216"/>
      <c r="BL156" s="216"/>
      <c r="BM156" s="216"/>
      <c r="BN156" s="216"/>
      <c r="BO156" s="216"/>
      <c r="BP156" s="216"/>
      <c r="BQ156" s="216"/>
      <c r="BR156" s="216"/>
      <c r="BS156" s="216"/>
      <c r="BT156" s="216"/>
      <c r="BU156" s="216"/>
      <c r="BV156" s="216"/>
      <c r="BW156" s="217"/>
    </row>
    <row r="157" spans="8:8" ht="16.5">
      <c r="A157" s="263"/>
      <c r="B157" s="268"/>
      <c r="C157" s="268"/>
      <c r="D157" s="268"/>
      <c r="E157" s="268"/>
      <c r="F157" s="268"/>
      <c r="G157" s="269"/>
      <c r="H157" s="269"/>
      <c r="I157" s="269"/>
      <c r="J157" s="269"/>
      <c r="K157" s="269"/>
      <c r="L157" s="269"/>
      <c r="M157" s="269"/>
      <c r="N157" s="269"/>
      <c r="O157" s="269"/>
      <c r="P157" s="269"/>
      <c r="Q157" s="269"/>
      <c r="R157" s="269"/>
      <c r="S157" s="269"/>
      <c r="T157" s="269"/>
      <c r="U157" s="269"/>
      <c r="V157" s="269"/>
      <c r="W157" s="264"/>
      <c r="X157" s="244" t="s">
        <v>6633</v>
      </c>
      <c r="Y157" s="244"/>
      <c r="Z157" s="244"/>
      <c r="AA157" s="244"/>
      <c r="AB157" s="244"/>
      <c r="AC157" s="244" t="s">
        <v>6634</v>
      </c>
      <c r="AD157" s="244"/>
      <c r="AE157" s="244"/>
      <c r="AF157" s="244"/>
      <c r="AG157" s="244"/>
      <c r="AH157" s="201"/>
      <c r="AJ157" s="272" t="s">
        <v>6630</v>
      </c>
      <c r="AK157" s="272"/>
      <c r="AL157" s="272"/>
      <c r="AM157" s="273">
        <v>1200.0</v>
      </c>
      <c r="AN157" s="272"/>
      <c r="AO157" s="272"/>
      <c r="AP157" s="272" t="s">
        <v>5912</v>
      </c>
      <c r="AQ157" s="272"/>
      <c r="AR157" s="272"/>
      <c r="AS157" s="201"/>
      <c r="AT157" s="201"/>
      <c r="AU157" s="201"/>
      <c r="AW157" s="215" t="s">
        <v>6631</v>
      </c>
      <c r="AX157" s="216"/>
      <c r="AY157" s="216"/>
      <c r="AZ157" s="216"/>
      <c r="BA157" s="216"/>
      <c r="BB157" s="216" t="s">
        <v>6632</v>
      </c>
      <c r="BC157" s="216"/>
      <c r="BD157" s="216"/>
      <c r="BE157" s="216"/>
      <c r="BF157" s="216"/>
      <c r="BG157" s="216"/>
      <c r="BH157" s="216"/>
      <c r="BI157" s="216"/>
      <c r="BJ157" s="216"/>
      <c r="BK157" s="216"/>
      <c r="BL157" s="216"/>
      <c r="BM157" s="216"/>
      <c r="BN157" s="216"/>
      <c r="BO157" s="216"/>
      <c r="BP157" s="216"/>
      <c r="BQ157" s="216"/>
      <c r="BR157" s="216"/>
      <c r="BS157" s="216"/>
      <c r="BT157" s="216"/>
      <c r="BU157" s="216"/>
      <c r="BV157" s="216"/>
      <c r="BW157" s="217"/>
      <c r="BX157" s="275"/>
    </row>
    <row r="158" spans="8:8" ht="16.5">
      <c r="A158" s="263"/>
      <c r="B158" s="268"/>
      <c r="C158" s="268"/>
      <c r="D158" s="268"/>
      <c r="E158" s="268"/>
      <c r="F158" s="268"/>
      <c r="G158" s="269"/>
      <c r="H158" s="269"/>
      <c r="I158" s="269"/>
      <c r="J158" s="269"/>
      <c r="K158" s="269"/>
      <c r="L158" s="269"/>
      <c r="M158" s="269"/>
      <c r="N158" s="269"/>
      <c r="O158" s="269"/>
      <c r="P158" s="269"/>
      <c r="Q158" s="269"/>
      <c r="R158" s="269"/>
      <c r="S158" s="269"/>
      <c r="T158" s="269"/>
      <c r="U158" s="269"/>
      <c r="V158" s="269"/>
      <c r="W158" s="264"/>
      <c r="X158" s="244" t="s">
        <v>6638</v>
      </c>
      <c r="Y158" s="244"/>
      <c r="Z158" s="244"/>
      <c r="AA158" s="244"/>
      <c r="AB158" s="244"/>
      <c r="AC158" s="244" t="s">
        <v>6639</v>
      </c>
      <c r="AD158" s="244"/>
      <c r="AE158" s="244"/>
      <c r="AF158" s="244"/>
      <c r="AG158" s="244"/>
      <c r="AH158" s="201"/>
      <c r="AJ158" s="272" t="s">
        <v>6635</v>
      </c>
      <c r="AK158" s="272"/>
      <c r="AL158" s="272"/>
      <c r="AM158" s="273">
        <v>800.0</v>
      </c>
      <c r="AN158" s="272"/>
      <c r="AO158" s="272"/>
      <c r="AP158" s="272" t="s">
        <v>5515</v>
      </c>
      <c r="AQ158" s="272"/>
      <c r="AR158" s="272"/>
      <c r="AS158" s="201"/>
      <c r="AT158" s="201"/>
      <c r="AU158" s="201"/>
      <c r="AW158" s="215" t="s">
        <v>6636</v>
      </c>
      <c r="AX158" s="216"/>
      <c r="AY158" s="216"/>
      <c r="AZ158" s="216"/>
      <c r="BA158" s="216"/>
      <c r="BB158" s="216" t="s">
        <v>6637</v>
      </c>
      <c r="BC158" s="216"/>
      <c r="BD158" s="216"/>
      <c r="BE158" s="216"/>
      <c r="BF158" s="216"/>
      <c r="BG158" s="216"/>
      <c r="BH158" s="216"/>
      <c r="BI158" s="216"/>
      <c r="BJ158" s="216"/>
      <c r="BK158" s="216"/>
      <c r="BL158" s="216"/>
      <c r="BM158" s="216"/>
      <c r="BN158" s="216"/>
      <c r="BO158" s="216"/>
      <c r="BP158" s="216"/>
      <c r="BQ158" s="216"/>
      <c r="BR158" s="216"/>
      <c r="BS158" s="216"/>
      <c r="BT158" s="216"/>
      <c r="BU158" s="216"/>
      <c r="BV158" s="216"/>
      <c r="BW158" s="217"/>
    </row>
    <row r="159" spans="8:8" ht="16.5">
      <c r="A159" s="263"/>
      <c r="B159" s="268"/>
      <c r="C159" s="268"/>
      <c r="D159" s="268"/>
      <c r="E159" s="268"/>
      <c r="F159" s="268"/>
      <c r="G159" s="269"/>
      <c r="H159" s="269"/>
      <c r="I159" s="269"/>
      <c r="J159" s="269"/>
      <c r="K159" s="269"/>
      <c r="L159" s="269"/>
      <c r="M159" s="269"/>
      <c r="N159" s="269"/>
      <c r="O159" s="269"/>
      <c r="P159" s="269"/>
      <c r="Q159" s="269"/>
      <c r="R159" s="269"/>
      <c r="S159" s="269"/>
      <c r="T159" s="269"/>
      <c r="U159" s="269"/>
      <c r="V159" s="269"/>
      <c r="W159" s="264"/>
      <c r="X159" s="244" t="s">
        <v>6644</v>
      </c>
      <c r="Y159" s="244"/>
      <c r="Z159" s="244"/>
      <c r="AA159" s="244"/>
      <c r="AB159" s="244"/>
      <c r="AC159" s="244" t="s">
        <v>6645</v>
      </c>
      <c r="AD159" s="244"/>
      <c r="AE159" s="244"/>
      <c r="AF159" s="244"/>
      <c r="AG159" s="244"/>
      <c r="AH159" s="201"/>
      <c r="AJ159" s="272" t="s">
        <v>6640</v>
      </c>
      <c r="AK159" s="272"/>
      <c r="AL159" s="272"/>
      <c r="AM159" s="273">
        <v>2000.0</v>
      </c>
      <c r="AN159" s="272"/>
      <c r="AO159" s="272"/>
      <c r="AP159" s="272" t="s">
        <v>6641</v>
      </c>
      <c r="AQ159" s="272"/>
      <c r="AR159" s="272"/>
      <c r="AS159" s="201"/>
      <c r="AT159" s="201"/>
      <c r="AU159" s="201"/>
      <c r="AW159" s="215" t="s">
        <v>6642</v>
      </c>
      <c r="AX159" s="216"/>
      <c r="AY159" s="216"/>
      <c r="AZ159" s="216"/>
      <c r="BA159" s="216"/>
      <c r="BB159" s="216" t="s">
        <v>6643</v>
      </c>
      <c r="BC159" s="216"/>
      <c r="BD159" s="216"/>
      <c r="BE159" s="216"/>
      <c r="BF159" s="216"/>
      <c r="BG159" s="216"/>
      <c r="BH159" s="216"/>
      <c r="BI159" s="216"/>
      <c r="BJ159" s="216"/>
      <c r="BK159" s="216"/>
      <c r="BL159" s="216"/>
      <c r="BM159" s="216"/>
      <c r="BN159" s="216"/>
      <c r="BO159" s="216"/>
      <c r="BP159" s="216"/>
      <c r="BQ159" s="216"/>
      <c r="BR159" s="216"/>
      <c r="BS159" s="216"/>
      <c r="BT159" s="216"/>
      <c r="BU159" s="216"/>
      <c r="BV159" s="216"/>
      <c r="BW159" s="217"/>
    </row>
    <row r="160" spans="8:8" ht="16.5">
      <c r="A160" s="263"/>
      <c r="B160" s="268"/>
      <c r="C160" s="268"/>
      <c r="D160" s="268"/>
      <c r="E160" s="268"/>
      <c r="F160" s="268"/>
      <c r="G160" s="269"/>
      <c r="H160" s="269"/>
      <c r="I160" s="269"/>
      <c r="J160" s="269"/>
      <c r="K160" s="269"/>
      <c r="L160" s="269"/>
      <c r="M160" s="269"/>
      <c r="N160" s="269"/>
      <c r="O160" s="269"/>
      <c r="P160" s="269"/>
      <c r="Q160" s="269"/>
      <c r="R160" s="269"/>
      <c r="S160" s="269"/>
      <c r="T160" s="269"/>
      <c r="U160" s="269"/>
      <c r="V160" s="269"/>
      <c r="W160" s="264"/>
      <c r="X160" s="244" t="s">
        <v>6648</v>
      </c>
      <c r="Y160" s="244"/>
      <c r="Z160" s="244"/>
      <c r="AA160" s="244"/>
      <c r="AB160" s="244"/>
      <c r="AC160" s="244" t="s">
        <v>6649</v>
      </c>
      <c r="AD160" s="244"/>
      <c r="AE160" s="244"/>
      <c r="AF160" s="244"/>
      <c r="AG160" s="244"/>
      <c r="AH160" s="201"/>
      <c r="AJ160" s="272" t="s">
        <v>6435</v>
      </c>
      <c r="AK160" s="272"/>
      <c r="AL160" s="272"/>
      <c r="AM160" s="273">
        <v>4000.0</v>
      </c>
      <c r="AN160" s="272"/>
      <c r="AO160" s="272"/>
      <c r="AP160" s="272" t="s">
        <v>6434</v>
      </c>
      <c r="AQ160" s="272"/>
      <c r="AR160" s="272"/>
      <c r="AS160" s="201"/>
      <c r="AT160" s="201"/>
      <c r="AU160" s="201"/>
      <c r="AW160" s="215" t="s">
        <v>6646</v>
      </c>
      <c r="AX160" s="216"/>
      <c r="AY160" s="216"/>
      <c r="AZ160" s="216"/>
      <c r="BA160" s="216"/>
      <c r="BB160" s="216" t="s">
        <v>6647</v>
      </c>
      <c r="BC160" s="216"/>
      <c r="BD160" s="216"/>
      <c r="BE160" s="216"/>
      <c r="BF160" s="216"/>
      <c r="BG160" s="216"/>
      <c r="BH160" s="216"/>
      <c r="BI160" s="216"/>
      <c r="BJ160" s="216"/>
      <c r="BK160" s="216"/>
      <c r="BL160" s="216"/>
      <c r="BM160" s="216"/>
      <c r="BN160" s="216"/>
      <c r="BO160" s="216"/>
      <c r="BP160" s="216"/>
      <c r="BQ160" s="216"/>
      <c r="BR160" s="216"/>
      <c r="BS160" s="216"/>
      <c r="BT160" s="216"/>
      <c r="BU160" s="216"/>
      <c r="BV160" s="216"/>
      <c r="BW160" s="217"/>
    </row>
    <row r="161" spans="8:8" ht="16.5">
      <c r="A161" s="263"/>
      <c r="B161" s="268"/>
      <c r="C161" s="268"/>
      <c r="D161" s="268"/>
      <c r="E161" s="268"/>
      <c r="F161" s="268"/>
      <c r="G161" s="269"/>
      <c r="H161" s="269"/>
      <c r="I161" s="269"/>
      <c r="J161" s="269"/>
      <c r="K161" s="269"/>
      <c r="L161" s="269"/>
      <c r="M161" s="269"/>
      <c r="N161" s="269"/>
      <c r="O161" s="269"/>
      <c r="P161" s="269"/>
      <c r="Q161" s="269"/>
      <c r="R161" s="269"/>
      <c r="S161" s="269"/>
      <c r="T161" s="269"/>
      <c r="U161" s="269"/>
      <c r="V161" s="269"/>
      <c r="W161" s="264"/>
      <c r="X161" s="244" t="s">
        <v>6654</v>
      </c>
      <c r="Y161" s="244"/>
      <c r="Z161" s="244"/>
      <c r="AA161" s="244"/>
      <c r="AB161" s="244"/>
      <c r="AC161" s="244" t="s">
        <v>6655</v>
      </c>
      <c r="AD161" s="244"/>
      <c r="AE161" s="244"/>
      <c r="AF161" s="244"/>
      <c r="AG161" s="244"/>
      <c r="AH161" s="201"/>
      <c r="AJ161" s="272" t="s">
        <v>5665</v>
      </c>
      <c r="AK161" s="272"/>
      <c r="AL161" s="272"/>
      <c r="AM161" s="273">
        <v>4200.0</v>
      </c>
      <c r="AN161" s="272"/>
      <c r="AO161" s="272"/>
      <c r="AP161" s="272" t="s">
        <v>5664</v>
      </c>
      <c r="AQ161" s="272"/>
      <c r="AR161" s="272"/>
      <c r="AS161" s="201"/>
      <c r="AT161" s="201"/>
      <c r="AU161" s="201"/>
      <c r="AW161" s="215" t="s">
        <v>6650</v>
      </c>
      <c r="AX161" s="216"/>
      <c r="AY161" s="216"/>
      <c r="AZ161" s="216"/>
      <c r="BA161" s="216"/>
      <c r="BB161" s="216" t="s">
        <v>6651</v>
      </c>
      <c r="BC161" s="216"/>
      <c r="BD161" s="216"/>
      <c r="BE161" s="216"/>
      <c r="BF161" s="216"/>
      <c r="BG161" s="216"/>
      <c r="BH161" s="216"/>
      <c r="BI161" s="216"/>
      <c r="BJ161" s="216"/>
      <c r="BK161" s="216"/>
      <c r="BL161" s="216"/>
      <c r="BM161" s="216"/>
      <c r="BN161" s="216"/>
      <c r="BO161" s="216"/>
      <c r="BP161" s="216"/>
      <c r="BQ161" s="216"/>
      <c r="BR161" s="216"/>
      <c r="BS161" s="216"/>
      <c r="BT161" s="216"/>
      <c r="BU161" s="216"/>
      <c r="BV161" s="216"/>
      <c r="BW161" s="217"/>
    </row>
    <row r="162" spans="8:8" ht="16.4" customHeight="1">
      <c r="A162" s="263"/>
      <c r="B162" s="268"/>
      <c r="C162" s="268"/>
      <c r="D162" s="268"/>
      <c r="E162" s="268"/>
      <c r="F162" s="268"/>
      <c r="G162" s="269" t="s">
        <v>6652</v>
      </c>
      <c r="H162" s="269"/>
      <c r="I162" s="269"/>
      <c r="J162" s="269" t="str">
        <f>_xlfn.DISPIMG("ID_A2FC3BF26CFA4372A0B27F1C17439743",1)</f>
        <v>=DISPIMG("ID_A2FC3BF26CFA4372A0B27F1C17439743",1)</v>
      </c>
      <c r="K162" s="269"/>
      <c r="L162" s="269"/>
      <c r="M162" s="269" t="s">
        <v>6653</v>
      </c>
      <c r="N162" s="269"/>
      <c r="O162" s="269"/>
      <c r="P162" s="269" t="str">
        <f>_xlfn.DISPIMG("ID_1DA6C0772BD14A4F943F241843ED7007",1)</f>
        <v>=DISPIMG("ID_1DA6C0772BD14A4F943F241843ED7007",1)</v>
      </c>
      <c r="Q162" s="269"/>
      <c r="R162" s="269" t="s">
        <v>6505</v>
      </c>
      <c r="S162" s="269"/>
      <c r="T162" s="269"/>
      <c r="U162" s="269" t="str">
        <f>_xlfn.DISPIMG("ID_6055DFCFB84F44E2B93C88277D735930",1)</f>
        <v>=DISPIMG("ID_6055DFCFB84F44E2B93C88277D735930",1)</v>
      </c>
      <c r="V162" s="269"/>
      <c r="W162" s="264"/>
      <c r="X162" s="244" t="s">
        <v>6659</v>
      </c>
      <c r="Y162" s="244"/>
      <c r="Z162" s="244"/>
      <c r="AA162" s="244"/>
      <c r="AB162" s="244"/>
      <c r="AC162" s="244" t="s">
        <v>6660</v>
      </c>
      <c r="AD162" s="244"/>
      <c r="AE162" s="244"/>
      <c r="AF162" s="244"/>
      <c r="AG162" s="244"/>
      <c r="AH162" s="201"/>
      <c r="AJ162" s="272" t="s">
        <v>6656</v>
      </c>
      <c r="AK162" s="272"/>
      <c r="AL162" s="272"/>
      <c r="AM162" s="273">
        <v>6000.0</v>
      </c>
      <c r="AN162" s="272"/>
      <c r="AO162" s="272"/>
      <c r="AP162" s="272" t="s">
        <v>6457</v>
      </c>
      <c r="AQ162" s="272"/>
      <c r="AR162" s="272"/>
      <c r="AS162" s="201"/>
      <c r="AT162" s="201"/>
      <c r="AU162" s="201"/>
      <c r="AW162" s="215" t="s">
        <v>6657</v>
      </c>
      <c r="AX162" s="216"/>
      <c r="AY162" s="216"/>
      <c r="AZ162" s="216"/>
      <c r="BA162" s="216"/>
      <c r="BB162" s="216" t="s">
        <v>6658</v>
      </c>
      <c r="BC162" s="216"/>
      <c r="BD162" s="216"/>
      <c r="BE162" s="216"/>
      <c r="BF162" s="216"/>
      <c r="BG162" s="216"/>
      <c r="BH162" s="216"/>
      <c r="BI162" s="216"/>
      <c r="BJ162" s="216"/>
      <c r="BK162" s="216"/>
      <c r="BL162" s="216"/>
      <c r="BM162" s="216"/>
      <c r="BN162" s="216"/>
      <c r="BO162" s="216"/>
      <c r="BP162" s="216"/>
      <c r="BQ162" s="216"/>
      <c r="BR162" s="216"/>
      <c r="BS162" s="216"/>
      <c r="BT162" s="216"/>
      <c r="BU162" s="216"/>
      <c r="BV162" s="216"/>
      <c r="BW162" s="217"/>
    </row>
    <row r="163" spans="8:8" ht="16.5">
      <c r="A163" s="263"/>
      <c r="B163" s="268"/>
      <c r="C163" s="268"/>
      <c r="D163" s="268"/>
      <c r="E163" s="268"/>
      <c r="F163" s="268"/>
      <c r="G163" s="269"/>
      <c r="H163" s="269"/>
      <c r="I163" s="269"/>
      <c r="J163" s="269"/>
      <c r="K163" s="269"/>
      <c r="L163" s="269"/>
      <c r="M163" s="269"/>
      <c r="N163" s="269"/>
      <c r="O163" s="269"/>
      <c r="P163" s="269"/>
      <c r="Q163" s="269"/>
      <c r="R163" s="269"/>
      <c r="S163" s="269"/>
      <c r="T163" s="269"/>
      <c r="U163" s="269"/>
      <c r="V163" s="269"/>
      <c r="W163" s="264"/>
      <c r="X163" s="244" t="s">
        <v>6665</v>
      </c>
      <c r="Y163" s="244"/>
      <c r="Z163" s="244"/>
      <c r="AA163" s="244"/>
      <c r="AB163" s="244"/>
      <c r="AC163" s="244" t="s">
        <v>6666</v>
      </c>
      <c r="AD163" s="244"/>
      <c r="AE163" s="244"/>
      <c r="AF163" s="244"/>
      <c r="AG163" s="244"/>
      <c r="AH163" s="201"/>
      <c r="AJ163" s="272" t="s">
        <v>6661</v>
      </c>
      <c r="AK163" s="272"/>
      <c r="AL163" s="272"/>
      <c r="AM163" s="273">
        <v>1500.0</v>
      </c>
      <c r="AN163" s="272"/>
      <c r="AO163" s="272"/>
      <c r="AP163" s="272" t="s">
        <v>6662</v>
      </c>
      <c r="AQ163" s="272"/>
      <c r="AR163" s="272"/>
      <c r="AS163" s="201"/>
      <c r="AT163" s="201"/>
      <c r="AU163" s="201"/>
      <c r="AW163" s="215" t="s">
        <v>6663</v>
      </c>
      <c r="AX163" s="216"/>
      <c r="AY163" s="216"/>
      <c r="AZ163" s="216"/>
      <c r="BA163" s="216"/>
      <c r="BB163" s="216" t="s">
        <v>6664</v>
      </c>
      <c r="BC163" s="216"/>
      <c r="BD163" s="216"/>
      <c r="BE163" s="216"/>
      <c r="BF163" s="216"/>
      <c r="BG163" s="216"/>
      <c r="BH163" s="216"/>
      <c r="BI163" s="216"/>
      <c r="BJ163" s="216"/>
      <c r="BK163" s="216"/>
      <c r="BL163" s="216"/>
      <c r="BM163" s="216"/>
      <c r="BN163" s="216"/>
      <c r="BO163" s="216"/>
      <c r="BP163" s="216"/>
      <c r="BQ163" s="216"/>
      <c r="BR163" s="216"/>
      <c r="BS163" s="216"/>
      <c r="BT163" s="216"/>
      <c r="BU163" s="216"/>
      <c r="BV163" s="216"/>
      <c r="BW163" s="217"/>
    </row>
    <row r="164" spans="8:8" ht="16.5">
      <c r="A164" s="263"/>
      <c r="B164" s="268"/>
      <c r="C164" s="268"/>
      <c r="D164" s="268"/>
      <c r="E164" s="268"/>
      <c r="F164" s="268"/>
      <c r="G164" s="269"/>
      <c r="H164" s="269"/>
      <c r="I164" s="269"/>
      <c r="J164" s="269"/>
      <c r="K164" s="269"/>
      <c r="L164" s="269"/>
      <c r="M164" s="269"/>
      <c r="N164" s="269"/>
      <c r="O164" s="269"/>
      <c r="P164" s="269"/>
      <c r="Q164" s="269"/>
      <c r="R164" s="269"/>
      <c r="S164" s="269"/>
      <c r="T164" s="269"/>
      <c r="U164" s="269"/>
      <c r="V164" s="269"/>
      <c r="W164" s="264"/>
      <c r="X164" s="244" t="s">
        <v>6670</v>
      </c>
      <c r="Y164" s="244"/>
      <c r="Z164" s="244"/>
      <c r="AA164" s="244"/>
      <c r="AB164" s="244"/>
      <c r="AC164" s="244" t="s">
        <v>6671</v>
      </c>
      <c r="AD164" s="244"/>
      <c r="AE164" s="244"/>
      <c r="AF164" s="244"/>
      <c r="AG164" s="244"/>
      <c r="AH164" s="201"/>
      <c r="AJ164" s="270" t="s">
        <v>6667</v>
      </c>
      <c r="AK164" s="270"/>
      <c r="AL164" s="270"/>
      <c r="AM164" s="271">
        <v>1000.0</v>
      </c>
      <c r="AN164" s="270"/>
      <c r="AO164" s="270"/>
      <c r="AP164" s="270" t="s">
        <v>5832</v>
      </c>
      <c r="AQ164" s="270"/>
      <c r="AR164" s="270"/>
      <c r="AS164" s="201"/>
      <c r="AT164" s="201"/>
      <c r="AU164" s="201"/>
      <c r="AW164" s="215" t="s">
        <v>6668</v>
      </c>
      <c r="AX164" s="216"/>
      <c r="AY164" s="216"/>
      <c r="AZ164" s="216"/>
      <c r="BA164" s="216"/>
      <c r="BB164" s="216" t="s">
        <v>6669</v>
      </c>
      <c r="BC164" s="216"/>
      <c r="BD164" s="216"/>
      <c r="BE164" s="216"/>
      <c r="BF164" s="216"/>
      <c r="BG164" s="216"/>
      <c r="BH164" s="216"/>
      <c r="BI164" s="216"/>
      <c r="BJ164" s="216"/>
      <c r="BK164" s="216"/>
      <c r="BL164" s="216"/>
      <c r="BM164" s="216"/>
      <c r="BN164" s="216"/>
      <c r="BO164" s="216"/>
      <c r="BP164" s="216"/>
      <c r="BQ164" s="216"/>
      <c r="BR164" s="216"/>
      <c r="BS164" s="216"/>
      <c r="BT164" s="216"/>
      <c r="BU164" s="216"/>
      <c r="BV164" s="216"/>
      <c r="BW164" s="217"/>
    </row>
    <row r="165" spans="8:8" ht="16.5">
      <c r="A165" s="263"/>
      <c r="B165" s="268"/>
      <c r="C165" s="268"/>
      <c r="D165" s="268"/>
      <c r="E165" s="268"/>
      <c r="F165" s="268"/>
      <c r="G165" s="269"/>
      <c r="H165" s="269"/>
      <c r="I165" s="269"/>
      <c r="J165" s="269"/>
      <c r="K165" s="269"/>
      <c r="L165" s="269"/>
      <c r="M165" s="269"/>
      <c r="N165" s="269"/>
      <c r="O165" s="269"/>
      <c r="P165" s="269"/>
      <c r="Q165" s="269"/>
      <c r="R165" s="269"/>
      <c r="S165" s="269"/>
      <c r="T165" s="269"/>
      <c r="U165" s="269"/>
      <c r="V165" s="269"/>
      <c r="W165" s="264"/>
      <c r="X165" s="244" t="s">
        <v>6675</v>
      </c>
      <c r="Y165" s="244"/>
      <c r="Z165" s="244"/>
      <c r="AA165" s="244"/>
      <c r="AB165" s="244"/>
      <c r="AC165" s="244" t="s">
        <v>6676</v>
      </c>
      <c r="AD165" s="244"/>
      <c r="AE165" s="244"/>
      <c r="AF165" s="244"/>
      <c r="AG165" s="244"/>
      <c r="AH165" s="201"/>
      <c r="AJ165" s="272" t="s">
        <v>6672</v>
      </c>
      <c r="AK165" s="272"/>
      <c r="AL165" s="272"/>
      <c r="AM165" s="273">
        <v>300.0</v>
      </c>
      <c r="AN165" s="272"/>
      <c r="AO165" s="272"/>
      <c r="AP165" s="272" t="s">
        <v>5615</v>
      </c>
      <c r="AQ165" s="272"/>
      <c r="AR165" s="272"/>
      <c r="AS165" s="201"/>
      <c r="AT165" s="201"/>
      <c r="AU165" s="201"/>
      <c r="AW165" s="215" t="s">
        <v>6673</v>
      </c>
      <c r="AX165" s="216"/>
      <c r="AY165" s="216"/>
      <c r="AZ165" s="216"/>
      <c r="BA165" s="216"/>
      <c r="BB165" s="216" t="s">
        <v>6674</v>
      </c>
      <c r="BC165" s="216"/>
      <c r="BD165" s="216"/>
      <c r="BE165" s="216"/>
      <c r="BF165" s="216"/>
      <c r="BG165" s="216"/>
      <c r="BH165" s="216"/>
      <c r="BI165" s="216"/>
      <c r="BJ165" s="216"/>
      <c r="BK165" s="216"/>
      <c r="BL165" s="216"/>
      <c r="BM165" s="216"/>
      <c r="BN165" s="216"/>
      <c r="BO165" s="216"/>
      <c r="BP165" s="216"/>
      <c r="BQ165" s="216"/>
      <c r="BR165" s="216"/>
      <c r="BS165" s="216"/>
      <c r="BT165" s="216"/>
      <c r="BU165" s="216"/>
      <c r="BV165" s="216"/>
      <c r="BW165" s="217"/>
    </row>
    <row r="166" spans="8:8" ht="16.5">
      <c r="A166" s="263"/>
      <c r="B166" s="268"/>
      <c r="C166" s="268"/>
      <c r="D166" s="268"/>
      <c r="E166" s="268"/>
      <c r="F166" s="268"/>
      <c r="G166" s="269"/>
      <c r="H166" s="269"/>
      <c r="I166" s="269"/>
      <c r="J166" s="269"/>
      <c r="K166" s="269"/>
      <c r="L166" s="269"/>
      <c r="M166" s="269"/>
      <c r="N166" s="269"/>
      <c r="O166" s="269"/>
      <c r="P166" s="269"/>
      <c r="Q166" s="269"/>
      <c r="R166" s="269"/>
      <c r="S166" s="269"/>
      <c r="T166" s="269"/>
      <c r="U166" s="269"/>
      <c r="V166" s="269"/>
      <c r="W166" s="264"/>
      <c r="X166" s="244" t="s">
        <v>6679</v>
      </c>
      <c r="Y166" s="244"/>
      <c r="Z166" s="244"/>
      <c r="AA166" s="244"/>
      <c r="AB166" s="244"/>
      <c r="AC166" s="244" t="s">
        <v>6680</v>
      </c>
      <c r="AD166" s="244"/>
      <c r="AE166" s="244"/>
      <c r="AF166" s="244"/>
      <c r="AG166" s="244"/>
      <c r="AH166" s="201"/>
      <c r="AJ166" s="272" t="s">
        <v>5467</v>
      </c>
      <c r="AK166" s="272"/>
      <c r="AL166" s="272"/>
      <c r="AM166" s="273">
        <v>500.0</v>
      </c>
      <c r="AN166" s="272"/>
      <c r="AO166" s="272"/>
      <c r="AP166" s="272" t="s">
        <v>5466</v>
      </c>
      <c r="AQ166" s="272"/>
      <c r="AR166" s="272"/>
      <c r="AS166" s="201"/>
      <c r="AT166" s="201"/>
      <c r="AU166" s="201"/>
      <c r="AW166" s="215" t="s">
        <v>6677</v>
      </c>
      <c r="AX166" s="216"/>
      <c r="AY166" s="216"/>
      <c r="AZ166" s="216"/>
      <c r="BA166" s="216"/>
      <c r="BB166" s="216" t="s">
        <v>6678</v>
      </c>
      <c r="BC166" s="216"/>
      <c r="BD166" s="216"/>
      <c r="BE166" s="216"/>
      <c r="BF166" s="216"/>
      <c r="BG166" s="216"/>
      <c r="BH166" s="216"/>
      <c r="BI166" s="216"/>
      <c r="BJ166" s="216"/>
      <c r="BK166" s="216"/>
      <c r="BL166" s="216"/>
      <c r="BM166" s="216"/>
      <c r="BN166" s="216"/>
      <c r="BO166" s="216"/>
      <c r="BP166" s="216"/>
      <c r="BQ166" s="216"/>
      <c r="BR166" s="216"/>
      <c r="BS166" s="216"/>
      <c r="BT166" s="216"/>
      <c r="BU166" s="216"/>
      <c r="BV166" s="216"/>
      <c r="BW166" s="217"/>
    </row>
    <row r="167" spans="8:8" ht="16.5">
      <c r="A167" s="263"/>
      <c r="B167" s="268"/>
      <c r="C167" s="268"/>
      <c r="D167" s="268"/>
      <c r="E167" s="268"/>
      <c r="F167" s="268"/>
      <c r="G167" s="269"/>
      <c r="H167" s="269"/>
      <c r="I167" s="269"/>
      <c r="J167" s="269"/>
      <c r="K167" s="269"/>
      <c r="L167" s="269"/>
      <c r="M167" s="269"/>
      <c r="N167" s="269"/>
      <c r="O167" s="269"/>
      <c r="P167" s="269"/>
      <c r="Q167" s="269"/>
      <c r="R167" s="269"/>
      <c r="S167" s="269"/>
      <c r="T167" s="269"/>
      <c r="U167" s="269"/>
      <c r="V167" s="269"/>
      <c r="W167" s="264"/>
      <c r="X167" s="244" t="s">
        <v>6684</v>
      </c>
      <c r="Y167" s="244"/>
      <c r="Z167" s="244"/>
      <c r="AA167" s="244"/>
      <c r="AB167" s="244"/>
      <c r="AC167" s="244" t="s">
        <v>6685</v>
      </c>
      <c r="AD167" s="244"/>
      <c r="AE167" s="244"/>
      <c r="AF167" s="244"/>
      <c r="AG167" s="244"/>
      <c r="AH167" s="201"/>
      <c r="AJ167" s="272" t="s">
        <v>6681</v>
      </c>
      <c r="AK167" s="272"/>
      <c r="AL167" s="272"/>
      <c r="AM167" s="273">
        <v>600.0</v>
      </c>
      <c r="AN167" s="272"/>
      <c r="AO167" s="272"/>
      <c r="AP167" s="272" t="s">
        <v>5674</v>
      </c>
      <c r="AQ167" s="272"/>
      <c r="AR167" s="272"/>
      <c r="AS167" s="201"/>
      <c r="AT167" s="201"/>
      <c r="AU167" s="201"/>
      <c r="AW167" s="215" t="s">
        <v>6682</v>
      </c>
      <c r="AX167" s="216"/>
      <c r="AY167" s="216"/>
      <c r="AZ167" s="216"/>
      <c r="BA167" s="216"/>
      <c r="BB167" s="216" t="s">
        <v>6683</v>
      </c>
      <c r="BC167" s="216"/>
      <c r="BD167" s="216"/>
      <c r="BE167" s="216"/>
      <c r="BF167" s="216"/>
      <c r="BG167" s="216"/>
      <c r="BH167" s="216"/>
      <c r="BI167" s="216"/>
      <c r="BJ167" s="216"/>
      <c r="BK167" s="216"/>
      <c r="BL167" s="216"/>
      <c r="BM167" s="216"/>
      <c r="BN167" s="216"/>
      <c r="BO167" s="216"/>
      <c r="BP167" s="216"/>
      <c r="BQ167" s="216"/>
      <c r="BR167" s="216"/>
      <c r="BS167" s="216"/>
      <c r="BT167" s="216"/>
      <c r="BU167" s="216"/>
      <c r="BV167" s="216"/>
      <c r="BW167" s="217"/>
    </row>
    <row r="168" spans="8:8" ht="16.5">
      <c r="A168" s="263"/>
      <c r="B168" s="268"/>
      <c r="C168" s="268"/>
      <c r="D168" s="268"/>
      <c r="E168" s="268"/>
      <c r="F168" s="268"/>
      <c r="G168" s="269"/>
      <c r="H168" s="269"/>
      <c r="I168" s="269"/>
      <c r="J168" s="269"/>
      <c r="K168" s="269"/>
      <c r="L168" s="269"/>
      <c r="M168" s="269"/>
      <c r="N168" s="269"/>
      <c r="O168" s="269"/>
      <c r="P168" s="269"/>
      <c r="Q168" s="269"/>
      <c r="R168" s="269"/>
      <c r="S168" s="269"/>
      <c r="T168" s="269"/>
      <c r="U168" s="269"/>
      <c r="V168" s="269"/>
      <c r="W168" s="264"/>
      <c r="X168" s="244" t="s">
        <v>6690</v>
      </c>
      <c r="Y168" s="244"/>
      <c r="Z168" s="244"/>
      <c r="AA168" s="244"/>
      <c r="AB168" s="244"/>
      <c r="AC168" s="244" t="s">
        <v>6691</v>
      </c>
      <c r="AD168" s="244"/>
      <c r="AE168" s="244"/>
      <c r="AF168" s="244"/>
      <c r="AG168" s="244"/>
      <c r="AH168" s="201"/>
      <c r="AJ168" s="272" t="s">
        <v>6686</v>
      </c>
      <c r="AK168" s="272"/>
      <c r="AL168" s="272"/>
      <c r="AM168" s="273">
        <v>900.0</v>
      </c>
      <c r="AN168" s="272"/>
      <c r="AO168" s="272"/>
      <c r="AP168" s="272" t="s">
        <v>6687</v>
      </c>
      <c r="AQ168" s="272"/>
      <c r="AR168" s="272"/>
      <c r="AS168" s="201"/>
      <c r="AT168" s="201"/>
      <c r="AU168" s="201"/>
      <c r="AW168" s="215" t="s">
        <v>6688</v>
      </c>
      <c r="AX168" s="216"/>
      <c r="AY168" s="216"/>
      <c r="AZ168" s="216"/>
      <c r="BA168" s="216"/>
      <c r="BB168" s="216" t="s">
        <v>6689</v>
      </c>
      <c r="BC168" s="216"/>
      <c r="BD168" s="216"/>
      <c r="BE168" s="216"/>
      <c r="BF168" s="216"/>
      <c r="BG168" s="216"/>
      <c r="BH168" s="216"/>
      <c r="BI168" s="216"/>
      <c r="BJ168" s="216"/>
      <c r="BK168" s="216"/>
      <c r="BL168" s="216"/>
      <c r="BM168" s="216"/>
      <c r="BN168" s="216"/>
      <c r="BO168" s="216"/>
      <c r="BP168" s="216"/>
      <c r="BQ168" s="216"/>
      <c r="BR168" s="216"/>
      <c r="BS168" s="216"/>
      <c r="BT168" s="216"/>
      <c r="BU168" s="216"/>
      <c r="BV168" s="216"/>
      <c r="BW168" s="217"/>
    </row>
    <row r="169" spans="8:8" ht="16.5">
      <c r="A169" s="263"/>
      <c r="B169" s="268"/>
      <c r="C169" s="268"/>
      <c r="D169" s="268"/>
      <c r="E169" s="268"/>
      <c r="F169" s="268"/>
      <c r="G169" s="269"/>
      <c r="H169" s="269"/>
      <c r="I169" s="269"/>
      <c r="J169" s="269"/>
      <c r="K169" s="269"/>
      <c r="L169" s="269"/>
      <c r="M169" s="269"/>
      <c r="N169" s="269"/>
      <c r="O169" s="269"/>
      <c r="P169" s="269"/>
      <c r="Q169" s="269"/>
      <c r="R169" s="269"/>
      <c r="S169" s="269"/>
      <c r="T169" s="269"/>
      <c r="U169" s="269"/>
      <c r="V169" s="269"/>
      <c r="W169" s="264"/>
      <c r="X169" s="244" t="s">
        <v>6695</v>
      </c>
      <c r="Y169" s="244"/>
      <c r="Z169" s="244"/>
      <c r="AA169" s="244"/>
      <c r="AB169" s="244"/>
      <c r="AC169" s="244" t="s">
        <v>6696</v>
      </c>
      <c r="AD169" s="244"/>
      <c r="AE169" s="244"/>
      <c r="AF169" s="244"/>
      <c r="AG169" s="244"/>
      <c r="AH169" s="201"/>
      <c r="AJ169" s="272" t="s">
        <v>6692</v>
      </c>
      <c r="AK169" s="272"/>
      <c r="AL169" s="272"/>
      <c r="AM169" s="273">
        <v>800.0</v>
      </c>
      <c r="AN169" s="272"/>
      <c r="AO169" s="272"/>
      <c r="AP169" s="272" t="s">
        <v>5420</v>
      </c>
      <c r="AQ169" s="272"/>
      <c r="AR169" s="272"/>
      <c r="AS169" s="201"/>
      <c r="AT169" s="201"/>
      <c r="AU169" s="201"/>
      <c r="AW169" s="215" t="s">
        <v>6693</v>
      </c>
      <c r="AX169" s="216"/>
      <c r="AY169" s="216"/>
      <c r="AZ169" s="216"/>
      <c r="BA169" s="216"/>
      <c r="BB169" s="216" t="s">
        <v>6694</v>
      </c>
      <c r="BC169" s="216"/>
      <c r="BD169" s="216"/>
      <c r="BE169" s="216"/>
      <c r="BF169" s="216"/>
      <c r="BG169" s="216"/>
      <c r="BH169" s="216"/>
      <c r="BI169" s="216"/>
      <c r="BJ169" s="216"/>
      <c r="BK169" s="216"/>
      <c r="BL169" s="216"/>
      <c r="BM169" s="216"/>
      <c r="BN169" s="216"/>
      <c r="BO169" s="216"/>
      <c r="BP169" s="216"/>
      <c r="BQ169" s="216"/>
      <c r="BR169" s="216"/>
      <c r="BS169" s="216"/>
      <c r="BT169" s="216"/>
      <c r="BU169" s="216"/>
      <c r="BV169" s="216"/>
      <c r="BW169" s="217"/>
    </row>
    <row r="170" spans="8:8" ht="16.5">
      <c r="A170" s="263"/>
      <c r="B170" s="268"/>
      <c r="C170" s="268"/>
      <c r="D170" s="268"/>
      <c r="E170" s="268"/>
      <c r="F170" s="268"/>
      <c r="G170" s="269"/>
      <c r="H170" s="269"/>
      <c r="I170" s="269"/>
      <c r="J170" s="269"/>
      <c r="K170" s="269"/>
      <c r="L170" s="269"/>
      <c r="M170" s="269"/>
      <c r="N170" s="269"/>
      <c r="O170" s="269"/>
      <c r="P170" s="269"/>
      <c r="Q170" s="269"/>
      <c r="R170" s="269"/>
      <c r="S170" s="269"/>
      <c r="T170" s="269"/>
      <c r="U170" s="269"/>
      <c r="V170" s="269"/>
      <c r="W170" s="264"/>
      <c r="X170" s="244" t="s">
        <v>6700</v>
      </c>
      <c r="Y170" s="244"/>
      <c r="Z170" s="244"/>
      <c r="AA170" s="244"/>
      <c r="AB170" s="244"/>
      <c r="AC170" s="244" t="s">
        <v>6701</v>
      </c>
      <c r="AD170" s="244"/>
      <c r="AE170" s="244"/>
      <c r="AF170" s="244"/>
      <c r="AG170" s="244"/>
      <c r="AH170" s="201"/>
      <c r="AJ170" s="272" t="s">
        <v>6697</v>
      </c>
      <c r="AK170" s="272"/>
      <c r="AL170" s="272"/>
      <c r="AM170" s="273">
        <v>1500.0</v>
      </c>
      <c r="AN170" s="272"/>
      <c r="AO170" s="272"/>
      <c r="AP170" s="272" t="s">
        <v>5430</v>
      </c>
      <c r="AQ170" s="272"/>
      <c r="AR170" s="272"/>
      <c r="AS170" s="201"/>
      <c r="AT170" s="201"/>
      <c r="AU170" s="201"/>
      <c r="AW170" s="215" t="s">
        <v>6698</v>
      </c>
      <c r="AX170" s="216"/>
      <c r="AY170" s="216"/>
      <c r="AZ170" s="216"/>
      <c r="BA170" s="216"/>
      <c r="BB170" s="216" t="s">
        <v>6699</v>
      </c>
      <c r="BC170" s="216"/>
      <c r="BD170" s="216"/>
      <c r="BE170" s="216"/>
      <c r="BF170" s="216"/>
      <c r="BG170" s="216"/>
      <c r="BH170" s="216"/>
      <c r="BI170" s="216"/>
      <c r="BJ170" s="216"/>
      <c r="BK170" s="216"/>
      <c r="BL170" s="216"/>
      <c r="BM170" s="216"/>
      <c r="BN170" s="216"/>
      <c r="BO170" s="216"/>
      <c r="BP170" s="216"/>
      <c r="BQ170" s="216"/>
      <c r="BR170" s="216"/>
      <c r="BS170" s="216"/>
      <c r="BT170" s="216"/>
      <c r="BU170" s="216"/>
      <c r="BV170" s="216"/>
      <c r="BW170" s="217"/>
    </row>
    <row r="171" spans="8:8" ht="16.5">
      <c r="A171" s="263"/>
      <c r="B171" s="268"/>
      <c r="C171" s="268"/>
      <c r="D171" s="268"/>
      <c r="E171" s="268"/>
      <c r="F171" s="268"/>
      <c r="G171" s="269"/>
      <c r="H171" s="269"/>
      <c r="I171" s="269"/>
      <c r="J171" s="269"/>
      <c r="K171" s="269"/>
      <c r="L171" s="269"/>
      <c r="M171" s="269"/>
      <c r="N171" s="269"/>
      <c r="O171" s="269"/>
      <c r="P171" s="269"/>
      <c r="Q171" s="269"/>
      <c r="R171" s="269"/>
      <c r="S171" s="269"/>
      <c r="T171" s="269"/>
      <c r="U171" s="269"/>
      <c r="V171" s="269"/>
      <c r="W171" s="264"/>
      <c r="X171" s="244" t="s">
        <v>6705</v>
      </c>
      <c r="Y171" s="244"/>
      <c r="Z171" s="244"/>
      <c r="AA171" s="244"/>
      <c r="AB171" s="244"/>
      <c r="AC171" s="244" t="s">
        <v>6706</v>
      </c>
      <c r="AD171" s="244"/>
      <c r="AE171" s="244"/>
      <c r="AF171" s="244"/>
      <c r="AG171" s="244"/>
      <c r="AH171" s="201"/>
      <c r="AJ171" s="270" t="s">
        <v>6702</v>
      </c>
      <c r="AK171" s="270"/>
      <c r="AL171" s="270"/>
      <c r="AM171" s="271">
        <v>3000.0</v>
      </c>
      <c r="AN171" s="270"/>
      <c r="AO171" s="270"/>
      <c r="AP171" s="270"/>
      <c r="AQ171" s="270"/>
      <c r="AR171" s="270"/>
      <c r="AS171" s="201"/>
      <c r="AT171" s="201"/>
      <c r="AU171" s="201"/>
      <c r="AW171" s="215" t="s">
        <v>6703</v>
      </c>
      <c r="AX171" s="216"/>
      <c r="AY171" s="216"/>
      <c r="AZ171" s="216"/>
      <c r="BA171" s="216"/>
      <c r="BB171" s="216" t="s">
        <v>6704</v>
      </c>
      <c r="BC171" s="216"/>
      <c r="BD171" s="216"/>
      <c r="BE171" s="216"/>
      <c r="BF171" s="216"/>
      <c r="BG171" s="216"/>
      <c r="BH171" s="216"/>
      <c r="BI171" s="216"/>
      <c r="BJ171" s="216"/>
      <c r="BK171" s="216"/>
      <c r="BL171" s="216"/>
      <c r="BM171" s="216"/>
      <c r="BN171" s="216"/>
      <c r="BO171" s="216"/>
      <c r="BP171" s="216"/>
      <c r="BQ171" s="216"/>
      <c r="BR171" s="216"/>
      <c r="BS171" s="216"/>
      <c r="BT171" s="216"/>
      <c r="BU171" s="216"/>
      <c r="BV171" s="216"/>
      <c r="BW171" s="217"/>
    </row>
    <row r="172" spans="8:8" ht="16.5">
      <c r="A172" s="263"/>
      <c r="B172" s="268"/>
      <c r="C172" s="268"/>
      <c r="D172" s="268"/>
      <c r="E172" s="268"/>
      <c r="F172" s="268"/>
      <c r="G172" s="269"/>
      <c r="H172" s="269"/>
      <c r="I172" s="269"/>
      <c r="J172" s="269"/>
      <c r="K172" s="269"/>
      <c r="L172" s="269"/>
      <c r="M172" s="269"/>
      <c r="N172" s="269"/>
      <c r="O172" s="269"/>
      <c r="P172" s="269"/>
      <c r="Q172" s="269"/>
      <c r="R172" s="269"/>
      <c r="S172" s="269"/>
      <c r="T172" s="269"/>
      <c r="U172" s="269"/>
      <c r="V172" s="269"/>
      <c r="W172" s="264"/>
      <c r="X172" s="244" t="s">
        <v>6709</v>
      </c>
      <c r="Y172" s="244"/>
      <c r="Z172" s="244"/>
      <c r="AA172" s="244"/>
      <c r="AB172" s="244"/>
      <c r="AC172" s="244" t="s">
        <v>6710</v>
      </c>
      <c r="AD172" s="244"/>
      <c r="AE172" s="244"/>
      <c r="AF172" s="244"/>
      <c r="AG172" s="244"/>
      <c r="AH172" s="201"/>
      <c r="AJ172" s="272" t="s">
        <v>5924</v>
      </c>
      <c r="AK172" s="272"/>
      <c r="AL172" s="272"/>
      <c r="AM172" s="273">
        <v>6000.0</v>
      </c>
      <c r="AN172" s="272"/>
      <c r="AO172" s="272"/>
      <c r="AP172" s="272" t="s">
        <v>5923</v>
      </c>
      <c r="AQ172" s="272"/>
      <c r="AR172" s="272"/>
      <c r="AS172" s="201"/>
      <c r="AT172" s="201"/>
      <c r="AU172" s="201"/>
      <c r="AW172" s="215" t="s">
        <v>6707</v>
      </c>
      <c r="AX172" s="216"/>
      <c r="AY172" s="216"/>
      <c r="AZ172" s="216"/>
      <c r="BA172" s="216"/>
      <c r="BB172" s="216" t="s">
        <v>6708</v>
      </c>
      <c r="BC172" s="216"/>
      <c r="BD172" s="216"/>
      <c r="BE172" s="216"/>
      <c r="BF172" s="216"/>
      <c r="BG172" s="216"/>
      <c r="BH172" s="216"/>
      <c r="BI172" s="216"/>
      <c r="BJ172" s="216"/>
      <c r="BK172" s="216"/>
      <c r="BL172" s="216"/>
      <c r="BM172" s="216"/>
      <c r="BN172" s="216"/>
      <c r="BO172" s="216"/>
      <c r="BP172" s="216"/>
      <c r="BQ172" s="216"/>
      <c r="BR172" s="216"/>
      <c r="BS172" s="216"/>
      <c r="BT172" s="216"/>
      <c r="BU172" s="216"/>
      <c r="BV172" s="216"/>
      <c r="BW172" s="217"/>
    </row>
    <row r="173" spans="8:8" ht="16.5">
      <c r="A173" s="263"/>
      <c r="B173" s="268"/>
      <c r="C173" s="268"/>
      <c r="D173" s="268"/>
      <c r="E173" s="268"/>
      <c r="F173" s="268"/>
      <c r="G173" s="269"/>
      <c r="H173" s="269"/>
      <c r="I173" s="269"/>
      <c r="J173" s="269"/>
      <c r="K173" s="269"/>
      <c r="L173" s="269"/>
      <c r="M173" s="269"/>
      <c r="N173" s="269"/>
      <c r="O173" s="269"/>
      <c r="P173" s="269"/>
      <c r="Q173" s="269"/>
      <c r="R173" s="269"/>
      <c r="S173" s="269"/>
      <c r="T173" s="269"/>
      <c r="U173" s="269"/>
      <c r="V173" s="269"/>
      <c r="W173" s="264"/>
      <c r="X173" s="244" t="s">
        <v>6713</v>
      </c>
      <c r="Y173" s="244"/>
      <c r="Z173" s="244"/>
      <c r="AA173" s="244"/>
      <c r="AB173" s="244"/>
      <c r="AC173" s="244" t="s">
        <v>6714</v>
      </c>
      <c r="AD173" s="244"/>
      <c r="AE173" s="244"/>
      <c r="AF173" s="244"/>
      <c r="AG173" s="244"/>
      <c r="AH173" s="201"/>
      <c r="AJ173" s="272" t="s">
        <v>5889</v>
      </c>
      <c r="AK173" s="272"/>
      <c r="AL173" s="272"/>
      <c r="AM173" s="273">
        <v>5500.0</v>
      </c>
      <c r="AN173" s="272"/>
      <c r="AO173" s="272"/>
      <c r="AP173" s="272" t="s">
        <v>5888</v>
      </c>
      <c r="AQ173" s="272"/>
      <c r="AR173" s="272"/>
      <c r="AS173" s="201"/>
      <c r="AT173" s="201"/>
      <c r="AU173" s="201"/>
      <c r="AW173" s="215" t="s">
        <v>6711</v>
      </c>
      <c r="AX173" s="216"/>
      <c r="AY173" s="216"/>
      <c r="AZ173" s="216"/>
      <c r="BA173" s="216"/>
      <c r="BB173" s="216" t="s">
        <v>6712</v>
      </c>
      <c r="BC173" s="216"/>
      <c r="BD173" s="216"/>
      <c r="BE173" s="216"/>
      <c r="BF173" s="216"/>
      <c r="BG173" s="216"/>
      <c r="BH173" s="216"/>
      <c r="BI173" s="216"/>
      <c r="BJ173" s="216"/>
      <c r="BK173" s="216"/>
      <c r="BL173" s="216"/>
      <c r="BM173" s="216"/>
      <c r="BN173" s="216"/>
      <c r="BO173" s="216"/>
      <c r="BP173" s="216"/>
      <c r="BQ173" s="216"/>
      <c r="BR173" s="216"/>
      <c r="BS173" s="216"/>
      <c r="BT173" s="216"/>
      <c r="BU173" s="216"/>
      <c r="BV173" s="216"/>
      <c r="BW173" s="217"/>
    </row>
    <row r="174" spans="8:8" ht="16.5">
      <c r="A174" s="263"/>
      <c r="B174" s="268"/>
      <c r="C174" s="268"/>
      <c r="D174" s="268"/>
      <c r="E174" s="268"/>
      <c r="F174" s="268"/>
      <c r="G174" s="269"/>
      <c r="H174" s="269"/>
      <c r="I174" s="269"/>
      <c r="J174" s="269"/>
      <c r="K174" s="269"/>
      <c r="L174" s="269"/>
      <c r="M174" s="269"/>
      <c r="N174" s="269"/>
      <c r="O174" s="269"/>
      <c r="P174" s="269"/>
      <c r="Q174" s="269"/>
      <c r="R174" s="269"/>
      <c r="S174" s="269"/>
      <c r="T174" s="269"/>
      <c r="U174" s="269"/>
      <c r="V174" s="269"/>
      <c r="W174" s="264"/>
      <c r="X174" s="244" t="s">
        <v>6719</v>
      </c>
      <c r="Y174" s="244"/>
      <c r="Z174" s="244"/>
      <c r="AA174" s="244"/>
      <c r="AB174" s="244"/>
      <c r="AC174" s="244" t="s">
        <v>6720</v>
      </c>
      <c r="AD174" s="244"/>
      <c r="AE174" s="244"/>
      <c r="AF174" s="244"/>
      <c r="AG174" s="244"/>
      <c r="AH174" s="201"/>
      <c r="AJ174" s="272" t="s">
        <v>6715</v>
      </c>
      <c r="AK174" s="272"/>
      <c r="AL174" s="272"/>
      <c r="AM174" s="273">
        <v>18000.0</v>
      </c>
      <c r="AN174" s="272"/>
      <c r="AO174" s="272"/>
      <c r="AP174" s="272" t="s">
        <v>5900</v>
      </c>
      <c r="AQ174" s="272"/>
      <c r="AR174" s="272"/>
      <c r="AS174" s="201"/>
      <c r="AT174" s="201"/>
      <c r="AU174" s="201"/>
      <c r="AW174" s="215" t="s">
        <v>6716</v>
      </c>
      <c r="AX174" s="216"/>
      <c r="AY174" s="216"/>
      <c r="AZ174" s="216"/>
      <c r="BA174" s="216"/>
      <c r="BB174" s="216" t="s">
        <v>6717</v>
      </c>
      <c r="BC174" s="216"/>
      <c r="BD174" s="216"/>
      <c r="BE174" s="216"/>
      <c r="BF174" s="216"/>
      <c r="BG174" s="216"/>
      <c r="BH174" s="216"/>
      <c r="BI174" s="216"/>
      <c r="BJ174" s="216"/>
      <c r="BK174" s="216"/>
      <c r="BL174" s="216"/>
      <c r="BM174" s="216"/>
      <c r="BN174" s="216"/>
      <c r="BO174" s="216"/>
      <c r="BP174" s="216"/>
      <c r="BQ174" s="216"/>
      <c r="BR174" s="216"/>
      <c r="BS174" s="216"/>
      <c r="BT174" s="216"/>
      <c r="BU174" s="216"/>
      <c r="BV174" s="216"/>
      <c r="BW174" s="217"/>
    </row>
    <row r="175" spans="8:8" ht="22.35">
      <c r="A175" s="263"/>
      <c r="B175" s="266" t="s">
        <v>6718</v>
      </c>
      <c r="C175" s="267"/>
      <c r="D175" s="267"/>
      <c r="E175" s="267"/>
      <c r="F175" s="267"/>
      <c r="G175" s="267"/>
      <c r="H175" s="267"/>
      <c r="I175" s="267"/>
      <c r="J175" s="267"/>
      <c r="K175" s="267"/>
      <c r="L175" s="267"/>
      <c r="M175" s="267"/>
      <c r="N175" s="267"/>
      <c r="O175" s="267"/>
      <c r="P175" s="267"/>
      <c r="Q175" s="267"/>
      <c r="R175" s="267"/>
      <c r="S175" s="267"/>
      <c r="T175" s="267"/>
      <c r="U175" s="267"/>
      <c r="V175" s="267"/>
      <c r="W175" s="264"/>
      <c r="X175" s="244" t="s">
        <v>6724</v>
      </c>
      <c r="Y175" s="244"/>
      <c r="Z175" s="244"/>
      <c r="AA175" s="244"/>
      <c r="AB175" s="244"/>
      <c r="AC175" s="244" t="s">
        <v>6725</v>
      </c>
      <c r="AD175" s="244"/>
      <c r="AE175" s="244"/>
      <c r="AF175" s="244"/>
      <c r="AG175" s="244"/>
      <c r="AH175" s="201"/>
      <c r="AJ175" s="272" t="s">
        <v>5444</v>
      </c>
      <c r="AK175" s="272"/>
      <c r="AL175" s="272"/>
      <c r="AM175" s="273">
        <v>18000.0</v>
      </c>
      <c r="AN175" s="272"/>
      <c r="AO175" s="272"/>
      <c r="AP175" s="272" t="s">
        <v>5422</v>
      </c>
      <c r="AQ175" s="272"/>
      <c r="AR175" s="272"/>
      <c r="AS175" s="201"/>
      <c r="AT175" s="201"/>
      <c r="AU175" s="201"/>
      <c r="AW175" s="215" t="s">
        <v>6721</v>
      </c>
      <c r="AX175" s="216"/>
      <c r="AY175" s="216"/>
      <c r="AZ175" s="216"/>
      <c r="BA175" s="216"/>
      <c r="BB175" s="216" t="s">
        <v>6722</v>
      </c>
      <c r="BC175" s="216"/>
      <c r="BD175" s="216"/>
      <c r="BE175" s="216"/>
      <c r="BF175" s="216"/>
      <c r="BG175" s="216"/>
      <c r="BH175" s="216"/>
      <c r="BI175" s="216"/>
      <c r="BJ175" s="216"/>
      <c r="BK175" s="216"/>
      <c r="BL175" s="216"/>
      <c r="BM175" s="216"/>
      <c r="BN175" s="216"/>
      <c r="BO175" s="216"/>
      <c r="BP175" s="216"/>
      <c r="BQ175" s="216"/>
      <c r="BR175" s="216"/>
      <c r="BS175" s="216"/>
      <c r="BT175" s="216"/>
      <c r="BU175" s="216"/>
      <c r="BV175" s="216"/>
      <c r="BW175" s="217"/>
    </row>
    <row r="176" spans="8:8">
      <c r="A176" s="263"/>
      <c r="B176" s="276" t="s">
        <v>2582</v>
      </c>
      <c r="C176" s="276" t="s">
        <v>2583</v>
      </c>
      <c r="D176" s="268" t="s">
        <v>6502</v>
      </c>
      <c r="E176" s="268"/>
      <c r="F176" s="268"/>
      <c r="G176" s="269" t="s">
        <v>6723</v>
      </c>
      <c r="H176" s="269"/>
      <c r="I176" s="269"/>
      <c r="J176" s="269"/>
      <c r="K176" s="269"/>
      <c r="L176" s="277" t="s">
        <v>10155</v>
      </c>
      <c r="M176" s="277"/>
      <c r="N176" s="277"/>
      <c r="O176" s="277"/>
      <c r="P176" s="277"/>
      <c r="Q176" s="277"/>
      <c r="R176" s="277"/>
      <c r="S176" s="277"/>
      <c r="T176" s="277"/>
      <c r="U176" s="277"/>
      <c r="V176" s="277"/>
      <c r="W176" s="264"/>
      <c r="X176" s="244" t="s">
        <v>6729</v>
      </c>
      <c r="Y176" s="244"/>
      <c r="Z176" s="244"/>
      <c r="AA176" s="244"/>
      <c r="AB176" s="244"/>
      <c r="AC176" s="244" t="s">
        <v>6730</v>
      </c>
      <c r="AD176" s="244"/>
      <c r="AE176" s="244"/>
      <c r="AF176" s="244"/>
      <c r="AG176" s="244"/>
      <c r="AH176" s="201"/>
      <c r="AJ176" s="272" t="s">
        <v>6726</v>
      </c>
      <c r="AK176" s="272"/>
      <c r="AL176" s="272"/>
      <c r="AM176" s="272" t="s">
        <v>5443</v>
      </c>
      <c r="AN176" s="272"/>
      <c r="AO176" s="272"/>
      <c r="AP176" s="272"/>
      <c r="AQ176" s="272"/>
      <c r="AR176" s="272"/>
      <c r="AS176" s="201"/>
      <c r="AT176" s="201"/>
      <c r="AU176" s="201"/>
      <c r="AW176" s="215" t="s">
        <v>6727</v>
      </c>
      <c r="AX176" s="216"/>
      <c r="AY176" s="216"/>
      <c r="AZ176" s="216"/>
      <c r="BA176" s="216"/>
      <c r="BB176" s="216" t="s">
        <v>6728</v>
      </c>
      <c r="BC176" s="216"/>
      <c r="BD176" s="216"/>
      <c r="BE176" s="216"/>
      <c r="BF176" s="216"/>
      <c r="BG176" s="216"/>
      <c r="BH176" s="216"/>
      <c r="BI176" s="216"/>
      <c r="BJ176" s="216"/>
      <c r="BK176" s="216"/>
      <c r="BL176" s="216"/>
      <c r="BM176" s="216"/>
      <c r="BN176" s="216"/>
      <c r="BO176" s="216"/>
      <c r="BP176" s="216"/>
      <c r="BQ176" s="216"/>
      <c r="BR176" s="216"/>
      <c r="BS176" s="216"/>
      <c r="BT176" s="216"/>
      <c r="BU176" s="216"/>
      <c r="BV176" s="216"/>
      <c r="BW176" s="217"/>
    </row>
    <row r="177" spans="8:8" ht="16.5">
      <c r="A177" s="263"/>
      <c r="B177" s="276"/>
      <c r="C177" s="276"/>
      <c r="D177" s="268"/>
      <c r="E177" s="268"/>
      <c r="F177" s="268"/>
      <c r="G177" s="269"/>
      <c r="H177" s="269"/>
      <c r="I177" s="269"/>
      <c r="J177" s="269"/>
      <c r="K177" s="269"/>
      <c r="L177" s="277"/>
      <c r="M177" s="277"/>
      <c r="N177" s="277"/>
      <c r="O177" s="277"/>
      <c r="P177" s="277"/>
      <c r="Q177" s="277"/>
      <c r="R177" s="277"/>
      <c r="S177" s="277"/>
      <c r="T177" s="277"/>
      <c r="U177" s="277"/>
      <c r="V177" s="277"/>
      <c r="W177" s="264"/>
      <c r="X177" s="244" t="s">
        <v>6732</v>
      </c>
      <c r="Y177" s="244"/>
      <c r="Z177" s="244"/>
      <c r="AA177" s="244"/>
      <c r="AB177" s="244"/>
      <c r="AC177" s="244" t="s">
        <v>6733</v>
      </c>
      <c r="AD177" s="244"/>
      <c r="AE177" s="244"/>
      <c r="AF177" s="244"/>
      <c r="AG177" s="244"/>
      <c r="AH177" s="201"/>
      <c r="AJ177" s="272" t="s">
        <v>5362</v>
      </c>
      <c r="AK177" s="272"/>
      <c r="AL177" s="272"/>
      <c r="AM177" s="273">
        <v>30000.0</v>
      </c>
      <c r="AN177" s="272"/>
      <c r="AO177" s="272"/>
      <c r="AP177" s="272" t="s">
        <v>6111</v>
      </c>
      <c r="AQ177" s="272"/>
      <c r="AR177" s="272"/>
      <c r="AS177" s="201"/>
      <c r="AT177" s="201"/>
      <c r="AU177" s="201"/>
      <c r="AW177" s="215" t="s">
        <v>6731</v>
      </c>
      <c r="AX177" s="216"/>
      <c r="AY177" s="216"/>
      <c r="AZ177" s="216"/>
      <c r="BA177" s="216"/>
      <c r="BB177" s="216" t="s">
        <v>4965</v>
      </c>
      <c r="BC177" s="216"/>
      <c r="BD177" s="216"/>
      <c r="BE177" s="216"/>
      <c r="BF177" s="216"/>
      <c r="BG177" s="216"/>
      <c r="BH177" s="216"/>
      <c r="BI177" s="216"/>
      <c r="BJ177" s="216"/>
      <c r="BK177" s="216"/>
      <c r="BL177" s="216"/>
      <c r="BM177" s="216"/>
      <c r="BN177" s="216"/>
      <c r="BO177" s="216"/>
      <c r="BP177" s="216"/>
      <c r="BQ177" s="216"/>
      <c r="BR177" s="216"/>
      <c r="BS177" s="216"/>
      <c r="BT177" s="216"/>
      <c r="BU177" s="216"/>
      <c r="BV177" s="216"/>
      <c r="BW177" s="217"/>
    </row>
    <row r="178" spans="8:8" ht="16.5">
      <c r="A178" s="263"/>
      <c r="B178" s="276"/>
      <c r="C178" s="276"/>
      <c r="D178" s="268"/>
      <c r="E178" s="268"/>
      <c r="F178" s="268"/>
      <c r="G178" s="269"/>
      <c r="H178" s="269"/>
      <c r="I178" s="269"/>
      <c r="J178" s="269"/>
      <c r="K178" s="269"/>
      <c r="L178" s="277"/>
      <c r="M178" s="277"/>
      <c r="N178" s="277"/>
      <c r="O178" s="277"/>
      <c r="P178" s="277"/>
      <c r="Q178" s="277"/>
      <c r="R178" s="277"/>
      <c r="S178" s="277"/>
      <c r="T178" s="277"/>
      <c r="U178" s="277"/>
      <c r="V178" s="277"/>
      <c r="W178" s="264"/>
      <c r="X178" s="244" t="s">
        <v>6738</v>
      </c>
      <c r="Y178" s="244"/>
      <c r="Z178" s="244"/>
      <c r="AA178" s="244"/>
      <c r="AB178" s="244"/>
      <c r="AC178" s="244" t="s">
        <v>6739</v>
      </c>
      <c r="AD178" s="244"/>
      <c r="AE178" s="244"/>
      <c r="AF178" s="244"/>
      <c r="AG178" s="244"/>
      <c r="AH178" s="201"/>
      <c r="AI178" s="201"/>
      <c r="AJ178" s="272" t="s">
        <v>6734</v>
      </c>
      <c r="AK178" s="272"/>
      <c r="AL178" s="272"/>
      <c r="AM178" s="273">
        <v>3500.0</v>
      </c>
      <c r="AN178" s="272"/>
      <c r="AO178" s="272"/>
      <c r="AP178" s="272" t="s">
        <v>6735</v>
      </c>
      <c r="AQ178" s="272"/>
      <c r="AR178" s="272"/>
      <c r="AS178" s="201"/>
      <c r="AT178" s="201"/>
      <c r="AU178" s="201"/>
      <c r="AW178" s="215" t="s">
        <v>6736</v>
      </c>
      <c r="AX178" s="216"/>
      <c r="AY178" s="216"/>
      <c r="AZ178" s="216"/>
      <c r="BA178" s="216"/>
      <c r="BB178" s="216" t="s">
        <v>6737</v>
      </c>
      <c r="BC178" s="216"/>
      <c r="BD178" s="216"/>
      <c r="BE178" s="216"/>
      <c r="BF178" s="216"/>
      <c r="BG178" s="216"/>
      <c r="BH178" s="216"/>
      <c r="BI178" s="216"/>
      <c r="BJ178" s="216"/>
      <c r="BK178" s="216"/>
      <c r="BL178" s="216"/>
      <c r="BM178" s="216"/>
      <c r="BN178" s="216"/>
      <c r="BO178" s="216"/>
      <c r="BP178" s="216"/>
      <c r="BQ178" s="216"/>
      <c r="BR178" s="216"/>
      <c r="BS178" s="216"/>
      <c r="BT178" s="216"/>
      <c r="BU178" s="216"/>
      <c r="BV178" s="216"/>
      <c r="BW178" s="217"/>
    </row>
    <row r="179" spans="8:8" ht="16.5">
      <c r="A179" s="263"/>
      <c r="B179" s="276"/>
      <c r="C179" s="276"/>
      <c r="D179" s="268"/>
      <c r="E179" s="268"/>
      <c r="F179" s="268"/>
      <c r="G179" s="269"/>
      <c r="H179" s="269"/>
      <c r="I179" s="269"/>
      <c r="J179" s="269"/>
      <c r="K179" s="269"/>
      <c r="L179" s="277"/>
      <c r="M179" s="277"/>
      <c r="N179" s="277"/>
      <c r="O179" s="277"/>
      <c r="P179" s="277"/>
      <c r="Q179" s="277"/>
      <c r="R179" s="277"/>
      <c r="S179" s="277"/>
      <c r="T179" s="277"/>
      <c r="U179" s="277"/>
      <c r="V179" s="277"/>
      <c r="W179" s="264"/>
      <c r="X179" s="244" t="s">
        <v>6742</v>
      </c>
      <c r="Y179" s="244"/>
      <c r="Z179" s="244"/>
      <c r="AA179" s="244"/>
      <c r="AB179" s="244"/>
      <c r="AC179" s="244" t="s">
        <v>6743</v>
      </c>
      <c r="AD179" s="244"/>
      <c r="AE179" s="244"/>
      <c r="AF179" s="244"/>
      <c r="AG179" s="244"/>
      <c r="AH179" s="201"/>
      <c r="AI179" s="201"/>
      <c r="AJ179" s="270" t="s">
        <v>6740</v>
      </c>
      <c r="AK179" s="270"/>
      <c r="AL179" s="270"/>
      <c r="AM179" s="271">
        <v>11000.0</v>
      </c>
      <c r="AN179" s="270"/>
      <c r="AO179" s="270"/>
      <c r="AP179" s="270" t="s">
        <v>5560</v>
      </c>
      <c r="AQ179" s="270"/>
      <c r="AR179" s="270"/>
      <c r="AS179" s="201"/>
      <c r="AT179" s="201"/>
      <c r="AU179" s="201"/>
      <c r="AW179" s="215" t="s">
        <v>6741</v>
      </c>
      <c r="AX179" s="216"/>
      <c r="AY179" s="216"/>
      <c r="AZ179" s="216"/>
      <c r="BA179" s="216"/>
      <c r="BB179" s="216" t="s">
        <v>5058</v>
      </c>
      <c r="BC179" s="216"/>
      <c r="BD179" s="216"/>
      <c r="BE179" s="216"/>
      <c r="BF179" s="216"/>
      <c r="BG179" s="216"/>
      <c r="BH179" s="216"/>
      <c r="BI179" s="216"/>
      <c r="BJ179" s="216"/>
      <c r="BK179" s="216"/>
      <c r="BL179" s="216"/>
      <c r="BM179" s="216"/>
      <c r="BN179" s="216"/>
      <c r="BO179" s="216"/>
      <c r="BP179" s="216"/>
      <c r="BQ179" s="216"/>
      <c r="BR179" s="216"/>
      <c r="BS179" s="216"/>
      <c r="BT179" s="216"/>
      <c r="BU179" s="216"/>
      <c r="BV179" s="216"/>
      <c r="BW179" s="217"/>
    </row>
    <row r="180" spans="8:8" ht="16.5">
      <c r="A180" s="263"/>
      <c r="B180" s="276"/>
      <c r="C180" s="276"/>
      <c r="D180" s="268"/>
      <c r="E180" s="268"/>
      <c r="F180" s="268"/>
      <c r="G180" s="269"/>
      <c r="H180" s="269"/>
      <c r="I180" s="269"/>
      <c r="J180" s="269"/>
      <c r="K180" s="269"/>
      <c r="L180" s="277"/>
      <c r="M180" s="277"/>
      <c r="N180" s="277"/>
      <c r="O180" s="277"/>
      <c r="P180" s="277"/>
      <c r="Q180" s="277"/>
      <c r="R180" s="277"/>
      <c r="S180" s="277"/>
      <c r="T180" s="277"/>
      <c r="U180" s="277"/>
      <c r="V180" s="277"/>
      <c r="W180" s="264"/>
      <c r="X180" s="244" t="s">
        <v>6747</v>
      </c>
      <c r="Y180" s="244"/>
      <c r="Z180" s="244"/>
      <c r="AA180" s="244"/>
      <c r="AB180" s="244"/>
      <c r="AC180" s="244" t="s">
        <v>6748</v>
      </c>
      <c r="AD180" s="244"/>
      <c r="AE180" s="244"/>
      <c r="AF180" s="244"/>
      <c r="AG180" s="244"/>
      <c r="AH180" s="201"/>
      <c r="AI180" s="201"/>
      <c r="AJ180" s="272" t="s">
        <v>6744</v>
      </c>
      <c r="AK180" s="272"/>
      <c r="AL180" s="272"/>
      <c r="AM180" s="273">
        <v>12000.0</v>
      </c>
      <c r="AN180" s="272"/>
      <c r="AO180" s="272"/>
      <c r="AP180" s="272" t="s">
        <v>5959</v>
      </c>
      <c r="AQ180" s="272"/>
      <c r="AR180" s="272"/>
      <c r="AS180" s="201"/>
      <c r="AT180" s="201"/>
      <c r="AU180" s="201"/>
      <c r="AW180" s="215" t="s">
        <v>6745</v>
      </c>
      <c r="AX180" s="216"/>
      <c r="AY180" s="216"/>
      <c r="AZ180" s="216"/>
      <c r="BA180" s="216"/>
      <c r="BB180" s="216" t="s">
        <v>6746</v>
      </c>
      <c r="BC180" s="216"/>
      <c r="BD180" s="216"/>
      <c r="BE180" s="216"/>
      <c r="BF180" s="216"/>
      <c r="BG180" s="216"/>
      <c r="BH180" s="216"/>
      <c r="BI180" s="216"/>
      <c r="BJ180" s="216"/>
      <c r="BK180" s="216"/>
      <c r="BL180" s="216"/>
      <c r="BM180" s="216"/>
      <c r="BN180" s="216"/>
      <c r="BO180" s="216"/>
      <c r="BP180" s="216"/>
      <c r="BQ180" s="216"/>
      <c r="BR180" s="216"/>
      <c r="BS180" s="216"/>
      <c r="BT180" s="216"/>
      <c r="BU180" s="216"/>
      <c r="BV180" s="216"/>
      <c r="BW180" s="217"/>
    </row>
    <row r="181" spans="8:8" ht="16.5">
      <c r="A181" s="263"/>
      <c r="B181" s="276"/>
      <c r="C181" s="276"/>
      <c r="D181" s="268"/>
      <c r="E181" s="268"/>
      <c r="F181" s="268"/>
      <c r="G181" s="269"/>
      <c r="H181" s="269"/>
      <c r="I181" s="269"/>
      <c r="J181" s="269"/>
      <c r="K181" s="269"/>
      <c r="L181" s="277"/>
      <c r="M181" s="277"/>
      <c r="N181" s="277"/>
      <c r="O181" s="277"/>
      <c r="P181" s="277"/>
      <c r="Q181" s="277"/>
      <c r="R181" s="277"/>
      <c r="S181" s="277"/>
      <c r="T181" s="277"/>
      <c r="U181" s="277"/>
      <c r="V181" s="277"/>
      <c r="W181" s="264"/>
      <c r="X181" s="244" t="s">
        <v>6752</v>
      </c>
      <c r="Y181" s="244"/>
      <c r="Z181" s="244"/>
      <c r="AA181" s="244"/>
      <c r="AB181" s="244"/>
      <c r="AC181" s="244" t="s">
        <v>6753</v>
      </c>
      <c r="AD181" s="244"/>
      <c r="AE181" s="244"/>
      <c r="AF181" s="244"/>
      <c r="AG181" s="244"/>
      <c r="AH181" s="201"/>
      <c r="AI181" s="201"/>
      <c r="AJ181" s="272" t="s">
        <v>6749</v>
      </c>
      <c r="AK181" s="272"/>
      <c r="AL181" s="272"/>
      <c r="AM181" s="273">
        <v>14000.0</v>
      </c>
      <c r="AN181" s="272"/>
      <c r="AO181" s="272"/>
      <c r="AP181" s="272" t="s">
        <v>5572</v>
      </c>
      <c r="AQ181" s="272"/>
      <c r="AR181" s="272"/>
      <c r="AS181" s="201"/>
      <c r="AT181" s="201"/>
      <c r="AU181" s="201"/>
      <c r="AW181" s="215" t="s">
        <v>6750</v>
      </c>
      <c r="AX181" s="216"/>
      <c r="AY181" s="216"/>
      <c r="AZ181" s="216"/>
      <c r="BA181" s="216"/>
      <c r="BB181" s="216" t="s">
        <v>6751</v>
      </c>
      <c r="BC181" s="216"/>
      <c r="BD181" s="216"/>
      <c r="BE181" s="216"/>
      <c r="BF181" s="216"/>
      <c r="BG181" s="216"/>
      <c r="BH181" s="216"/>
      <c r="BI181" s="216"/>
      <c r="BJ181" s="216"/>
      <c r="BK181" s="216"/>
      <c r="BL181" s="216"/>
      <c r="BM181" s="216"/>
      <c r="BN181" s="216"/>
      <c r="BO181" s="216"/>
      <c r="BP181" s="216"/>
      <c r="BQ181" s="216"/>
      <c r="BR181" s="216"/>
      <c r="BS181" s="216"/>
      <c r="BT181" s="216"/>
      <c r="BU181" s="216"/>
      <c r="BV181" s="216"/>
      <c r="BW181" s="217"/>
    </row>
    <row r="182" spans="8:8" ht="16.5">
      <c r="A182" s="263"/>
      <c r="B182" s="276"/>
      <c r="C182" s="276"/>
      <c r="D182" s="268"/>
      <c r="E182" s="268"/>
      <c r="F182" s="268"/>
      <c r="G182" s="269"/>
      <c r="H182" s="269"/>
      <c r="I182" s="269"/>
      <c r="J182" s="269"/>
      <c r="K182" s="269"/>
      <c r="L182" s="277"/>
      <c r="M182" s="277"/>
      <c r="N182" s="277"/>
      <c r="O182" s="277"/>
      <c r="P182" s="277"/>
      <c r="Q182" s="277"/>
      <c r="R182" s="277"/>
      <c r="S182" s="277"/>
      <c r="T182" s="277"/>
      <c r="U182" s="277"/>
      <c r="V182" s="277"/>
      <c r="W182" s="264"/>
      <c r="X182" s="244" t="s">
        <v>6757</v>
      </c>
      <c r="Y182" s="244"/>
      <c r="Z182" s="244"/>
      <c r="AA182" s="244"/>
      <c r="AB182" s="244"/>
      <c r="AC182" s="244" t="s">
        <v>6758</v>
      </c>
      <c r="AD182" s="244"/>
      <c r="AE182" s="244"/>
      <c r="AF182" s="244"/>
      <c r="AG182" s="244"/>
      <c r="AH182" s="201"/>
      <c r="AI182" s="201"/>
      <c r="AJ182" s="272" t="s">
        <v>6754</v>
      </c>
      <c r="AK182" s="272"/>
      <c r="AL182" s="272"/>
      <c r="AM182" s="273">
        <v>21000.0</v>
      </c>
      <c r="AN182" s="272"/>
      <c r="AO182" s="272"/>
      <c r="AP182" s="272" t="s">
        <v>5549</v>
      </c>
      <c r="AQ182" s="272"/>
      <c r="AR182" s="272"/>
      <c r="AS182" s="201"/>
      <c r="AT182" s="201"/>
      <c r="AU182" s="201"/>
      <c r="AW182" s="215" t="s">
        <v>6755</v>
      </c>
      <c r="AX182" s="216"/>
      <c r="AY182" s="216"/>
      <c r="AZ182" s="216"/>
      <c r="BA182" s="216"/>
      <c r="BB182" s="216" t="s">
        <v>6756</v>
      </c>
      <c r="BC182" s="216"/>
      <c r="BD182" s="216"/>
      <c r="BE182" s="216"/>
      <c r="BF182" s="216"/>
      <c r="BG182" s="216"/>
      <c r="BH182" s="216"/>
      <c r="BI182" s="216"/>
      <c r="BJ182" s="216"/>
      <c r="BK182" s="216"/>
      <c r="BL182" s="216"/>
      <c r="BM182" s="216"/>
      <c r="BN182" s="216"/>
      <c r="BO182" s="216"/>
      <c r="BP182" s="216"/>
      <c r="BQ182" s="216"/>
      <c r="BR182" s="216"/>
      <c r="BS182" s="216"/>
      <c r="BT182" s="216"/>
      <c r="BU182" s="216"/>
      <c r="BV182" s="216"/>
      <c r="BW182" s="217"/>
    </row>
    <row r="183" spans="8:8" ht="16.5">
      <c r="A183" s="263"/>
      <c r="B183" s="276"/>
      <c r="C183" s="276"/>
      <c r="D183" s="268"/>
      <c r="E183" s="268"/>
      <c r="F183" s="268"/>
      <c r="G183" s="269"/>
      <c r="H183" s="269"/>
      <c r="I183" s="269"/>
      <c r="J183" s="269"/>
      <c r="K183" s="269"/>
      <c r="L183" s="277"/>
      <c r="M183" s="277"/>
      <c r="N183" s="277"/>
      <c r="O183" s="277"/>
      <c r="P183" s="277"/>
      <c r="Q183" s="277"/>
      <c r="R183" s="277"/>
      <c r="S183" s="277"/>
      <c r="T183" s="277"/>
      <c r="U183" s="277"/>
      <c r="V183" s="277"/>
      <c r="W183" s="264"/>
      <c r="X183" s="244" t="s">
        <v>5990</v>
      </c>
      <c r="Y183" s="244"/>
      <c r="Z183" s="244"/>
      <c r="AA183" s="244"/>
      <c r="AB183" s="244"/>
      <c r="AC183" s="244" t="s">
        <v>6762</v>
      </c>
      <c r="AD183" s="244"/>
      <c r="AE183" s="244"/>
      <c r="AF183" s="244"/>
      <c r="AG183" s="244"/>
      <c r="AH183" s="201"/>
      <c r="AI183" s="201"/>
      <c r="AJ183" s="272" t="s">
        <v>6759</v>
      </c>
      <c r="AK183" s="272"/>
      <c r="AL183" s="272"/>
      <c r="AM183" s="273">
        <v>30000.0</v>
      </c>
      <c r="AN183" s="272"/>
      <c r="AO183" s="272"/>
      <c r="AP183" s="272" t="s">
        <v>6099</v>
      </c>
      <c r="AQ183" s="272"/>
      <c r="AR183" s="272"/>
      <c r="AS183" s="201"/>
      <c r="AT183" s="201"/>
      <c r="AU183" s="201"/>
      <c r="AW183" s="215" t="s">
        <v>6760</v>
      </c>
      <c r="AX183" s="216"/>
      <c r="AY183" s="216"/>
      <c r="AZ183" s="216"/>
      <c r="BA183" s="216"/>
      <c r="BB183" s="216" t="s">
        <v>6761</v>
      </c>
      <c r="BC183" s="216"/>
      <c r="BD183" s="216"/>
      <c r="BE183" s="216"/>
      <c r="BF183" s="216"/>
      <c r="BG183" s="216"/>
      <c r="BH183" s="216"/>
      <c r="BI183" s="216"/>
      <c r="BJ183" s="216"/>
      <c r="BK183" s="216"/>
      <c r="BL183" s="216"/>
      <c r="BM183" s="216"/>
      <c r="BN183" s="216"/>
      <c r="BO183" s="216"/>
      <c r="BP183" s="216"/>
      <c r="BQ183" s="216"/>
      <c r="BR183" s="216"/>
      <c r="BS183" s="216"/>
      <c r="BT183" s="216"/>
      <c r="BU183" s="216"/>
      <c r="BV183" s="216"/>
      <c r="BW183" s="217"/>
    </row>
    <row r="184" spans="8:8" ht="16.5">
      <c r="A184" s="263"/>
      <c r="B184" s="276"/>
      <c r="C184" s="276"/>
      <c r="D184" s="268"/>
      <c r="E184" s="268"/>
      <c r="F184" s="268"/>
      <c r="G184" s="269"/>
      <c r="H184" s="269"/>
      <c r="I184" s="269"/>
      <c r="J184" s="269"/>
      <c r="K184" s="269"/>
      <c r="L184" s="277"/>
      <c r="M184" s="277"/>
      <c r="N184" s="277"/>
      <c r="O184" s="277"/>
      <c r="P184" s="277"/>
      <c r="Q184" s="277"/>
      <c r="R184" s="277"/>
      <c r="S184" s="277"/>
      <c r="T184" s="277"/>
      <c r="U184" s="277"/>
      <c r="V184" s="277"/>
      <c r="W184" s="264"/>
      <c r="X184" s="244" t="s">
        <v>6766</v>
      </c>
      <c r="Y184" s="244"/>
      <c r="Z184" s="244"/>
      <c r="AA184" s="244"/>
      <c r="AB184" s="244"/>
      <c r="AC184" s="244" t="s">
        <v>6767</v>
      </c>
      <c r="AD184" s="244"/>
      <c r="AE184" s="244"/>
      <c r="AF184" s="244"/>
      <c r="AG184" s="244"/>
      <c r="AH184" s="201"/>
      <c r="AI184" s="201"/>
      <c r="AJ184" s="272" t="s">
        <v>6763</v>
      </c>
      <c r="AK184" s="272"/>
      <c r="AL184" s="272"/>
      <c r="AM184" s="273">
        <v>70000.0</v>
      </c>
      <c r="AN184" s="272"/>
      <c r="AO184" s="272"/>
      <c r="AP184" s="272" t="s">
        <v>6064</v>
      </c>
      <c r="AQ184" s="272"/>
      <c r="AR184" s="272"/>
      <c r="AS184" s="201"/>
      <c r="AT184" s="201"/>
      <c r="AU184" s="201"/>
      <c r="AW184" s="215" t="s">
        <v>6764</v>
      </c>
      <c r="AX184" s="216"/>
      <c r="AY184" s="216"/>
      <c r="AZ184" s="216"/>
      <c r="BA184" s="216"/>
      <c r="BB184" s="216" t="s">
        <v>6765</v>
      </c>
      <c r="BC184" s="216"/>
      <c r="BD184" s="216"/>
      <c r="BE184" s="216"/>
      <c r="BF184" s="216"/>
      <c r="BG184" s="216"/>
      <c r="BH184" s="216"/>
      <c r="BI184" s="216"/>
      <c r="BJ184" s="216"/>
      <c r="BK184" s="216"/>
      <c r="BL184" s="216"/>
      <c r="BM184" s="216"/>
      <c r="BN184" s="216"/>
      <c r="BO184" s="216"/>
      <c r="BP184" s="216"/>
      <c r="BQ184" s="216"/>
      <c r="BR184" s="216"/>
      <c r="BS184" s="216"/>
      <c r="BT184" s="216"/>
      <c r="BU184" s="216"/>
      <c r="BV184" s="216"/>
      <c r="BW184" s="217"/>
    </row>
    <row r="185" spans="8:8" ht="16.5">
      <c r="A185" s="263"/>
      <c r="B185" s="276"/>
      <c r="C185" s="276"/>
      <c r="D185" s="268"/>
      <c r="E185" s="268"/>
      <c r="F185" s="268"/>
      <c r="G185" s="269"/>
      <c r="H185" s="269"/>
      <c r="I185" s="269"/>
      <c r="J185" s="269"/>
      <c r="K185" s="269"/>
      <c r="L185" s="277"/>
      <c r="M185" s="277"/>
      <c r="N185" s="277"/>
      <c r="O185" s="277"/>
      <c r="P185" s="277"/>
      <c r="Q185" s="277"/>
      <c r="R185" s="277"/>
      <c r="S185" s="277"/>
      <c r="T185" s="277"/>
      <c r="U185" s="277"/>
      <c r="V185" s="277"/>
      <c r="W185" s="264"/>
      <c r="X185" s="244" t="s">
        <v>6771</v>
      </c>
      <c r="Y185" s="244"/>
      <c r="Z185" s="244"/>
      <c r="AA185" s="244"/>
      <c r="AB185" s="244"/>
      <c r="AC185" s="244" t="s">
        <v>6772</v>
      </c>
      <c r="AD185" s="244"/>
      <c r="AE185" s="244"/>
      <c r="AF185" s="244"/>
      <c r="AG185" s="244"/>
      <c r="AH185" s="201"/>
      <c r="AI185" s="201"/>
      <c r="AJ185" s="278" t="s">
        <v>6768</v>
      </c>
      <c r="AK185" s="278"/>
      <c r="AL185" s="278"/>
      <c r="AM185" s="278"/>
      <c r="AN185" s="278"/>
      <c r="AO185" s="278"/>
      <c r="AP185" s="278"/>
      <c r="AQ185" s="278"/>
      <c r="AR185" s="278"/>
      <c r="AS185" s="201"/>
      <c r="AT185" s="201"/>
      <c r="AU185" s="201"/>
      <c r="AW185" s="215" t="s">
        <v>6769</v>
      </c>
      <c r="AX185" s="216"/>
      <c r="AY185" s="216"/>
      <c r="AZ185" s="216"/>
      <c r="BA185" s="216"/>
      <c r="BB185" s="216" t="s">
        <v>6770</v>
      </c>
      <c r="BC185" s="216"/>
      <c r="BD185" s="216"/>
      <c r="BE185" s="216"/>
      <c r="BF185" s="216"/>
      <c r="BG185" s="216"/>
      <c r="BH185" s="216"/>
      <c r="BI185" s="216"/>
      <c r="BJ185" s="216"/>
      <c r="BK185" s="216"/>
      <c r="BL185" s="216"/>
      <c r="BM185" s="216"/>
      <c r="BN185" s="216"/>
      <c r="BO185" s="216"/>
      <c r="BP185" s="216"/>
      <c r="BQ185" s="216"/>
      <c r="BR185" s="216"/>
      <c r="BS185" s="216"/>
      <c r="BT185" s="216"/>
      <c r="BU185" s="216"/>
      <c r="BV185" s="216"/>
      <c r="BW185" s="217"/>
    </row>
    <row r="186" spans="8:8" ht="16.5">
      <c r="A186" s="263"/>
      <c r="B186" s="276"/>
      <c r="C186" s="276"/>
      <c r="D186" s="268"/>
      <c r="E186" s="268"/>
      <c r="F186" s="268"/>
      <c r="G186" s="269"/>
      <c r="H186" s="269"/>
      <c r="I186" s="269"/>
      <c r="J186" s="269"/>
      <c r="K186" s="269"/>
      <c r="L186" s="277"/>
      <c r="M186" s="277"/>
      <c r="N186" s="277"/>
      <c r="O186" s="277"/>
      <c r="P186" s="277"/>
      <c r="Q186" s="277"/>
      <c r="R186" s="277"/>
      <c r="S186" s="277"/>
      <c r="T186" s="277"/>
      <c r="U186" s="277"/>
      <c r="V186" s="277"/>
      <c r="W186" s="264"/>
      <c r="X186" s="244" t="s">
        <v>6775</v>
      </c>
      <c r="Y186" s="244"/>
      <c r="Z186" s="244"/>
      <c r="AA186" s="244"/>
      <c r="AB186" s="244"/>
      <c r="AC186" s="244" t="s">
        <v>6776</v>
      </c>
      <c r="AD186" s="244"/>
      <c r="AE186" s="244"/>
      <c r="AF186" s="244"/>
      <c r="AG186" s="244"/>
      <c r="AH186" s="201"/>
      <c r="AI186" s="201"/>
      <c r="AJ186" s="272" t="s">
        <v>5480</v>
      </c>
      <c r="AK186" s="272"/>
      <c r="AL186" s="272"/>
      <c r="AM186" s="273">
        <v>3000.0</v>
      </c>
      <c r="AN186" s="272"/>
      <c r="AO186" s="272"/>
      <c r="AP186" s="272" t="s">
        <v>5479</v>
      </c>
      <c r="AQ186" s="272"/>
      <c r="AR186" s="272"/>
      <c r="AS186" s="201"/>
      <c r="AT186" s="201"/>
      <c r="AU186" s="201"/>
      <c r="AW186" s="215" t="s">
        <v>6773</v>
      </c>
      <c r="AX186" s="216"/>
      <c r="AY186" s="216"/>
      <c r="AZ186" s="216"/>
      <c r="BA186" s="216"/>
      <c r="BB186" s="216" t="s">
        <v>6774</v>
      </c>
      <c r="BC186" s="216"/>
      <c r="BD186" s="216"/>
      <c r="BE186" s="216"/>
      <c r="BF186" s="216"/>
      <c r="BG186" s="216"/>
      <c r="BH186" s="216"/>
      <c r="BI186" s="216"/>
      <c r="BJ186" s="216"/>
      <c r="BK186" s="216"/>
      <c r="BL186" s="216"/>
      <c r="BM186" s="216"/>
      <c r="BN186" s="216"/>
      <c r="BO186" s="216"/>
      <c r="BP186" s="216"/>
      <c r="BQ186" s="216"/>
      <c r="BR186" s="216"/>
      <c r="BS186" s="216"/>
      <c r="BT186" s="216"/>
      <c r="BU186" s="216"/>
      <c r="BV186" s="216"/>
      <c r="BW186" s="217"/>
    </row>
    <row r="187" spans="8:8" ht="16.5">
      <c r="A187" s="263"/>
      <c r="B187" s="276"/>
      <c r="C187" s="276"/>
      <c r="D187" s="268"/>
      <c r="E187" s="268"/>
      <c r="F187" s="268"/>
      <c r="G187" s="269"/>
      <c r="H187" s="269"/>
      <c r="I187" s="269"/>
      <c r="J187" s="269"/>
      <c r="K187" s="269"/>
      <c r="L187" s="277"/>
      <c r="M187" s="277"/>
      <c r="N187" s="277"/>
      <c r="O187" s="277"/>
      <c r="P187" s="277"/>
      <c r="Q187" s="277"/>
      <c r="R187" s="277"/>
      <c r="S187" s="277"/>
      <c r="T187" s="277"/>
      <c r="U187" s="277"/>
      <c r="V187" s="277"/>
      <c r="W187" s="264"/>
      <c r="X187" s="244" t="s">
        <v>6779</v>
      </c>
      <c r="Y187" s="244"/>
      <c r="Z187" s="244"/>
      <c r="AA187" s="244"/>
      <c r="AB187" s="244"/>
      <c r="AC187" s="244" t="s">
        <v>6780</v>
      </c>
      <c r="AD187" s="244"/>
      <c r="AE187" s="244"/>
      <c r="AF187" s="244"/>
      <c r="AG187" s="244"/>
      <c r="AH187" s="201"/>
      <c r="AI187" s="201"/>
      <c r="AJ187" s="272" t="s">
        <v>5584</v>
      </c>
      <c r="AK187" s="272"/>
      <c r="AL187" s="272"/>
      <c r="AM187" s="273">
        <v>700.0</v>
      </c>
      <c r="AN187" s="272"/>
      <c r="AO187" s="272"/>
      <c r="AP187" s="272" t="s">
        <v>5583</v>
      </c>
      <c r="AQ187" s="272"/>
      <c r="AR187" s="272"/>
      <c r="AS187" s="201"/>
      <c r="AT187" s="201"/>
      <c r="AU187" s="201"/>
      <c r="AW187" s="215" t="s">
        <v>6777</v>
      </c>
      <c r="AX187" s="216"/>
      <c r="AY187" s="216"/>
      <c r="AZ187" s="216"/>
      <c r="BA187" s="216"/>
      <c r="BB187" s="216" t="s">
        <v>6778</v>
      </c>
      <c r="BC187" s="216"/>
      <c r="BD187" s="216"/>
      <c r="BE187" s="216"/>
      <c r="BF187" s="216"/>
      <c r="BG187" s="216"/>
      <c r="BH187" s="216"/>
      <c r="BI187" s="216"/>
      <c r="BJ187" s="216"/>
      <c r="BK187" s="216"/>
      <c r="BL187" s="216"/>
      <c r="BM187" s="216"/>
      <c r="BN187" s="216"/>
      <c r="BO187" s="216"/>
      <c r="BP187" s="216"/>
      <c r="BQ187" s="216"/>
      <c r="BR187" s="216"/>
      <c r="BS187" s="216"/>
      <c r="BT187" s="216"/>
      <c r="BU187" s="216"/>
      <c r="BV187" s="216"/>
      <c r="BW187" s="217"/>
    </row>
    <row r="188" spans="8:8" ht="16.5">
      <c r="A188" s="263"/>
      <c r="B188" s="276"/>
      <c r="C188" s="276"/>
      <c r="D188" s="268"/>
      <c r="E188" s="268"/>
      <c r="F188" s="268"/>
      <c r="G188" s="269"/>
      <c r="H188" s="269"/>
      <c r="I188" s="269"/>
      <c r="J188" s="269"/>
      <c r="K188" s="269"/>
      <c r="L188" s="277"/>
      <c r="M188" s="277"/>
      <c r="N188" s="277"/>
      <c r="O188" s="277"/>
      <c r="P188" s="277"/>
      <c r="Q188" s="277"/>
      <c r="R188" s="277"/>
      <c r="S188" s="277"/>
      <c r="T188" s="277"/>
      <c r="U188" s="277"/>
      <c r="V188" s="277"/>
      <c r="W188" s="264"/>
      <c r="X188" s="244" t="s">
        <v>6784</v>
      </c>
      <c r="Y188" s="244"/>
      <c r="Z188" s="244"/>
      <c r="AA188" s="244"/>
      <c r="AB188" s="244"/>
      <c r="AC188" s="244" t="s">
        <v>6785</v>
      </c>
      <c r="AD188" s="244"/>
      <c r="AE188" s="244"/>
      <c r="AF188" s="244"/>
      <c r="AG188" s="244"/>
      <c r="AH188" s="201"/>
      <c r="AI188" s="201"/>
      <c r="AJ188" s="272" t="s">
        <v>6781</v>
      </c>
      <c r="AK188" s="272"/>
      <c r="AL188" s="272"/>
      <c r="AM188" s="273">
        <v>2100.0</v>
      </c>
      <c r="AN188" s="272"/>
      <c r="AO188" s="272"/>
      <c r="AP188" s="272" t="s">
        <v>6046</v>
      </c>
      <c r="AQ188" s="272"/>
      <c r="AR188" s="272"/>
      <c r="AS188" s="201"/>
      <c r="AT188" s="201"/>
      <c r="AU188" s="201"/>
      <c r="AW188" s="215" t="s">
        <v>6782</v>
      </c>
      <c r="AX188" s="216"/>
      <c r="AY188" s="216"/>
      <c r="AZ188" s="216"/>
      <c r="BA188" s="216"/>
      <c r="BB188" s="216" t="s">
        <v>6783</v>
      </c>
      <c r="BC188" s="216"/>
      <c r="BD188" s="216"/>
      <c r="BE188" s="216"/>
      <c r="BF188" s="216"/>
      <c r="BG188" s="216"/>
      <c r="BH188" s="216"/>
      <c r="BI188" s="216"/>
      <c r="BJ188" s="216"/>
      <c r="BK188" s="216"/>
      <c r="BL188" s="216"/>
      <c r="BM188" s="216"/>
      <c r="BN188" s="216"/>
      <c r="BO188" s="216"/>
      <c r="BP188" s="216"/>
      <c r="BQ188" s="216"/>
      <c r="BR188" s="216"/>
      <c r="BS188" s="216"/>
      <c r="BT188" s="216"/>
      <c r="BU188" s="216"/>
      <c r="BV188" s="216"/>
      <c r="BW188" s="217"/>
    </row>
    <row r="189" spans="8:8" ht="16.5">
      <c r="A189" s="263"/>
      <c r="B189" s="276"/>
      <c r="C189" s="276"/>
      <c r="D189" s="268"/>
      <c r="E189" s="268"/>
      <c r="F189" s="268"/>
      <c r="G189" s="269"/>
      <c r="H189" s="269"/>
      <c r="I189" s="269"/>
      <c r="J189" s="269"/>
      <c r="K189" s="269"/>
      <c r="L189" s="277"/>
      <c r="M189" s="277"/>
      <c r="N189" s="277"/>
      <c r="O189" s="277"/>
      <c r="P189" s="277"/>
      <c r="Q189" s="277"/>
      <c r="R189" s="277"/>
      <c r="S189" s="277"/>
      <c r="T189" s="277"/>
      <c r="U189" s="277"/>
      <c r="V189" s="277"/>
      <c r="W189" s="264"/>
      <c r="X189" s="244" t="s">
        <v>6789</v>
      </c>
      <c r="Y189" s="244"/>
      <c r="Z189" s="244"/>
      <c r="AA189" s="244"/>
      <c r="AB189" s="244"/>
      <c r="AC189" s="244" t="s">
        <v>6790</v>
      </c>
      <c r="AD189" s="244"/>
      <c r="AE189" s="244"/>
      <c r="AF189" s="244"/>
      <c r="AG189" s="244"/>
      <c r="AH189" s="201"/>
      <c r="AI189" s="201"/>
      <c r="AJ189" s="272" t="s">
        <v>6786</v>
      </c>
      <c r="AK189" s="272"/>
      <c r="AL189" s="272"/>
      <c r="AM189" s="273">
        <v>6100.0</v>
      </c>
      <c r="AN189" s="272"/>
      <c r="AO189" s="272"/>
      <c r="AP189" s="272" t="s">
        <v>6036</v>
      </c>
      <c r="AQ189" s="272"/>
      <c r="AR189" s="272"/>
      <c r="AS189" s="201"/>
      <c r="AT189" s="201"/>
      <c r="AU189" s="201"/>
      <c r="AW189" s="215" t="s">
        <v>6787</v>
      </c>
      <c r="AX189" s="216"/>
      <c r="AY189" s="216"/>
      <c r="AZ189" s="216"/>
      <c r="BA189" s="216"/>
      <c r="BB189" s="216" t="s">
        <v>6788</v>
      </c>
      <c r="BC189" s="216"/>
      <c r="BD189" s="216"/>
      <c r="BE189" s="216"/>
      <c r="BF189" s="216"/>
      <c r="BG189" s="216"/>
      <c r="BH189" s="216"/>
      <c r="BI189" s="216"/>
      <c r="BJ189" s="216"/>
      <c r="BK189" s="216"/>
      <c r="BL189" s="216"/>
      <c r="BM189" s="216"/>
      <c r="BN189" s="216"/>
      <c r="BO189" s="216"/>
      <c r="BP189" s="216"/>
      <c r="BQ189" s="216"/>
      <c r="BR189" s="216"/>
      <c r="BS189" s="216"/>
      <c r="BT189" s="216"/>
      <c r="BU189" s="216"/>
      <c r="BV189" s="216"/>
      <c r="BW189" s="217"/>
    </row>
    <row r="190" spans="8:8" ht="16.5">
      <c r="A190" s="263"/>
      <c r="B190" s="276"/>
      <c r="C190" s="276"/>
      <c r="D190" s="268"/>
      <c r="E190" s="268"/>
      <c r="F190" s="268"/>
      <c r="G190" s="269"/>
      <c r="H190" s="269"/>
      <c r="I190" s="269"/>
      <c r="J190" s="269"/>
      <c r="K190" s="269"/>
      <c r="L190" s="277"/>
      <c r="M190" s="277"/>
      <c r="N190" s="277"/>
      <c r="O190" s="277"/>
      <c r="P190" s="277"/>
      <c r="Q190" s="277"/>
      <c r="R190" s="277"/>
      <c r="S190" s="277"/>
      <c r="T190" s="277"/>
      <c r="U190" s="277"/>
      <c r="V190" s="277"/>
      <c r="W190" s="264"/>
      <c r="X190" s="244" t="s">
        <v>6794</v>
      </c>
      <c r="Y190" s="244"/>
      <c r="Z190" s="244"/>
      <c r="AA190" s="244"/>
      <c r="AB190" s="244"/>
      <c r="AC190" s="244" t="s">
        <v>6795</v>
      </c>
      <c r="AD190" s="244"/>
      <c r="AE190" s="244"/>
      <c r="AF190" s="244"/>
      <c r="AG190" s="244"/>
      <c r="AH190" s="201"/>
      <c r="AI190" s="201"/>
      <c r="AJ190" s="272" t="s">
        <v>6791</v>
      </c>
      <c r="AK190" s="272"/>
      <c r="AL190" s="272"/>
      <c r="AM190" s="273">
        <v>10100.0</v>
      </c>
      <c r="AN190" s="272"/>
      <c r="AO190" s="272"/>
      <c r="AP190" s="272" t="s">
        <v>6016</v>
      </c>
      <c r="AQ190" s="272"/>
      <c r="AR190" s="272"/>
      <c r="AS190" s="201"/>
      <c r="AT190" s="201"/>
      <c r="AU190" s="201"/>
      <c r="AW190" s="215" t="s">
        <v>6792</v>
      </c>
      <c r="AX190" s="216"/>
      <c r="AY190" s="216"/>
      <c r="AZ190" s="216"/>
      <c r="BA190" s="216"/>
      <c r="BB190" s="216" t="s">
        <v>6793</v>
      </c>
      <c r="BC190" s="216"/>
      <c r="BD190" s="216"/>
      <c r="BE190" s="216"/>
      <c r="BF190" s="216"/>
      <c r="BG190" s="216"/>
      <c r="BH190" s="216"/>
      <c r="BI190" s="216"/>
      <c r="BJ190" s="216"/>
      <c r="BK190" s="216"/>
      <c r="BL190" s="216"/>
      <c r="BM190" s="216"/>
      <c r="BN190" s="216"/>
      <c r="BO190" s="216"/>
      <c r="BP190" s="216"/>
      <c r="BQ190" s="216"/>
      <c r="BR190" s="216"/>
      <c r="BS190" s="216"/>
      <c r="BT190" s="216"/>
      <c r="BU190" s="216"/>
      <c r="BV190" s="216"/>
      <c r="BW190" s="217"/>
    </row>
    <row r="191" spans="8:8" ht="16.5">
      <c r="A191" s="263"/>
      <c r="B191" s="276"/>
      <c r="C191" s="276"/>
      <c r="D191" s="268"/>
      <c r="E191" s="268"/>
      <c r="F191" s="268"/>
      <c r="G191" s="269"/>
      <c r="H191" s="269"/>
      <c r="I191" s="269"/>
      <c r="J191" s="269"/>
      <c r="K191" s="269"/>
      <c r="L191" s="277"/>
      <c r="M191" s="277"/>
      <c r="N191" s="277"/>
      <c r="O191" s="277"/>
      <c r="P191" s="277"/>
      <c r="Q191" s="277"/>
      <c r="R191" s="277"/>
      <c r="S191" s="277"/>
      <c r="T191" s="277"/>
      <c r="U191" s="277"/>
      <c r="V191" s="277"/>
      <c r="W191" s="264"/>
      <c r="X191" s="244" t="s">
        <v>6799</v>
      </c>
      <c r="Y191" s="244"/>
      <c r="Z191" s="244"/>
      <c r="AA191" s="244"/>
      <c r="AB191" s="244"/>
      <c r="AC191" s="244" t="s">
        <v>6800</v>
      </c>
      <c r="AD191" s="244"/>
      <c r="AE191" s="244"/>
      <c r="AF191" s="244"/>
      <c r="AG191" s="244"/>
      <c r="AH191" s="201"/>
      <c r="AI191" s="201"/>
      <c r="AJ191" s="272" t="s">
        <v>6796</v>
      </c>
      <c r="AK191" s="272"/>
      <c r="AL191" s="272"/>
      <c r="AM191" s="273">
        <v>14100.0</v>
      </c>
      <c r="AN191" s="272"/>
      <c r="AO191" s="272"/>
      <c r="AP191" s="272" t="s">
        <v>6026</v>
      </c>
      <c r="AQ191" s="272"/>
      <c r="AR191" s="272"/>
      <c r="AS191" s="201"/>
      <c r="AT191" s="201"/>
      <c r="AU191" s="201"/>
      <c r="AW191" s="215" t="s">
        <v>6797</v>
      </c>
      <c r="AX191" s="216"/>
      <c r="AY191" s="216"/>
      <c r="AZ191" s="216"/>
      <c r="BA191" s="216"/>
      <c r="BB191" s="216" t="s">
        <v>6798</v>
      </c>
      <c r="BC191" s="216"/>
      <c r="BD191" s="216"/>
      <c r="BE191" s="216"/>
      <c r="BF191" s="216"/>
      <c r="BG191" s="216"/>
      <c r="BH191" s="216"/>
      <c r="BI191" s="216"/>
      <c r="BJ191" s="216"/>
      <c r="BK191" s="216"/>
      <c r="BL191" s="216"/>
      <c r="BM191" s="216"/>
      <c r="BN191" s="216"/>
      <c r="BO191" s="216"/>
      <c r="BP191" s="216"/>
      <c r="BQ191" s="216"/>
      <c r="BR191" s="216"/>
      <c r="BS191" s="216"/>
      <c r="BT191" s="216"/>
      <c r="BU191" s="216"/>
      <c r="BV191" s="216"/>
      <c r="BW191" s="217"/>
    </row>
    <row r="192" spans="8:8" ht="16.5">
      <c r="A192" s="263"/>
      <c r="B192" s="276"/>
      <c r="C192" s="276"/>
      <c r="D192" s="268"/>
      <c r="E192" s="268"/>
      <c r="F192" s="268"/>
      <c r="G192" s="269"/>
      <c r="H192" s="269"/>
      <c r="I192" s="269"/>
      <c r="J192" s="269"/>
      <c r="K192" s="269"/>
      <c r="L192" s="277"/>
      <c r="M192" s="277"/>
      <c r="N192" s="277"/>
      <c r="O192" s="277"/>
      <c r="P192" s="277"/>
      <c r="Q192" s="277"/>
      <c r="R192" s="277"/>
      <c r="S192" s="277"/>
      <c r="T192" s="277"/>
      <c r="U192" s="277"/>
      <c r="V192" s="277"/>
      <c r="W192" s="264"/>
      <c r="X192" s="244" t="s">
        <v>6804</v>
      </c>
      <c r="Y192" s="244"/>
      <c r="Z192" s="244"/>
      <c r="AA192" s="244"/>
      <c r="AB192" s="244"/>
      <c r="AC192" s="244" t="s">
        <v>6805</v>
      </c>
      <c r="AD192" s="244"/>
      <c r="AE192" s="244"/>
      <c r="AF192" s="244"/>
      <c r="AG192" s="244"/>
      <c r="AH192" s="201"/>
      <c r="AI192" s="201"/>
      <c r="AJ192" s="272" t="s">
        <v>6801</v>
      </c>
      <c r="AK192" s="272"/>
      <c r="AL192" s="272"/>
      <c r="AM192" s="273">
        <v>2200.0</v>
      </c>
      <c r="AN192" s="272"/>
      <c r="AO192" s="272"/>
      <c r="AP192" s="272" t="s">
        <v>5595</v>
      </c>
      <c r="AQ192" s="272"/>
      <c r="AR192" s="272"/>
      <c r="AS192" s="201"/>
      <c r="AT192" s="201"/>
      <c r="AU192" s="201"/>
      <c r="AW192" s="215" t="s">
        <v>6802</v>
      </c>
      <c r="AX192" s="216"/>
      <c r="AY192" s="216"/>
      <c r="AZ192" s="216"/>
      <c r="BA192" s="216"/>
      <c r="BB192" s="216" t="s">
        <v>6803</v>
      </c>
      <c r="BC192" s="216"/>
      <c r="BD192" s="216"/>
      <c r="BE192" s="216"/>
      <c r="BF192" s="216"/>
      <c r="BG192" s="216"/>
      <c r="BH192" s="216"/>
      <c r="BI192" s="216"/>
      <c r="BJ192" s="216"/>
      <c r="BK192" s="216"/>
      <c r="BL192" s="216"/>
      <c r="BM192" s="216"/>
      <c r="BN192" s="216"/>
      <c r="BO192" s="216"/>
      <c r="BP192" s="216"/>
      <c r="BQ192" s="216"/>
      <c r="BR192" s="216"/>
      <c r="BS192" s="216"/>
      <c r="BT192" s="216"/>
      <c r="BU192" s="216"/>
      <c r="BV192" s="216"/>
      <c r="BW192" s="217"/>
    </row>
    <row r="193" spans="8:8" ht="16.5">
      <c r="A193" s="263"/>
      <c r="B193" s="276"/>
      <c r="C193" s="276"/>
      <c r="D193" s="268"/>
      <c r="E193" s="268"/>
      <c r="F193" s="268"/>
      <c r="G193" s="269"/>
      <c r="H193" s="269"/>
      <c r="I193" s="269"/>
      <c r="J193" s="269"/>
      <c r="K193" s="269"/>
      <c r="L193" s="277"/>
      <c r="M193" s="277"/>
      <c r="N193" s="277"/>
      <c r="O193" s="277"/>
      <c r="P193" s="277"/>
      <c r="Q193" s="277"/>
      <c r="R193" s="277"/>
      <c r="S193" s="277"/>
      <c r="T193" s="277"/>
      <c r="U193" s="277"/>
      <c r="V193" s="277"/>
      <c r="W193" s="264"/>
      <c r="X193" s="244" t="s">
        <v>6809</v>
      </c>
      <c r="Y193" s="244"/>
      <c r="Z193" s="244"/>
      <c r="AA193" s="244"/>
      <c r="AB193" s="244"/>
      <c r="AC193" s="244" t="s">
        <v>6810</v>
      </c>
      <c r="AD193" s="244"/>
      <c r="AE193" s="244"/>
      <c r="AF193" s="244"/>
      <c r="AG193" s="244"/>
      <c r="AH193" s="201"/>
      <c r="AI193" s="201"/>
      <c r="AJ193" s="272" t="s">
        <v>6806</v>
      </c>
      <c r="AK193" s="272"/>
      <c r="AL193" s="272"/>
      <c r="AM193" s="273">
        <v>4500.0</v>
      </c>
      <c r="AN193" s="272"/>
      <c r="AO193" s="272"/>
      <c r="AP193" s="272" t="s">
        <v>5986</v>
      </c>
      <c r="AQ193" s="272"/>
      <c r="AR193" s="272"/>
      <c r="AS193" s="201"/>
      <c r="AT193" s="201"/>
      <c r="AU193" s="201"/>
      <c r="AW193" s="215" t="s">
        <v>6807</v>
      </c>
      <c r="AX193" s="216"/>
      <c r="AY193" s="216"/>
      <c r="AZ193" s="216"/>
      <c r="BA193" s="216"/>
      <c r="BB193" s="216" t="s">
        <v>6808</v>
      </c>
      <c r="BC193" s="216"/>
      <c r="BD193" s="216"/>
      <c r="BE193" s="216"/>
      <c r="BF193" s="216"/>
      <c r="BG193" s="216"/>
      <c r="BH193" s="216"/>
      <c r="BI193" s="216"/>
      <c r="BJ193" s="216"/>
      <c r="BK193" s="216"/>
      <c r="BL193" s="216"/>
      <c r="BM193" s="216"/>
      <c r="BN193" s="216"/>
      <c r="BO193" s="216"/>
      <c r="BP193" s="216"/>
      <c r="BQ193" s="216"/>
      <c r="BR193" s="216"/>
      <c r="BS193" s="216"/>
      <c r="BT193" s="216"/>
      <c r="BU193" s="216"/>
      <c r="BV193" s="216"/>
      <c r="BW193" s="217"/>
    </row>
    <row r="194" spans="8:8" ht="16.5">
      <c r="A194" s="263"/>
      <c r="B194" s="276"/>
      <c r="C194" s="276"/>
      <c r="D194" s="268"/>
      <c r="E194" s="268"/>
      <c r="F194" s="268"/>
      <c r="G194" s="269"/>
      <c r="H194" s="269"/>
      <c r="I194" s="269"/>
      <c r="J194" s="269"/>
      <c r="K194" s="269"/>
      <c r="L194" s="277"/>
      <c r="M194" s="277"/>
      <c r="N194" s="277"/>
      <c r="O194" s="277"/>
      <c r="P194" s="277"/>
      <c r="Q194" s="277"/>
      <c r="R194" s="277"/>
      <c r="S194" s="277"/>
      <c r="T194" s="277"/>
      <c r="U194" s="277"/>
      <c r="V194" s="277"/>
      <c r="W194" s="264"/>
      <c r="X194" s="244" t="s">
        <v>6813</v>
      </c>
      <c r="Y194" s="244"/>
      <c r="Z194" s="244"/>
      <c r="AA194" s="244"/>
      <c r="AB194" s="244"/>
      <c r="AC194" s="244" t="s">
        <v>6814</v>
      </c>
      <c r="AD194" s="244"/>
      <c r="AE194" s="244"/>
      <c r="AF194" s="244"/>
      <c r="AG194" s="244"/>
      <c r="AH194" s="201"/>
      <c r="AI194" s="201"/>
      <c r="AJ194" s="272" t="s">
        <v>6811</v>
      </c>
      <c r="AK194" s="272"/>
      <c r="AL194" s="272"/>
      <c r="AM194" s="273">
        <v>9500.0</v>
      </c>
      <c r="AN194" s="272"/>
      <c r="AO194" s="272"/>
      <c r="AP194" s="272" t="s">
        <v>5972</v>
      </c>
      <c r="AQ194" s="272"/>
      <c r="AR194" s="272"/>
      <c r="AS194" s="201"/>
      <c r="AT194" s="201"/>
      <c r="AU194" s="201"/>
      <c r="AW194" s="215" t="s">
        <v>6812</v>
      </c>
      <c r="AX194" s="216"/>
      <c r="AY194" s="216"/>
      <c r="AZ194" s="216"/>
      <c r="BA194" s="216"/>
      <c r="BB194" s="216" t="s">
        <v>6256</v>
      </c>
      <c r="BC194" s="216"/>
      <c r="BD194" s="216"/>
      <c r="BE194" s="216"/>
      <c r="BF194" s="216"/>
      <c r="BG194" s="216"/>
      <c r="BH194" s="216"/>
      <c r="BI194" s="216"/>
      <c r="BJ194" s="216"/>
      <c r="BK194" s="216"/>
      <c r="BL194" s="216"/>
      <c r="BM194" s="216"/>
      <c r="BN194" s="216"/>
      <c r="BO194" s="216"/>
      <c r="BP194" s="216"/>
      <c r="BQ194" s="216"/>
      <c r="BR194" s="216"/>
      <c r="BS194" s="216"/>
      <c r="BT194" s="216"/>
      <c r="BU194" s="216"/>
      <c r="BV194" s="216"/>
      <c r="BW194" s="217"/>
    </row>
    <row r="195" spans="8:8" ht="16.5">
      <c r="A195" s="263"/>
      <c r="B195" s="276"/>
      <c r="C195" s="276"/>
      <c r="D195" s="268"/>
      <c r="E195" s="268"/>
      <c r="F195" s="268"/>
      <c r="G195" s="269"/>
      <c r="H195" s="269"/>
      <c r="I195" s="269"/>
      <c r="J195" s="269"/>
      <c r="K195" s="269"/>
      <c r="L195" s="277"/>
      <c r="M195" s="277"/>
      <c r="N195" s="277"/>
      <c r="O195" s="277"/>
      <c r="P195" s="277"/>
      <c r="Q195" s="277"/>
      <c r="R195" s="277"/>
      <c r="S195" s="277"/>
      <c r="T195" s="277"/>
      <c r="U195" s="277"/>
      <c r="V195" s="277"/>
      <c r="W195" s="264"/>
      <c r="X195" s="244" t="s">
        <v>6818</v>
      </c>
      <c r="Y195" s="244"/>
      <c r="Z195" s="244"/>
      <c r="AA195" s="244"/>
      <c r="AB195" s="244"/>
      <c r="AC195" s="244" t="s">
        <v>6819</v>
      </c>
      <c r="AD195" s="244"/>
      <c r="AE195" s="244"/>
      <c r="AF195" s="244"/>
      <c r="AG195" s="244"/>
      <c r="AH195" s="201"/>
      <c r="AI195" s="201"/>
      <c r="AJ195" s="272" t="s">
        <v>6815</v>
      </c>
      <c r="AK195" s="272"/>
      <c r="AL195" s="272"/>
      <c r="AM195" s="273">
        <v>1500.0</v>
      </c>
      <c r="AN195" s="272"/>
      <c r="AO195" s="272"/>
      <c r="AP195" s="272" t="s">
        <v>5970</v>
      </c>
      <c r="AQ195" s="272"/>
      <c r="AR195" s="272"/>
      <c r="AS195" s="201"/>
      <c r="AT195" s="201"/>
      <c r="AU195" s="201"/>
      <c r="AW195" s="215" t="s">
        <v>6816</v>
      </c>
      <c r="AX195" s="216"/>
      <c r="AY195" s="216"/>
      <c r="AZ195" s="216"/>
      <c r="BA195" s="216"/>
      <c r="BB195" s="216" t="s">
        <v>6817</v>
      </c>
      <c r="BC195" s="216"/>
      <c r="BD195" s="216"/>
      <c r="BE195" s="216"/>
      <c r="BF195" s="216"/>
      <c r="BG195" s="216"/>
      <c r="BH195" s="216"/>
      <c r="BI195" s="216"/>
      <c r="BJ195" s="216"/>
      <c r="BK195" s="216"/>
      <c r="BL195" s="216"/>
      <c r="BM195" s="216"/>
      <c r="BN195" s="216"/>
      <c r="BO195" s="216"/>
      <c r="BP195" s="216"/>
      <c r="BQ195" s="216"/>
      <c r="BR195" s="216"/>
      <c r="BS195" s="216"/>
      <c r="BT195" s="216"/>
      <c r="BU195" s="216"/>
      <c r="BV195" s="216"/>
      <c r="BW195" s="217"/>
    </row>
    <row r="196" spans="8:8" ht="16.5">
      <c r="A196" s="263"/>
      <c r="B196" s="276"/>
      <c r="C196" s="276"/>
      <c r="D196" s="268"/>
      <c r="E196" s="268"/>
      <c r="F196" s="268"/>
      <c r="G196" s="269"/>
      <c r="H196" s="269"/>
      <c r="I196" s="269"/>
      <c r="J196" s="269"/>
      <c r="K196" s="269"/>
      <c r="L196" s="277"/>
      <c r="M196" s="277"/>
      <c r="N196" s="277"/>
      <c r="O196" s="277"/>
      <c r="P196" s="277"/>
      <c r="Q196" s="277"/>
      <c r="R196" s="277"/>
      <c r="S196" s="277"/>
      <c r="T196" s="277"/>
      <c r="U196" s="277"/>
      <c r="V196" s="277"/>
      <c r="W196" s="264"/>
      <c r="X196" s="244" t="s">
        <v>6823</v>
      </c>
      <c r="Y196" s="244"/>
      <c r="Z196" s="244"/>
      <c r="AA196" s="244"/>
      <c r="AB196" s="244"/>
      <c r="AC196" s="244" t="s">
        <v>6824</v>
      </c>
      <c r="AD196" s="244"/>
      <c r="AE196" s="244"/>
      <c r="AF196" s="244"/>
      <c r="AG196" s="244"/>
      <c r="AH196" s="201"/>
      <c r="AI196" s="201"/>
      <c r="AJ196" s="272" t="s">
        <v>6820</v>
      </c>
      <c r="AK196" s="272"/>
      <c r="AL196" s="272"/>
      <c r="AM196" s="273">
        <v>1250.0</v>
      </c>
      <c r="AN196" s="272"/>
      <c r="AO196" s="272"/>
      <c r="AP196" s="272" t="s">
        <v>5984</v>
      </c>
      <c r="AQ196" s="272"/>
      <c r="AR196" s="272"/>
      <c r="AS196" s="201"/>
      <c r="AT196" s="201"/>
      <c r="AU196" s="201"/>
      <c r="AW196" s="215" t="s">
        <v>6821</v>
      </c>
      <c r="AX196" s="216"/>
      <c r="AY196" s="216"/>
      <c r="AZ196" s="216"/>
      <c r="BA196" s="216"/>
      <c r="BB196" s="216" t="s">
        <v>6822</v>
      </c>
      <c r="BC196" s="216"/>
      <c r="BD196" s="216"/>
      <c r="BE196" s="216"/>
      <c r="BF196" s="216"/>
      <c r="BG196" s="216"/>
      <c r="BH196" s="216"/>
      <c r="BI196" s="216"/>
      <c r="BJ196" s="216"/>
      <c r="BK196" s="216"/>
      <c r="BL196" s="216"/>
      <c r="BM196" s="216"/>
      <c r="BN196" s="216"/>
      <c r="BO196" s="216"/>
      <c r="BP196" s="216"/>
      <c r="BQ196" s="216"/>
      <c r="BR196" s="216"/>
      <c r="BS196" s="216"/>
      <c r="BT196" s="216"/>
      <c r="BU196" s="216"/>
      <c r="BV196" s="216"/>
      <c r="BW196" s="217"/>
    </row>
    <row r="197" spans="8:8" ht="16.5">
      <c r="A197" s="263"/>
      <c r="B197" s="276"/>
      <c r="C197" s="276"/>
      <c r="D197" s="268"/>
      <c r="E197" s="268"/>
      <c r="F197" s="268"/>
      <c r="G197" s="269"/>
      <c r="H197" s="269"/>
      <c r="I197" s="269"/>
      <c r="J197" s="269"/>
      <c r="K197" s="269"/>
      <c r="L197" s="277"/>
      <c r="M197" s="277"/>
      <c r="N197" s="277"/>
      <c r="O197" s="277"/>
      <c r="P197" s="277"/>
      <c r="Q197" s="277"/>
      <c r="R197" s="277"/>
      <c r="S197" s="277"/>
      <c r="T197" s="277"/>
      <c r="U197" s="277"/>
      <c r="V197" s="277"/>
      <c r="W197" s="264"/>
      <c r="X197" s="244" t="s">
        <v>6828</v>
      </c>
      <c r="Y197" s="244"/>
      <c r="Z197" s="244"/>
      <c r="AA197" s="244"/>
      <c r="AB197" s="244"/>
      <c r="AC197" s="244" t="s">
        <v>6829</v>
      </c>
      <c r="AD197" s="244"/>
      <c r="AE197" s="244"/>
      <c r="AF197" s="244"/>
      <c r="AG197" s="244"/>
      <c r="AH197" s="201"/>
      <c r="AI197" s="201"/>
      <c r="AJ197" s="272" t="s">
        <v>6825</v>
      </c>
      <c r="AK197" s="272"/>
      <c r="AL197" s="272"/>
      <c r="AM197" s="273">
        <v>1200.0</v>
      </c>
      <c r="AN197" s="272"/>
      <c r="AO197" s="272"/>
      <c r="AP197" s="272" t="s">
        <v>5957</v>
      </c>
      <c r="AQ197" s="272"/>
      <c r="AR197" s="272"/>
      <c r="AS197" s="201"/>
      <c r="AT197" s="201"/>
      <c r="AU197" s="201"/>
      <c r="AW197" s="215" t="s">
        <v>6826</v>
      </c>
      <c r="AX197" s="216"/>
      <c r="AY197" s="216"/>
      <c r="AZ197" s="216"/>
      <c r="BA197" s="216"/>
      <c r="BB197" s="216" t="s">
        <v>6827</v>
      </c>
      <c r="BC197" s="216"/>
      <c r="BD197" s="216"/>
      <c r="BE197" s="216"/>
      <c r="BF197" s="216"/>
      <c r="BG197" s="216"/>
      <c r="BH197" s="216"/>
      <c r="BI197" s="216"/>
      <c r="BJ197" s="216"/>
      <c r="BK197" s="216"/>
      <c r="BL197" s="216"/>
      <c r="BM197" s="216"/>
      <c r="BN197" s="216"/>
      <c r="BO197" s="216"/>
      <c r="BP197" s="216"/>
      <c r="BQ197" s="216"/>
      <c r="BR197" s="216"/>
      <c r="BS197" s="216"/>
      <c r="BT197" s="216"/>
      <c r="BU197" s="216"/>
      <c r="BV197" s="216"/>
      <c r="BW197" s="217"/>
    </row>
    <row r="198" spans="8:8" ht="16.5">
      <c r="A198" s="201"/>
      <c r="S198" s="279"/>
      <c r="T198" s="279"/>
      <c r="U198" s="279"/>
      <c r="V198" s="279"/>
      <c r="W198" s="201"/>
      <c r="X198" s="244" t="s">
        <v>6833</v>
      </c>
      <c r="Y198" s="244"/>
      <c r="Z198" s="244"/>
      <c r="AA198" s="244"/>
      <c r="AB198" s="244"/>
      <c r="AC198" s="244" t="s">
        <v>6834</v>
      </c>
      <c r="AD198" s="244"/>
      <c r="AE198" s="244"/>
      <c r="AF198" s="244"/>
      <c r="AG198" s="244"/>
      <c r="AH198" s="201"/>
      <c r="AI198" s="201"/>
      <c r="AJ198" s="272" t="s">
        <v>6830</v>
      </c>
      <c r="AK198" s="272"/>
      <c r="AL198" s="272"/>
      <c r="AM198" s="273">
        <v>2100.0</v>
      </c>
      <c r="AN198" s="272"/>
      <c r="AO198" s="272"/>
      <c r="AP198" s="272" t="s">
        <v>5943</v>
      </c>
      <c r="AQ198" s="272"/>
      <c r="AR198" s="272"/>
      <c r="AS198" s="201"/>
      <c r="AT198" s="201"/>
      <c r="AU198" s="201"/>
      <c r="AW198" s="215" t="s">
        <v>6831</v>
      </c>
      <c r="AX198" s="216"/>
      <c r="AY198" s="216"/>
      <c r="AZ198" s="216"/>
      <c r="BA198" s="216"/>
      <c r="BB198" s="216" t="s">
        <v>6832</v>
      </c>
      <c r="BC198" s="216"/>
      <c r="BD198" s="216"/>
      <c r="BE198" s="216"/>
      <c r="BF198" s="216"/>
      <c r="BG198" s="216"/>
      <c r="BH198" s="216"/>
      <c r="BI198" s="216"/>
      <c r="BJ198" s="216"/>
      <c r="BK198" s="216"/>
      <c r="BL198" s="216"/>
      <c r="BM198" s="216"/>
      <c r="BN198" s="216"/>
      <c r="BO198" s="216"/>
      <c r="BP198" s="216"/>
      <c r="BQ198" s="216"/>
      <c r="BR198" s="216"/>
      <c r="BS198" s="216"/>
      <c r="BT198" s="216"/>
      <c r="BU198" s="216"/>
      <c r="BV198" s="216"/>
      <c r="BW198" s="217"/>
    </row>
    <row r="199" spans="8:8" ht="16.5">
      <c r="A199" s="201"/>
      <c r="S199" s="201"/>
      <c r="T199" s="201"/>
      <c r="U199" s="201"/>
      <c r="V199" s="201"/>
      <c r="W199" s="201"/>
      <c r="X199" s="244" t="s">
        <v>6838</v>
      </c>
      <c r="Y199" s="244"/>
      <c r="Z199" s="244"/>
      <c r="AA199" s="244"/>
      <c r="AB199" s="244"/>
      <c r="AC199" s="244" t="s">
        <v>6839</v>
      </c>
      <c r="AD199" s="244"/>
      <c r="AE199" s="244"/>
      <c r="AF199" s="244"/>
      <c r="AG199" s="244"/>
      <c r="AH199" s="201"/>
      <c r="AI199" s="201"/>
      <c r="AJ199" s="272" t="s">
        <v>6835</v>
      </c>
      <c r="AK199" s="272"/>
      <c r="AL199" s="272"/>
      <c r="AM199" s="273">
        <v>11100.0</v>
      </c>
      <c r="AN199" s="272"/>
      <c r="AO199" s="272"/>
      <c r="AP199" s="272" t="s">
        <v>6198</v>
      </c>
      <c r="AQ199" s="272"/>
      <c r="AR199" s="272"/>
      <c r="AS199" s="201"/>
      <c r="AT199" s="201"/>
      <c r="AU199" s="201"/>
      <c r="AW199" s="215" t="s">
        <v>6836</v>
      </c>
      <c r="AX199" s="216"/>
      <c r="AY199" s="216"/>
      <c r="AZ199" s="216"/>
      <c r="BA199" s="216"/>
      <c r="BB199" s="216" t="s">
        <v>6837</v>
      </c>
      <c r="BC199" s="216"/>
      <c r="BD199" s="216"/>
      <c r="BE199" s="216"/>
      <c r="BF199" s="216"/>
      <c r="BG199" s="216"/>
      <c r="BH199" s="216"/>
      <c r="BI199" s="216"/>
      <c r="BJ199" s="216"/>
      <c r="BK199" s="216"/>
      <c r="BL199" s="216"/>
      <c r="BM199" s="216"/>
      <c r="BN199" s="216"/>
      <c r="BO199" s="216"/>
      <c r="BP199" s="216"/>
      <c r="BQ199" s="216"/>
      <c r="BR199" s="216"/>
      <c r="BS199" s="216"/>
      <c r="BT199" s="216"/>
      <c r="BU199" s="216"/>
      <c r="BV199" s="216"/>
      <c r="BW199" s="217"/>
    </row>
    <row r="200" spans="8:8" ht="16.5">
      <c r="A200" s="201"/>
      <c r="S200" s="201"/>
      <c r="T200" s="201"/>
      <c r="U200" s="201"/>
      <c r="V200" s="201"/>
      <c r="W200" s="201"/>
      <c r="X200" s="244" t="s">
        <v>6843</v>
      </c>
      <c r="Y200" s="244"/>
      <c r="Z200" s="244"/>
      <c r="AA200" s="244"/>
      <c r="AB200" s="244"/>
      <c r="AC200" s="244" t="s">
        <v>6844</v>
      </c>
      <c r="AD200" s="244"/>
      <c r="AE200" s="244"/>
      <c r="AF200" s="244"/>
      <c r="AG200" s="244"/>
      <c r="AH200" s="201"/>
      <c r="AI200" s="201"/>
      <c r="AJ200" s="272" t="s">
        <v>6840</v>
      </c>
      <c r="AK200" s="272"/>
      <c r="AL200" s="272"/>
      <c r="AM200" s="273">
        <v>2700.0</v>
      </c>
      <c r="AN200" s="272"/>
      <c r="AO200" s="272"/>
      <c r="AP200" s="272" t="s">
        <v>6206</v>
      </c>
      <c r="AQ200" s="272"/>
      <c r="AR200" s="272"/>
      <c r="AS200" s="201"/>
      <c r="AT200" s="201"/>
      <c r="AU200" s="201"/>
      <c r="AW200" s="215" t="s">
        <v>6841</v>
      </c>
      <c r="AX200" s="216"/>
      <c r="AY200" s="216"/>
      <c r="AZ200" s="216"/>
      <c r="BA200" s="216"/>
      <c r="BB200" s="216" t="s">
        <v>6842</v>
      </c>
      <c r="BC200" s="216"/>
      <c r="BD200" s="216"/>
      <c r="BE200" s="216"/>
      <c r="BF200" s="216"/>
      <c r="BG200" s="216"/>
      <c r="BH200" s="216"/>
      <c r="BI200" s="216"/>
      <c r="BJ200" s="216"/>
      <c r="BK200" s="216"/>
      <c r="BL200" s="216"/>
      <c r="BM200" s="216"/>
      <c r="BN200" s="216"/>
      <c r="BO200" s="216"/>
      <c r="BP200" s="216"/>
      <c r="BQ200" s="216"/>
      <c r="BR200" s="216"/>
      <c r="BS200" s="216"/>
      <c r="BT200" s="216"/>
      <c r="BU200" s="216"/>
      <c r="BV200" s="216"/>
      <c r="BW200" s="217"/>
    </row>
    <row r="201" spans="8:8" ht="16.5">
      <c r="A201" s="201"/>
      <c r="S201" s="201"/>
      <c r="T201" s="201"/>
      <c r="U201" s="201"/>
      <c r="V201" s="201"/>
      <c r="W201" s="201"/>
      <c r="X201" s="244" t="s">
        <v>6848</v>
      </c>
      <c r="Y201" s="244"/>
      <c r="Z201" s="244"/>
      <c r="AA201" s="244"/>
      <c r="AB201" s="244"/>
      <c r="AC201" s="244" t="s">
        <v>6849</v>
      </c>
      <c r="AD201" s="244"/>
      <c r="AE201" s="244"/>
      <c r="AF201" s="244"/>
      <c r="AG201" s="244"/>
      <c r="AH201" s="201"/>
      <c r="AI201" s="201"/>
      <c r="AJ201" s="272" t="s">
        <v>6845</v>
      </c>
      <c r="AK201" s="272"/>
      <c r="AL201" s="272"/>
      <c r="AM201" s="273">
        <v>10700.0</v>
      </c>
      <c r="AN201" s="272"/>
      <c r="AO201" s="272"/>
      <c r="AP201" s="272" t="s">
        <v>6846</v>
      </c>
      <c r="AQ201" s="272"/>
      <c r="AR201" s="272"/>
      <c r="AS201" s="201"/>
      <c r="AT201" s="201"/>
      <c r="AU201" s="201"/>
      <c r="AW201" s="215" t="s">
        <v>6847</v>
      </c>
      <c r="AX201" s="216"/>
      <c r="AY201" s="216"/>
      <c r="AZ201" s="216"/>
      <c r="BA201" s="216"/>
      <c r="BB201" s="216" t="s">
        <v>6106</v>
      </c>
      <c r="BC201" s="216"/>
      <c r="BD201" s="216"/>
      <c r="BE201" s="216"/>
      <c r="BF201" s="216"/>
      <c r="BG201" s="216"/>
      <c r="BH201" s="216"/>
      <c r="BI201" s="216"/>
      <c r="BJ201" s="216"/>
      <c r="BK201" s="216"/>
      <c r="BL201" s="216"/>
      <c r="BM201" s="216"/>
      <c r="BN201" s="216"/>
      <c r="BO201" s="216"/>
      <c r="BP201" s="216"/>
      <c r="BQ201" s="216"/>
      <c r="BR201" s="216"/>
      <c r="BS201" s="216"/>
      <c r="BT201" s="216"/>
      <c r="BU201" s="216"/>
      <c r="BV201" s="216"/>
      <c r="BW201" s="217"/>
    </row>
    <row r="202" spans="8:8" ht="16.5">
      <c r="A202" s="201"/>
      <c r="S202" s="201"/>
      <c r="T202" s="201"/>
      <c r="U202" s="201"/>
      <c r="V202" s="201"/>
      <c r="W202" s="201"/>
      <c r="X202" s="244" t="s">
        <v>6852</v>
      </c>
      <c r="Y202" s="244"/>
      <c r="Z202" s="244"/>
      <c r="AA202" s="244"/>
      <c r="AB202" s="244"/>
      <c r="AC202" s="244" t="s">
        <v>6853</v>
      </c>
      <c r="AD202" s="244"/>
      <c r="AE202" s="244"/>
      <c r="AF202" s="244"/>
      <c r="AG202" s="244"/>
      <c r="AH202" s="201"/>
      <c r="AI202" s="201"/>
      <c r="AJ202" s="272" t="s">
        <v>6850</v>
      </c>
      <c r="AK202" s="272"/>
      <c r="AL202" s="272"/>
      <c r="AM202" s="273">
        <v>600.0</v>
      </c>
      <c r="AN202" s="272"/>
      <c r="AO202" s="272"/>
      <c r="AP202" s="272" t="s">
        <v>5380</v>
      </c>
      <c r="AQ202" s="272"/>
      <c r="AR202" s="272"/>
      <c r="AS202" s="201"/>
      <c r="AT202" s="201"/>
      <c r="AU202" s="201"/>
      <c r="AW202" s="215" t="s">
        <v>6851</v>
      </c>
      <c r="AX202" s="216"/>
      <c r="AY202" s="216"/>
      <c r="AZ202" s="216"/>
      <c r="BA202" s="216"/>
      <c r="BB202" s="216" t="s">
        <v>5679</v>
      </c>
      <c r="BC202" s="216"/>
      <c r="BD202" s="216"/>
      <c r="BE202" s="216"/>
      <c r="BF202" s="216"/>
      <c r="BG202" s="216"/>
      <c r="BH202" s="216"/>
      <c r="BI202" s="216"/>
      <c r="BJ202" s="216"/>
      <c r="BK202" s="216"/>
      <c r="BL202" s="216"/>
      <c r="BM202" s="216"/>
      <c r="BN202" s="216"/>
      <c r="BO202" s="216"/>
      <c r="BP202" s="216"/>
      <c r="BQ202" s="216"/>
      <c r="BR202" s="216"/>
      <c r="BS202" s="216"/>
      <c r="BT202" s="216"/>
      <c r="BU202" s="216"/>
      <c r="BV202" s="216"/>
      <c r="BW202" s="217"/>
    </row>
    <row r="203" spans="8:8" ht="16.5">
      <c r="A203" s="201"/>
      <c r="S203" s="201"/>
      <c r="T203" s="201"/>
      <c r="U203" s="201"/>
      <c r="V203" s="201"/>
      <c r="W203" s="201"/>
      <c r="X203" s="244" t="s">
        <v>6857</v>
      </c>
      <c r="Y203" s="244"/>
      <c r="Z203" s="244"/>
      <c r="AA203" s="244"/>
      <c r="AB203" s="244"/>
      <c r="AC203" s="244" t="s">
        <v>6858</v>
      </c>
      <c r="AD203" s="244"/>
      <c r="AE203" s="244"/>
      <c r="AF203" s="244"/>
      <c r="AG203" s="244"/>
      <c r="AH203" s="201"/>
      <c r="AI203" s="201"/>
      <c r="AJ203" s="272" t="s">
        <v>6854</v>
      </c>
      <c r="AK203" s="272"/>
      <c r="AL203" s="272"/>
      <c r="AM203" s="273">
        <v>1800.0</v>
      </c>
      <c r="AN203" s="272"/>
      <c r="AO203" s="272"/>
      <c r="AP203" s="272" t="s">
        <v>6286</v>
      </c>
      <c r="AQ203" s="272"/>
      <c r="AR203" s="272"/>
      <c r="AS203" s="201"/>
      <c r="AT203" s="201"/>
      <c r="AU203" s="201"/>
      <c r="AW203" s="215" t="s">
        <v>6855</v>
      </c>
      <c r="AX203" s="216"/>
      <c r="AY203" s="216"/>
      <c r="AZ203" s="216"/>
      <c r="BA203" s="216"/>
      <c r="BB203" s="216" t="s">
        <v>6856</v>
      </c>
      <c r="BC203" s="216"/>
      <c r="BD203" s="216"/>
      <c r="BE203" s="216"/>
      <c r="BF203" s="216"/>
      <c r="BG203" s="216"/>
      <c r="BH203" s="216"/>
      <c r="BI203" s="216"/>
      <c r="BJ203" s="216"/>
      <c r="BK203" s="216"/>
      <c r="BL203" s="216"/>
      <c r="BM203" s="216"/>
      <c r="BN203" s="216"/>
      <c r="BO203" s="216"/>
      <c r="BP203" s="216"/>
      <c r="BQ203" s="216"/>
      <c r="BR203" s="216"/>
      <c r="BS203" s="216"/>
      <c r="BT203" s="216"/>
      <c r="BU203" s="216"/>
      <c r="BV203" s="216"/>
      <c r="BW203" s="217"/>
    </row>
    <row r="204" spans="8:8" ht="16.5">
      <c r="A204" s="201"/>
      <c r="S204" s="201"/>
      <c r="T204" s="201"/>
      <c r="U204" s="201"/>
      <c r="V204" s="201"/>
      <c r="W204" s="201"/>
      <c r="X204" s="244" t="s">
        <v>6091</v>
      </c>
      <c r="Y204" s="244"/>
      <c r="Z204" s="244"/>
      <c r="AA204" s="244"/>
      <c r="AB204" s="244"/>
      <c r="AC204" s="244" t="s">
        <v>6861</v>
      </c>
      <c r="AD204" s="244"/>
      <c r="AE204" s="244"/>
      <c r="AF204" s="244"/>
      <c r="AG204" s="244"/>
      <c r="AH204" s="201"/>
      <c r="AI204" s="201"/>
      <c r="AJ204" s="272" t="s">
        <v>6859</v>
      </c>
      <c r="AK204" s="272"/>
      <c r="AL204" s="272"/>
      <c r="AM204" s="273">
        <v>12800.0</v>
      </c>
      <c r="AN204" s="272"/>
      <c r="AO204" s="272"/>
      <c r="AP204" s="272" t="s">
        <v>6280</v>
      </c>
      <c r="AQ204" s="272"/>
      <c r="AR204" s="272"/>
      <c r="AS204" s="201"/>
      <c r="AT204" s="201"/>
      <c r="AU204" s="201"/>
      <c r="AW204" s="215" t="s">
        <v>6860</v>
      </c>
      <c r="AX204" s="216"/>
      <c r="AY204" s="216"/>
      <c r="AZ204" s="216"/>
      <c r="BA204" s="216"/>
      <c r="BB204" s="216" t="s">
        <v>5296</v>
      </c>
      <c r="BC204" s="216"/>
      <c r="BD204" s="216"/>
      <c r="BE204" s="216"/>
      <c r="BF204" s="216"/>
      <c r="BG204" s="216"/>
      <c r="BH204" s="216"/>
      <c r="BI204" s="216"/>
      <c r="BJ204" s="216"/>
      <c r="BK204" s="216"/>
      <c r="BL204" s="216"/>
      <c r="BM204" s="216"/>
      <c r="BN204" s="216"/>
      <c r="BO204" s="216"/>
      <c r="BP204" s="216"/>
      <c r="BQ204" s="216"/>
      <c r="BR204" s="216"/>
      <c r="BS204" s="216"/>
      <c r="BT204" s="216"/>
      <c r="BU204" s="216"/>
      <c r="BV204" s="216"/>
      <c r="BW204" s="217"/>
    </row>
    <row r="205" spans="8:8" ht="16.5">
      <c r="A205" s="201"/>
      <c r="S205" s="201"/>
      <c r="T205" s="201"/>
      <c r="U205" s="201"/>
      <c r="V205" s="201"/>
      <c r="W205" s="201"/>
      <c r="X205" s="244" t="s">
        <v>6865</v>
      </c>
      <c r="Y205" s="244"/>
      <c r="Z205" s="244"/>
      <c r="AA205" s="244"/>
      <c r="AB205" s="244"/>
      <c r="AC205" s="244" t="s">
        <v>6866</v>
      </c>
      <c r="AD205" s="244"/>
      <c r="AE205" s="244"/>
      <c r="AF205" s="244"/>
      <c r="AG205" s="244"/>
      <c r="AH205" s="201"/>
      <c r="AI205" s="201"/>
      <c r="AJ205" s="272" t="s">
        <v>6862</v>
      </c>
      <c r="AK205" s="272"/>
      <c r="AL205" s="272"/>
      <c r="AM205" s="273">
        <v>4600.0</v>
      </c>
      <c r="AN205" s="272"/>
      <c r="AO205" s="272"/>
      <c r="AP205" s="272" t="s">
        <v>6446</v>
      </c>
      <c r="AQ205" s="272"/>
      <c r="AR205" s="272"/>
      <c r="AS205" s="201"/>
      <c r="AT205" s="201"/>
      <c r="AU205" s="201"/>
      <c r="AW205" s="215" t="s">
        <v>6863</v>
      </c>
      <c r="AX205" s="216"/>
      <c r="AY205" s="216"/>
      <c r="AZ205" s="216"/>
      <c r="BA205" s="216"/>
      <c r="BB205" s="216" t="s">
        <v>6864</v>
      </c>
      <c r="BC205" s="216"/>
      <c r="BD205" s="216"/>
      <c r="BE205" s="216"/>
      <c r="BF205" s="216"/>
      <c r="BG205" s="216"/>
      <c r="BH205" s="216"/>
      <c r="BI205" s="216"/>
      <c r="BJ205" s="216"/>
      <c r="BK205" s="216"/>
      <c r="BL205" s="216"/>
      <c r="BM205" s="216"/>
      <c r="BN205" s="216"/>
      <c r="BO205" s="216"/>
      <c r="BP205" s="216"/>
      <c r="BQ205" s="216"/>
      <c r="BR205" s="216"/>
      <c r="BS205" s="216"/>
      <c r="BT205" s="216"/>
      <c r="BU205" s="216"/>
      <c r="BV205" s="216"/>
      <c r="BW205" s="217"/>
    </row>
    <row r="206" spans="8:8" ht="16.5">
      <c r="A206" s="201"/>
      <c r="S206" s="201"/>
      <c r="T206" s="201"/>
      <c r="U206" s="201"/>
      <c r="V206" s="201"/>
      <c r="W206" s="201"/>
      <c r="X206" s="244" t="s">
        <v>6869</v>
      </c>
      <c r="Y206" s="244"/>
      <c r="Z206" s="244"/>
      <c r="AA206" s="244"/>
      <c r="AB206" s="244"/>
      <c r="AC206" s="244" t="s">
        <v>6870</v>
      </c>
      <c r="AD206" s="244"/>
      <c r="AE206" s="244"/>
      <c r="AF206" s="244"/>
      <c r="AG206" s="244"/>
      <c r="AH206" s="201"/>
      <c r="AI206" s="201"/>
      <c r="AJ206" s="272" t="s">
        <v>5821</v>
      </c>
      <c r="AK206" s="272"/>
      <c r="AL206" s="272"/>
      <c r="AM206" s="273">
        <v>1500.0</v>
      </c>
      <c r="AN206" s="272"/>
      <c r="AO206" s="272"/>
      <c r="AP206" s="272" t="s">
        <v>5820</v>
      </c>
      <c r="AQ206" s="272"/>
      <c r="AR206" s="272"/>
      <c r="AS206" s="201"/>
      <c r="AT206" s="201"/>
      <c r="AU206" s="201"/>
      <c r="AW206" s="215" t="s">
        <v>6867</v>
      </c>
      <c r="AX206" s="216"/>
      <c r="AY206" s="216"/>
      <c r="AZ206" s="216"/>
      <c r="BA206" s="216"/>
      <c r="BB206" s="216" t="s">
        <v>6868</v>
      </c>
      <c r="BC206" s="216"/>
      <c r="BD206" s="216"/>
      <c r="BE206" s="216"/>
      <c r="BF206" s="216"/>
      <c r="BG206" s="216"/>
      <c r="BH206" s="216"/>
      <c r="BI206" s="216"/>
      <c r="BJ206" s="216"/>
      <c r="BK206" s="216"/>
      <c r="BL206" s="216"/>
      <c r="BM206" s="216"/>
      <c r="BN206" s="216"/>
      <c r="BO206" s="216"/>
      <c r="BP206" s="216"/>
      <c r="BQ206" s="216"/>
      <c r="BR206" s="216"/>
      <c r="BS206" s="216"/>
      <c r="BT206" s="216"/>
      <c r="BU206" s="216"/>
      <c r="BV206" s="216"/>
      <c r="BW206" s="217"/>
    </row>
    <row r="207" spans="8:8" ht="16.5">
      <c r="A207" s="201"/>
      <c r="S207" s="201"/>
      <c r="T207" s="201"/>
      <c r="U207" s="201"/>
      <c r="V207" s="201"/>
      <c r="W207" s="201"/>
      <c r="X207" s="244" t="s">
        <v>6873</v>
      </c>
      <c r="Y207" s="244"/>
      <c r="Z207" s="244"/>
      <c r="AA207" s="244"/>
      <c r="AB207" s="244"/>
      <c r="AC207" s="244" t="s">
        <v>6874</v>
      </c>
      <c r="AD207" s="244"/>
      <c r="AE207" s="244"/>
      <c r="AF207" s="244"/>
      <c r="AG207" s="244"/>
      <c r="AH207" s="201"/>
      <c r="AI207" s="201"/>
      <c r="AJ207" s="272" t="s">
        <v>6871</v>
      </c>
      <c r="AK207" s="272"/>
      <c r="AL207" s="272"/>
      <c r="AM207" s="273">
        <v>1200.0</v>
      </c>
      <c r="AN207" s="272"/>
      <c r="AO207" s="272"/>
      <c r="AP207" s="272" t="s">
        <v>5718</v>
      </c>
      <c r="AQ207" s="272"/>
      <c r="AR207" s="272"/>
      <c r="AS207" s="201"/>
      <c r="AT207" s="201"/>
      <c r="AU207" s="201"/>
      <c r="AW207" s="215" t="s">
        <v>6872</v>
      </c>
      <c r="AX207" s="216"/>
      <c r="AY207" s="216"/>
      <c r="AZ207" s="216"/>
      <c r="BA207" s="216"/>
      <c r="BB207" s="216" t="s">
        <v>6798</v>
      </c>
      <c r="BC207" s="216"/>
      <c r="BD207" s="216"/>
      <c r="BE207" s="216"/>
      <c r="BF207" s="216"/>
      <c r="BG207" s="216"/>
      <c r="BH207" s="216"/>
      <c r="BI207" s="216"/>
      <c r="BJ207" s="216"/>
      <c r="BK207" s="216"/>
      <c r="BL207" s="216"/>
      <c r="BM207" s="216"/>
      <c r="BN207" s="216"/>
      <c r="BO207" s="216"/>
      <c r="BP207" s="216"/>
      <c r="BQ207" s="216"/>
      <c r="BR207" s="216"/>
      <c r="BS207" s="216"/>
      <c r="BT207" s="216"/>
      <c r="BU207" s="216"/>
      <c r="BV207" s="216"/>
      <c r="BW207" s="217"/>
    </row>
    <row r="208" spans="8:8" ht="16.5">
      <c r="A208" s="201"/>
      <c r="S208" s="201"/>
      <c r="T208" s="201"/>
      <c r="U208" s="201"/>
      <c r="V208" s="201"/>
      <c r="W208" s="201"/>
      <c r="X208" s="244" t="s">
        <v>6877</v>
      </c>
      <c r="Y208" s="244"/>
      <c r="Z208" s="244"/>
      <c r="AA208" s="244"/>
      <c r="AB208" s="244"/>
      <c r="AC208" s="244" t="s">
        <v>6878</v>
      </c>
      <c r="AD208" s="244"/>
      <c r="AE208" s="244"/>
      <c r="AF208" s="244"/>
      <c r="AG208" s="244"/>
      <c r="AH208" s="201"/>
      <c r="AI208" s="201"/>
      <c r="AJ208" s="272" t="s">
        <v>6875</v>
      </c>
      <c r="AK208" s="272"/>
      <c r="AL208" s="272"/>
      <c r="AM208" s="273">
        <v>2500.0</v>
      </c>
      <c r="AN208" s="272"/>
      <c r="AO208" s="272"/>
      <c r="AP208" s="272" t="s">
        <v>5402</v>
      </c>
      <c r="AQ208" s="272"/>
      <c r="AR208" s="272"/>
      <c r="AS208" s="201"/>
      <c r="AT208" s="201"/>
      <c r="AU208" s="201"/>
      <c r="AW208" s="215" t="s">
        <v>6876</v>
      </c>
      <c r="AX208" s="216"/>
      <c r="AY208" s="216"/>
      <c r="AZ208" s="216"/>
      <c r="BA208" s="216"/>
      <c r="BB208" s="216" t="s">
        <v>6256</v>
      </c>
      <c r="BC208" s="216"/>
      <c r="BD208" s="216"/>
      <c r="BE208" s="216"/>
      <c r="BF208" s="216"/>
      <c r="BG208" s="216"/>
      <c r="BH208" s="216"/>
      <c r="BI208" s="216"/>
      <c r="BJ208" s="216"/>
      <c r="BK208" s="216"/>
      <c r="BL208" s="216"/>
      <c r="BM208" s="216"/>
      <c r="BN208" s="216"/>
      <c r="BO208" s="216"/>
      <c r="BP208" s="216"/>
      <c r="BQ208" s="216"/>
      <c r="BR208" s="216"/>
      <c r="BS208" s="216"/>
      <c r="BT208" s="216"/>
      <c r="BU208" s="216"/>
      <c r="BV208" s="216"/>
      <c r="BW208" s="217"/>
    </row>
    <row r="209" spans="8:8" ht="16.5">
      <c r="A209" s="201"/>
      <c r="S209" s="201"/>
      <c r="T209" s="201"/>
      <c r="U209" s="201"/>
      <c r="V209" s="201"/>
      <c r="W209" s="201"/>
      <c r="X209" s="244" t="s">
        <v>6115</v>
      </c>
      <c r="Y209" s="244"/>
      <c r="Z209" s="244"/>
      <c r="AA209" s="244"/>
      <c r="AB209" s="244"/>
      <c r="AC209" s="244" t="s">
        <v>6116</v>
      </c>
      <c r="AD209" s="244"/>
      <c r="AE209" s="244"/>
      <c r="AF209" s="244"/>
      <c r="AG209" s="244"/>
      <c r="AH209" s="201"/>
      <c r="AI209" s="201"/>
      <c r="AJ209" s="272" t="s">
        <v>6879</v>
      </c>
      <c r="AK209" s="272"/>
      <c r="AL209" s="272"/>
      <c r="AM209" s="273">
        <v>5500.0</v>
      </c>
      <c r="AN209" s="272"/>
      <c r="AO209" s="272"/>
      <c r="AP209" s="272" t="s">
        <v>5392</v>
      </c>
      <c r="AQ209" s="272"/>
      <c r="AR209" s="272"/>
      <c r="AS209" s="201"/>
      <c r="AT209" s="201"/>
      <c r="AU209" s="201"/>
      <c r="AW209" s="215" t="s">
        <v>6880</v>
      </c>
      <c r="AX209" s="216"/>
      <c r="AY209" s="216"/>
      <c r="AZ209" s="216"/>
      <c r="BA209" s="216"/>
      <c r="BB209" s="216" t="s">
        <v>6881</v>
      </c>
      <c r="BC209" s="216"/>
      <c r="BD209" s="216"/>
      <c r="BE209" s="216"/>
      <c r="BF209" s="216"/>
      <c r="BG209" s="216"/>
      <c r="BH209" s="216"/>
      <c r="BI209" s="216"/>
      <c r="BJ209" s="216"/>
      <c r="BK209" s="216"/>
      <c r="BL209" s="216"/>
      <c r="BM209" s="216"/>
      <c r="BN209" s="216"/>
      <c r="BO209" s="216"/>
      <c r="BP209" s="216"/>
      <c r="BQ209" s="216"/>
      <c r="BR209" s="216"/>
      <c r="BS209" s="216"/>
      <c r="BT209" s="216"/>
      <c r="BU209" s="216"/>
      <c r="BV209" s="216"/>
      <c r="BW209" s="217"/>
    </row>
    <row r="210" spans="8:8" ht="16.5">
      <c r="A210" s="201"/>
      <c r="S210" s="201"/>
      <c r="T210" s="201"/>
      <c r="U210" s="201"/>
      <c r="V210" s="201"/>
      <c r="W210" s="201"/>
      <c r="X210" s="244" t="s">
        <v>6885</v>
      </c>
      <c r="Y210" s="244"/>
      <c r="Z210" s="244"/>
      <c r="AA210" s="244"/>
      <c r="AB210" s="244"/>
      <c r="AC210" s="244" t="s">
        <v>6886</v>
      </c>
      <c r="AD210" s="244"/>
      <c r="AE210" s="244"/>
      <c r="AF210" s="244"/>
      <c r="AG210" s="244"/>
      <c r="AH210" s="201"/>
      <c r="AI210" s="201"/>
      <c r="AJ210" s="272" t="s">
        <v>6882</v>
      </c>
      <c r="AK210" s="272"/>
      <c r="AL210" s="272"/>
      <c r="AM210" s="273">
        <v>4000.0</v>
      </c>
      <c r="AN210" s="272"/>
      <c r="AO210" s="272"/>
      <c r="AP210" s="272" t="s">
        <v>5874</v>
      </c>
      <c r="AQ210" s="272"/>
      <c r="AR210" s="272"/>
      <c r="AS210" s="201"/>
      <c r="AT210" s="201"/>
      <c r="AU210" s="201"/>
      <c r="AW210" s="215" t="s">
        <v>6883</v>
      </c>
      <c r="AX210" s="216"/>
      <c r="AY210" s="216"/>
      <c r="AZ210" s="216"/>
      <c r="BA210" s="216"/>
      <c r="BB210" s="216" t="s">
        <v>6884</v>
      </c>
      <c r="BC210" s="216"/>
      <c r="BD210" s="216"/>
      <c r="BE210" s="216"/>
      <c r="BF210" s="216"/>
      <c r="BG210" s="216"/>
      <c r="BH210" s="216"/>
      <c r="BI210" s="216"/>
      <c r="BJ210" s="216"/>
      <c r="BK210" s="216"/>
      <c r="BL210" s="216"/>
      <c r="BM210" s="216"/>
      <c r="BN210" s="216"/>
      <c r="BO210" s="216"/>
      <c r="BP210" s="216"/>
      <c r="BQ210" s="216"/>
      <c r="BR210" s="216"/>
      <c r="BS210" s="216"/>
      <c r="BT210" s="216"/>
      <c r="BU210" s="216"/>
      <c r="BV210" s="216"/>
      <c r="BW210" s="217"/>
    </row>
    <row r="211" spans="8:8" ht="16.5">
      <c r="A211" s="201"/>
      <c r="S211" s="201"/>
      <c r="T211" s="201"/>
      <c r="U211" s="201"/>
      <c r="V211" s="201"/>
      <c r="W211" s="201"/>
      <c r="X211" s="244" t="s">
        <v>6889</v>
      </c>
      <c r="Y211" s="244"/>
      <c r="Z211" s="244"/>
      <c r="AA211" s="244"/>
      <c r="AB211" s="244"/>
      <c r="AC211" s="244" t="s">
        <v>6890</v>
      </c>
      <c r="AD211" s="244"/>
      <c r="AE211" s="244"/>
      <c r="AF211" s="244"/>
      <c r="AG211" s="244"/>
      <c r="AH211" s="201"/>
      <c r="AI211" s="201"/>
      <c r="AJ211" s="272" t="s">
        <v>5810</v>
      </c>
      <c r="AK211" s="272"/>
      <c r="AL211" s="272"/>
      <c r="AM211" s="273">
        <v>45000.0</v>
      </c>
      <c r="AN211" s="272"/>
      <c r="AO211" s="272"/>
      <c r="AP211" s="272" t="s">
        <v>5413</v>
      </c>
      <c r="AQ211" s="272"/>
      <c r="AR211" s="272"/>
      <c r="AS211" s="201"/>
      <c r="AT211" s="201"/>
      <c r="AU211" s="201"/>
      <c r="AW211" s="215" t="s">
        <v>6887</v>
      </c>
      <c r="AX211" s="216"/>
      <c r="AY211" s="216"/>
      <c r="AZ211" s="216"/>
      <c r="BA211" s="216"/>
      <c r="BB211" s="216" t="s">
        <v>6888</v>
      </c>
      <c r="BC211" s="216"/>
      <c r="BD211" s="216"/>
      <c r="BE211" s="216"/>
      <c r="BF211" s="216"/>
      <c r="BG211" s="216"/>
      <c r="BH211" s="216"/>
      <c r="BI211" s="216"/>
      <c r="BJ211" s="216"/>
      <c r="BK211" s="216"/>
      <c r="BL211" s="216"/>
      <c r="BM211" s="216"/>
      <c r="BN211" s="216"/>
      <c r="BO211" s="216"/>
      <c r="BP211" s="216"/>
      <c r="BQ211" s="216"/>
      <c r="BR211" s="216"/>
      <c r="BS211" s="216"/>
      <c r="BT211" s="216"/>
      <c r="BU211" s="216"/>
      <c r="BV211" s="216"/>
      <c r="BW211" s="217"/>
    </row>
    <row r="212" spans="8:8" ht="16.5">
      <c r="A212" s="201"/>
      <c r="S212" s="201"/>
      <c r="T212" s="201"/>
      <c r="U212" s="201"/>
      <c r="V212" s="201"/>
      <c r="W212" s="201"/>
      <c r="X212" s="244" t="s">
        <v>6125</v>
      </c>
      <c r="Y212" s="244"/>
      <c r="Z212" s="244"/>
      <c r="AA212" s="244"/>
      <c r="AB212" s="244"/>
      <c r="AC212" s="244" t="s">
        <v>6126</v>
      </c>
      <c r="AD212" s="244"/>
      <c r="AE212" s="244"/>
      <c r="AF212" s="244"/>
      <c r="AG212" s="244"/>
      <c r="AH212" s="201"/>
      <c r="AI212" s="201"/>
      <c r="AJ212" s="272" t="s">
        <v>6891</v>
      </c>
      <c r="AK212" s="272"/>
      <c r="AL212" s="272"/>
      <c r="AM212" s="273">
        <v>15000.0</v>
      </c>
      <c r="AN212" s="272"/>
      <c r="AO212" s="272"/>
      <c r="AP212" s="272" t="s">
        <v>6440</v>
      </c>
      <c r="AQ212" s="272"/>
      <c r="AR212" s="272"/>
      <c r="AS212" s="201"/>
      <c r="AT212" s="201"/>
      <c r="AU212" s="201"/>
      <c r="AW212" s="215" t="s">
        <v>6892</v>
      </c>
      <c r="AX212" s="216"/>
      <c r="AY212" s="216"/>
      <c r="AZ212" s="216"/>
      <c r="BA212" s="216"/>
      <c r="BB212" s="216" t="s">
        <v>6893</v>
      </c>
      <c r="BC212" s="216"/>
      <c r="BD212" s="216"/>
      <c r="BE212" s="216"/>
      <c r="BF212" s="216"/>
      <c r="BG212" s="216"/>
      <c r="BH212" s="216"/>
      <c r="BI212" s="216"/>
      <c r="BJ212" s="216"/>
      <c r="BK212" s="216"/>
      <c r="BL212" s="216"/>
      <c r="BM212" s="216"/>
      <c r="BN212" s="216"/>
      <c r="BO212" s="216"/>
      <c r="BP212" s="216"/>
      <c r="BQ212" s="216"/>
      <c r="BR212" s="216"/>
      <c r="BS212" s="216"/>
      <c r="BT212" s="216"/>
      <c r="BU212" s="216"/>
      <c r="BV212" s="216"/>
      <c r="BW212" s="217"/>
    </row>
    <row r="213" spans="8:8" ht="16.5">
      <c r="A213" s="201"/>
      <c r="S213" s="201"/>
      <c r="T213" s="201"/>
      <c r="U213" s="201"/>
      <c r="V213" s="201"/>
      <c r="W213" s="201"/>
      <c r="X213" s="244" t="s">
        <v>6897</v>
      </c>
      <c r="Y213" s="244"/>
      <c r="Z213" s="244"/>
      <c r="AA213" s="244"/>
      <c r="AB213" s="244"/>
      <c r="AC213" s="244" t="s">
        <v>6898</v>
      </c>
      <c r="AD213" s="244"/>
      <c r="AE213" s="244"/>
      <c r="AF213" s="244"/>
      <c r="AG213" s="244"/>
      <c r="AH213" s="201"/>
      <c r="AI213" s="201"/>
      <c r="AJ213" s="272" t="s">
        <v>6894</v>
      </c>
      <c r="AK213" s="272"/>
      <c r="AL213" s="272"/>
      <c r="AM213" s="273">
        <v>5000.0</v>
      </c>
      <c r="AN213" s="272"/>
      <c r="AO213" s="272"/>
      <c r="AP213" s="272" t="s">
        <v>5501</v>
      </c>
      <c r="AQ213" s="272"/>
      <c r="AR213" s="272"/>
      <c r="AS213" s="201"/>
      <c r="AT213" s="201"/>
      <c r="AU213" s="201"/>
      <c r="AW213" s="215" t="s">
        <v>6895</v>
      </c>
      <c r="AX213" s="216"/>
      <c r="AY213" s="216"/>
      <c r="AZ213" s="216"/>
      <c r="BA213" s="216"/>
      <c r="BB213" s="216" t="s">
        <v>6896</v>
      </c>
      <c r="BC213" s="216"/>
      <c r="BD213" s="216"/>
      <c r="BE213" s="216"/>
      <c r="BF213" s="216"/>
      <c r="BG213" s="216"/>
      <c r="BH213" s="216"/>
      <c r="BI213" s="216"/>
      <c r="BJ213" s="216"/>
      <c r="BK213" s="216"/>
      <c r="BL213" s="216"/>
      <c r="BM213" s="216"/>
      <c r="BN213" s="216"/>
      <c r="BO213" s="216"/>
      <c r="BP213" s="216"/>
      <c r="BQ213" s="216"/>
      <c r="BR213" s="216"/>
      <c r="BS213" s="216"/>
      <c r="BT213" s="216"/>
      <c r="BU213" s="216"/>
      <c r="BV213" s="216"/>
      <c r="BW213" s="217"/>
    </row>
    <row r="214" spans="8:8" ht="16.5">
      <c r="A214" s="201"/>
      <c r="S214" s="201"/>
      <c r="T214" s="201"/>
      <c r="U214" s="201"/>
      <c r="V214" s="201"/>
      <c r="W214" s="201"/>
      <c r="X214" s="244" t="s">
        <v>6902</v>
      </c>
      <c r="Y214" s="244"/>
      <c r="Z214" s="244"/>
      <c r="AA214" s="244"/>
      <c r="AB214" s="244"/>
      <c r="AC214" s="244" t="s">
        <v>6903</v>
      </c>
      <c r="AD214" s="244"/>
      <c r="AE214" s="244"/>
      <c r="AF214" s="244"/>
      <c r="AG214" s="244"/>
      <c r="AH214" s="201"/>
      <c r="AI214" s="201"/>
      <c r="AJ214" s="272" t="s">
        <v>6899</v>
      </c>
      <c r="AK214" s="272"/>
      <c r="AL214" s="272"/>
      <c r="AM214" s="273">
        <v>5000.0</v>
      </c>
      <c r="AN214" s="272"/>
      <c r="AO214" s="272"/>
      <c r="AP214" s="272" t="s">
        <v>5492</v>
      </c>
      <c r="AQ214" s="272"/>
      <c r="AR214" s="272"/>
      <c r="AS214" s="201"/>
      <c r="AT214" s="201"/>
      <c r="AU214" s="201"/>
      <c r="AW214" s="215" t="s">
        <v>6900</v>
      </c>
      <c r="AX214" s="216"/>
      <c r="AY214" s="216"/>
      <c r="AZ214" s="216"/>
      <c r="BA214" s="216"/>
      <c r="BB214" s="216" t="s">
        <v>6901</v>
      </c>
      <c r="BC214" s="216"/>
      <c r="BD214" s="216"/>
      <c r="BE214" s="216"/>
      <c r="BF214" s="216"/>
      <c r="BG214" s="216"/>
      <c r="BH214" s="216"/>
      <c r="BI214" s="216"/>
      <c r="BJ214" s="216"/>
      <c r="BK214" s="216"/>
      <c r="BL214" s="216"/>
      <c r="BM214" s="216"/>
      <c r="BN214" s="216"/>
      <c r="BO214" s="216"/>
      <c r="BP214" s="216"/>
      <c r="BQ214" s="216"/>
      <c r="BR214" s="216"/>
      <c r="BS214" s="216"/>
      <c r="BT214" s="216"/>
      <c r="BU214" s="216"/>
      <c r="BV214" s="216"/>
      <c r="BW214" s="217"/>
    </row>
    <row r="215" spans="8:8" ht="16.5">
      <c r="A215" s="201"/>
      <c r="S215" s="201"/>
      <c r="T215" s="201"/>
      <c r="U215" s="201"/>
      <c r="V215" s="201"/>
      <c r="W215" s="201"/>
      <c r="X215" s="244" t="s">
        <v>6907</v>
      </c>
      <c r="Y215" s="244"/>
      <c r="Z215" s="244"/>
      <c r="AA215" s="244"/>
      <c r="AB215" s="244"/>
      <c r="AC215" s="244" t="s">
        <v>6908</v>
      </c>
      <c r="AD215" s="244"/>
      <c r="AE215" s="244"/>
      <c r="AF215" s="244"/>
      <c r="AG215" s="244"/>
      <c r="AH215" s="201"/>
      <c r="AI215" s="201"/>
      <c r="AJ215" s="272" t="s">
        <v>6904</v>
      </c>
      <c r="AK215" s="272"/>
      <c r="AL215" s="272"/>
      <c r="AM215" s="272" t="s">
        <v>6148</v>
      </c>
      <c r="AN215" s="272"/>
      <c r="AO215" s="272"/>
      <c r="AP215" s="272"/>
      <c r="AQ215" s="272"/>
      <c r="AR215" s="272"/>
      <c r="AS215" s="201"/>
      <c r="AT215" s="201"/>
      <c r="AU215" s="201"/>
      <c r="AW215" s="215" t="s">
        <v>6905</v>
      </c>
      <c r="AX215" s="216"/>
      <c r="AY215" s="216"/>
      <c r="AZ215" s="216"/>
      <c r="BA215" s="216"/>
      <c r="BB215" s="216" t="s">
        <v>6906</v>
      </c>
      <c r="BC215" s="216"/>
      <c r="BD215" s="216"/>
      <c r="BE215" s="216"/>
      <c r="BF215" s="216"/>
      <c r="BG215" s="216"/>
      <c r="BH215" s="216"/>
      <c r="BI215" s="216"/>
      <c r="BJ215" s="216"/>
      <c r="BK215" s="216"/>
      <c r="BL215" s="216"/>
      <c r="BM215" s="216"/>
      <c r="BN215" s="216"/>
      <c r="BO215" s="216"/>
      <c r="BP215" s="216"/>
      <c r="BQ215" s="216"/>
      <c r="BR215" s="216"/>
      <c r="BS215" s="216"/>
      <c r="BT215" s="216"/>
      <c r="BU215" s="216"/>
      <c r="BV215" s="216"/>
      <c r="BW215" s="217"/>
    </row>
    <row r="216" spans="8:8" ht="16.5">
      <c r="A216" s="201"/>
      <c r="S216" s="201"/>
      <c r="T216" s="201"/>
      <c r="U216" s="201"/>
      <c r="V216" s="201"/>
      <c r="W216" s="201"/>
      <c r="X216" s="244" t="s">
        <v>6912</v>
      </c>
      <c r="Y216" s="244"/>
      <c r="Z216" s="244"/>
      <c r="AA216" s="244"/>
      <c r="AB216" s="244"/>
      <c r="AC216" s="244" t="s">
        <v>6913</v>
      </c>
      <c r="AD216" s="244"/>
      <c r="AE216" s="244"/>
      <c r="AF216" s="244"/>
      <c r="AG216" s="244"/>
      <c r="AH216" s="201"/>
      <c r="AI216" s="201"/>
      <c r="AJ216" s="280" t="s">
        <v>6909</v>
      </c>
      <c r="AK216" s="280"/>
      <c r="AL216" s="280"/>
      <c r="AM216" s="281">
        <v>600.0</v>
      </c>
      <c r="AN216" s="280"/>
      <c r="AO216" s="280"/>
      <c r="AP216" s="280" t="s">
        <v>6353</v>
      </c>
      <c r="AQ216" s="280"/>
      <c r="AR216" s="280"/>
      <c r="AS216" s="201"/>
      <c r="AT216" s="201"/>
      <c r="AU216" s="201"/>
      <c r="AW216" s="215" t="s">
        <v>6910</v>
      </c>
      <c r="AX216" s="216"/>
      <c r="AY216" s="216"/>
      <c r="AZ216" s="216"/>
      <c r="BA216" s="216"/>
      <c r="BB216" s="216" t="s">
        <v>6911</v>
      </c>
      <c r="BC216" s="216"/>
      <c r="BD216" s="216"/>
      <c r="BE216" s="216"/>
      <c r="BF216" s="216"/>
      <c r="BG216" s="216"/>
      <c r="BH216" s="216"/>
      <c r="BI216" s="216"/>
      <c r="BJ216" s="216"/>
      <c r="BK216" s="216"/>
      <c r="BL216" s="216"/>
      <c r="BM216" s="216"/>
      <c r="BN216" s="216"/>
      <c r="BO216" s="216"/>
      <c r="BP216" s="216"/>
      <c r="BQ216" s="216"/>
      <c r="BR216" s="216"/>
      <c r="BS216" s="216"/>
      <c r="BT216" s="216"/>
      <c r="BU216" s="216"/>
      <c r="BV216" s="216"/>
      <c r="BW216" s="217"/>
    </row>
    <row r="217" spans="8:8" ht="16.5">
      <c r="A217" s="201"/>
      <c r="S217" s="201"/>
      <c r="T217" s="201"/>
      <c r="U217" s="201"/>
      <c r="V217" s="201"/>
      <c r="W217" s="201"/>
      <c r="X217" s="244" t="s">
        <v>6917</v>
      </c>
      <c r="Y217" s="244"/>
      <c r="Z217" s="244"/>
      <c r="AA217" s="244"/>
      <c r="AB217" s="244"/>
      <c r="AC217" s="244" t="s">
        <v>6918</v>
      </c>
      <c r="AD217" s="244"/>
      <c r="AE217" s="244"/>
      <c r="AF217" s="244"/>
      <c r="AG217" s="244"/>
      <c r="AH217" s="201"/>
      <c r="AI217" s="201"/>
      <c r="AJ217" s="272" t="s">
        <v>6914</v>
      </c>
      <c r="AK217" s="272"/>
      <c r="AL217" s="272"/>
      <c r="AM217" s="273">
        <v>100.0</v>
      </c>
      <c r="AN217" s="272"/>
      <c r="AO217" s="272"/>
      <c r="AP217" s="272" t="s">
        <v>6330</v>
      </c>
      <c r="AQ217" s="272"/>
      <c r="AR217" s="272"/>
      <c r="AS217" s="201"/>
      <c r="AT217" s="201"/>
      <c r="AU217" s="201"/>
      <c r="AW217" s="215" t="s">
        <v>6915</v>
      </c>
      <c r="AX217" s="216"/>
      <c r="AY217" s="216"/>
      <c r="AZ217" s="216"/>
      <c r="BA217" s="216"/>
      <c r="BB217" s="216" t="s">
        <v>6916</v>
      </c>
      <c r="BC217" s="216"/>
      <c r="BD217" s="216"/>
      <c r="BE217" s="216"/>
      <c r="BF217" s="216"/>
      <c r="BG217" s="216"/>
      <c r="BH217" s="216"/>
      <c r="BI217" s="216"/>
      <c r="BJ217" s="216"/>
      <c r="BK217" s="216"/>
      <c r="BL217" s="216"/>
      <c r="BM217" s="216"/>
      <c r="BN217" s="216"/>
      <c r="BO217" s="216"/>
      <c r="BP217" s="216"/>
      <c r="BQ217" s="216"/>
      <c r="BR217" s="216"/>
      <c r="BS217" s="216"/>
      <c r="BT217" s="216"/>
      <c r="BU217" s="216"/>
      <c r="BV217" s="216"/>
      <c r="BW217" s="217"/>
    </row>
    <row r="218" spans="8:8" ht="16.5">
      <c r="A218" s="201"/>
      <c r="S218" s="201"/>
      <c r="T218" s="201"/>
      <c r="U218" s="201"/>
      <c r="V218" s="201"/>
      <c r="W218" s="201"/>
      <c r="X218" s="244" t="s">
        <v>6921</v>
      </c>
      <c r="Y218" s="244"/>
      <c r="Z218" s="244"/>
      <c r="AA218" s="244"/>
      <c r="AB218" s="244"/>
      <c r="AC218" s="244" t="s">
        <v>6922</v>
      </c>
      <c r="AD218" s="244"/>
      <c r="AE218" s="244"/>
      <c r="AF218" s="244"/>
      <c r="AG218" s="244"/>
      <c r="AH218" s="201"/>
      <c r="AI218" s="201"/>
      <c r="AJ218" s="272" t="s">
        <v>6412</v>
      </c>
      <c r="AK218" s="272"/>
      <c r="AL218" s="272"/>
      <c r="AM218" s="273">
        <v>400.0</v>
      </c>
      <c r="AN218" s="272"/>
      <c r="AO218" s="272"/>
      <c r="AP218" s="272" t="s">
        <v>6411</v>
      </c>
      <c r="AQ218" s="272"/>
      <c r="AR218" s="272"/>
      <c r="AS218" s="201"/>
      <c r="AT218" s="201"/>
      <c r="AU218" s="201"/>
      <c r="AW218" s="215" t="s">
        <v>6919</v>
      </c>
      <c r="AX218" s="216"/>
      <c r="AY218" s="216"/>
      <c r="AZ218" s="216"/>
      <c r="BA218" s="216"/>
      <c r="BB218" s="216" t="s">
        <v>6920</v>
      </c>
      <c r="BC218" s="216"/>
      <c r="BD218" s="216"/>
      <c r="BE218" s="216"/>
      <c r="BF218" s="216"/>
      <c r="BG218" s="216"/>
      <c r="BH218" s="216"/>
      <c r="BI218" s="216"/>
      <c r="BJ218" s="216"/>
      <c r="BK218" s="216"/>
      <c r="BL218" s="216"/>
      <c r="BM218" s="216"/>
      <c r="BN218" s="216"/>
      <c r="BO218" s="216"/>
      <c r="BP218" s="216"/>
      <c r="BQ218" s="216"/>
      <c r="BR218" s="216"/>
      <c r="BS218" s="216"/>
      <c r="BT218" s="216"/>
      <c r="BU218" s="216"/>
      <c r="BV218" s="216"/>
      <c r="BW218" s="217"/>
    </row>
    <row r="219" spans="8:8" ht="16.5">
      <c r="A219" s="201"/>
      <c r="S219" s="201"/>
      <c r="T219" s="201"/>
      <c r="U219" s="201"/>
      <c r="V219" s="201"/>
      <c r="W219" s="201"/>
      <c r="X219" s="244" t="s">
        <v>6926</v>
      </c>
      <c r="Y219" s="244"/>
      <c r="Z219" s="244"/>
      <c r="AA219" s="244"/>
      <c r="AB219" s="244"/>
      <c r="AC219" s="244" t="s">
        <v>6927</v>
      </c>
      <c r="AD219" s="244"/>
      <c r="AE219" s="244"/>
      <c r="AF219" s="244"/>
      <c r="AG219" s="244"/>
      <c r="AH219" s="201"/>
      <c r="AI219" s="201"/>
      <c r="AJ219" s="272" t="s">
        <v>6923</v>
      </c>
      <c r="AK219" s="272"/>
      <c r="AL219" s="272"/>
      <c r="AM219" s="273">
        <v>300.0</v>
      </c>
      <c r="AN219" s="272"/>
      <c r="AO219" s="272"/>
      <c r="AP219" s="272" t="s">
        <v>6381</v>
      </c>
      <c r="AQ219" s="272"/>
      <c r="AR219" s="272"/>
      <c r="AS219" s="201"/>
      <c r="AT219" s="201"/>
      <c r="AU219" s="201"/>
      <c r="AW219" s="215" t="s">
        <v>6924</v>
      </c>
      <c r="AX219" s="216"/>
      <c r="AY219" s="216"/>
      <c r="AZ219" s="216"/>
      <c r="BA219" s="216"/>
      <c r="BB219" s="216" t="s">
        <v>6925</v>
      </c>
      <c r="BC219" s="216"/>
      <c r="BD219" s="216"/>
      <c r="BE219" s="216"/>
      <c r="BF219" s="216"/>
      <c r="BG219" s="216"/>
      <c r="BH219" s="216"/>
      <c r="BI219" s="216"/>
      <c r="BJ219" s="216"/>
      <c r="BK219" s="216"/>
      <c r="BL219" s="216"/>
      <c r="BM219" s="216"/>
      <c r="BN219" s="216"/>
      <c r="BO219" s="216"/>
      <c r="BP219" s="216"/>
      <c r="BQ219" s="216"/>
      <c r="BR219" s="216"/>
      <c r="BS219" s="216"/>
      <c r="BT219" s="216"/>
      <c r="BU219" s="216"/>
      <c r="BV219" s="216"/>
      <c r="BW219" s="217"/>
    </row>
    <row r="220" spans="8:8" ht="16.5">
      <c r="A220" s="201"/>
      <c r="S220" s="201"/>
      <c r="T220" s="201"/>
      <c r="U220" s="201"/>
      <c r="V220" s="201"/>
      <c r="W220" s="201"/>
      <c r="X220" s="244" t="s">
        <v>6931</v>
      </c>
      <c r="Y220" s="244"/>
      <c r="Z220" s="244"/>
      <c r="AA220" s="244"/>
      <c r="AB220" s="244"/>
      <c r="AC220" s="244" t="s">
        <v>6932</v>
      </c>
      <c r="AD220" s="244"/>
      <c r="AE220" s="244"/>
      <c r="AF220" s="244"/>
      <c r="AG220" s="244"/>
      <c r="AH220" s="201"/>
      <c r="AI220" s="201"/>
      <c r="AJ220" s="272" t="s">
        <v>6928</v>
      </c>
      <c r="AK220" s="272"/>
      <c r="AL220" s="272"/>
      <c r="AM220" s="273">
        <v>800.0</v>
      </c>
      <c r="AN220" s="272"/>
      <c r="AO220" s="272"/>
      <c r="AP220" s="272" t="s">
        <v>6318</v>
      </c>
      <c r="AQ220" s="272"/>
      <c r="AR220" s="272"/>
      <c r="AS220" s="201"/>
      <c r="AT220" s="201"/>
      <c r="AU220" s="201"/>
      <c r="AW220" s="215" t="s">
        <v>6929</v>
      </c>
      <c r="AX220" s="216"/>
      <c r="AY220" s="216"/>
      <c r="AZ220" s="216"/>
      <c r="BA220" s="216"/>
      <c r="BB220" s="216" t="s">
        <v>6930</v>
      </c>
      <c r="BC220" s="216"/>
      <c r="BD220" s="216"/>
      <c r="BE220" s="216"/>
      <c r="BF220" s="216"/>
      <c r="BG220" s="216"/>
      <c r="BH220" s="216"/>
      <c r="BI220" s="216"/>
      <c r="BJ220" s="216"/>
      <c r="BK220" s="216"/>
      <c r="BL220" s="216"/>
      <c r="BM220" s="216"/>
      <c r="BN220" s="216"/>
      <c r="BO220" s="216"/>
      <c r="BP220" s="216"/>
      <c r="BQ220" s="216"/>
      <c r="BR220" s="216"/>
      <c r="BS220" s="216"/>
      <c r="BT220" s="216"/>
      <c r="BU220" s="216"/>
      <c r="BV220" s="216"/>
      <c r="BW220" s="217"/>
    </row>
    <row r="221" spans="8:8" ht="16.5">
      <c r="A221" s="201"/>
      <c r="S221" s="201"/>
      <c r="T221" s="201"/>
      <c r="U221" s="201"/>
      <c r="V221" s="201"/>
      <c r="W221" s="201"/>
      <c r="X221" s="244" t="s">
        <v>6935</v>
      </c>
      <c r="Y221" s="244"/>
      <c r="Z221" s="244"/>
      <c r="AA221" s="244"/>
      <c r="AB221" s="244"/>
      <c r="AC221" s="244" t="s">
        <v>6936</v>
      </c>
      <c r="AD221" s="244"/>
      <c r="AE221" s="244"/>
      <c r="AF221" s="244"/>
      <c r="AG221" s="244"/>
      <c r="AH221" s="201"/>
      <c r="AJ221" s="272" t="s">
        <v>6933</v>
      </c>
      <c r="AK221" s="272"/>
      <c r="AL221" s="272"/>
      <c r="AM221" s="273">
        <v>600.0</v>
      </c>
      <c r="AN221" s="272"/>
      <c r="AO221" s="272"/>
      <c r="AP221" s="272" t="s">
        <v>6347</v>
      </c>
      <c r="AQ221" s="272"/>
      <c r="AR221" s="272"/>
      <c r="AS221" s="201"/>
      <c r="AT221" s="201"/>
      <c r="AU221" s="201"/>
      <c r="AW221" s="215" t="s">
        <v>6934</v>
      </c>
      <c r="AX221" s="216"/>
      <c r="AY221" s="216"/>
      <c r="AZ221" s="216"/>
      <c r="BA221" s="216"/>
      <c r="BB221" s="216" t="s">
        <v>4837</v>
      </c>
      <c r="BC221" s="216"/>
      <c r="BD221" s="216"/>
      <c r="BE221" s="216"/>
      <c r="BF221" s="216"/>
      <c r="BG221" s="216"/>
      <c r="BH221" s="216"/>
      <c r="BI221" s="216"/>
      <c r="BJ221" s="216"/>
      <c r="BK221" s="216"/>
      <c r="BL221" s="216"/>
      <c r="BM221" s="216"/>
      <c r="BN221" s="216"/>
      <c r="BO221" s="216"/>
      <c r="BP221" s="216"/>
      <c r="BQ221" s="216"/>
      <c r="BR221" s="216"/>
      <c r="BS221" s="216"/>
      <c r="BT221" s="216"/>
      <c r="BU221" s="216"/>
      <c r="BV221" s="216"/>
      <c r="BW221" s="217"/>
    </row>
    <row r="222" spans="8:8" ht="16.5">
      <c r="A222" s="201"/>
      <c r="S222" s="201"/>
      <c r="T222" s="201"/>
      <c r="U222" s="201"/>
      <c r="V222" s="201"/>
      <c r="W222" s="201"/>
      <c r="X222" s="244" t="s">
        <v>6940</v>
      </c>
      <c r="Y222" s="244"/>
      <c r="Z222" s="244"/>
      <c r="AA222" s="244"/>
      <c r="AB222" s="244"/>
      <c r="AC222" s="244" t="s">
        <v>6941</v>
      </c>
      <c r="AD222" s="244"/>
      <c r="AE222" s="244"/>
      <c r="AF222" s="244"/>
      <c r="AG222" s="244"/>
      <c r="AH222" s="201"/>
      <c r="AJ222" s="272" t="s">
        <v>6937</v>
      </c>
      <c r="AK222" s="272"/>
      <c r="AL222" s="272"/>
      <c r="AM222" s="273">
        <v>700.0</v>
      </c>
      <c r="AN222" s="272"/>
      <c r="AO222" s="272"/>
      <c r="AP222" s="272" t="s">
        <v>6428</v>
      </c>
      <c r="AQ222" s="272"/>
      <c r="AR222" s="272"/>
      <c r="AS222" s="201"/>
      <c r="AT222" s="201"/>
      <c r="AU222" s="201"/>
      <c r="AW222" s="215" t="s">
        <v>6938</v>
      </c>
      <c r="AX222" s="216"/>
      <c r="AY222" s="216"/>
      <c r="AZ222" s="216"/>
      <c r="BA222" s="216"/>
      <c r="BB222" s="216" t="s">
        <v>6939</v>
      </c>
      <c r="BC222" s="216"/>
      <c r="BD222" s="216"/>
      <c r="BE222" s="216"/>
      <c r="BF222" s="216"/>
      <c r="BG222" s="216"/>
      <c r="BH222" s="216"/>
      <c r="BI222" s="216"/>
      <c r="BJ222" s="216"/>
      <c r="BK222" s="216"/>
      <c r="BL222" s="216"/>
      <c r="BM222" s="216"/>
      <c r="BN222" s="216"/>
      <c r="BO222" s="216"/>
      <c r="BP222" s="216"/>
      <c r="BQ222" s="216"/>
      <c r="BR222" s="216"/>
      <c r="BS222" s="216"/>
      <c r="BT222" s="216"/>
      <c r="BU222" s="216"/>
      <c r="BV222" s="216"/>
      <c r="BW222" s="217"/>
    </row>
    <row r="223" spans="8:8" ht="16.5">
      <c r="A223" s="201"/>
      <c r="S223" s="201"/>
      <c r="T223" s="201"/>
      <c r="U223" s="201"/>
      <c r="V223" s="201"/>
      <c r="W223" s="201"/>
      <c r="X223" s="244" t="s">
        <v>6944</v>
      </c>
      <c r="Y223" s="244"/>
      <c r="Z223" s="244"/>
      <c r="AA223" s="244"/>
      <c r="AB223" s="244"/>
      <c r="AC223" s="244" t="s">
        <v>6945</v>
      </c>
      <c r="AD223" s="244"/>
      <c r="AE223" s="244"/>
      <c r="AF223" s="244"/>
      <c r="AG223" s="244"/>
      <c r="AH223" s="201"/>
      <c r="AJ223" s="272" t="s">
        <v>6942</v>
      </c>
      <c r="AK223" s="272"/>
      <c r="AL223" s="272"/>
      <c r="AM223" s="273">
        <v>650.0</v>
      </c>
      <c r="AN223" s="272"/>
      <c r="AO223" s="272"/>
      <c r="AP223" s="272" t="s">
        <v>6341</v>
      </c>
      <c r="AQ223" s="272"/>
      <c r="AR223" s="272"/>
      <c r="AS223" s="201"/>
      <c r="AT223" s="201"/>
      <c r="AU223" s="201"/>
      <c r="AW223" s="215" t="s">
        <v>6943</v>
      </c>
      <c r="AX223" s="216"/>
      <c r="AY223" s="216"/>
      <c r="AZ223" s="216"/>
      <c r="BA223" s="216"/>
      <c r="BB223" s="216" t="s">
        <v>6746</v>
      </c>
      <c r="BC223" s="216"/>
      <c r="BD223" s="216"/>
      <c r="BE223" s="216"/>
      <c r="BF223" s="216"/>
      <c r="BG223" s="216"/>
      <c r="BH223" s="216"/>
      <c r="BI223" s="216"/>
      <c r="BJ223" s="216"/>
      <c r="BK223" s="216"/>
      <c r="BL223" s="216"/>
      <c r="BM223" s="216"/>
      <c r="BN223" s="216"/>
      <c r="BO223" s="216"/>
      <c r="BP223" s="216"/>
      <c r="BQ223" s="216"/>
      <c r="BR223" s="216"/>
      <c r="BS223" s="216"/>
      <c r="BT223" s="216"/>
      <c r="BU223" s="216"/>
      <c r="BV223" s="216"/>
      <c r="BW223" s="217"/>
    </row>
    <row r="224" spans="8:8" ht="16.5">
      <c r="A224" s="201"/>
      <c r="S224" s="201"/>
      <c r="T224" s="201"/>
      <c r="U224" s="201"/>
      <c r="V224" s="201"/>
      <c r="W224" s="201"/>
      <c r="X224" s="244" t="s">
        <v>6949</v>
      </c>
      <c r="Y224" s="244"/>
      <c r="Z224" s="244"/>
      <c r="AA224" s="244"/>
      <c r="AB224" s="244"/>
      <c r="AC224" s="244" t="s">
        <v>6950</v>
      </c>
      <c r="AD224" s="244"/>
      <c r="AE224" s="244"/>
      <c r="AF224" s="244"/>
      <c r="AG224" s="244"/>
      <c r="AH224" s="201"/>
      <c r="AJ224" s="272" t="s">
        <v>6946</v>
      </c>
      <c r="AK224" s="272"/>
      <c r="AL224" s="272"/>
      <c r="AM224" s="273">
        <v>7000.0</v>
      </c>
      <c r="AN224" s="272"/>
      <c r="AO224" s="272"/>
      <c r="AP224" s="272" t="s">
        <v>6335</v>
      </c>
      <c r="AQ224" s="272"/>
      <c r="AR224" s="272"/>
      <c r="AS224" s="201"/>
      <c r="AT224" s="201"/>
      <c r="AU224" s="201"/>
      <c r="AW224" s="215" t="s">
        <v>6947</v>
      </c>
      <c r="AX224" s="216"/>
      <c r="AY224" s="216"/>
      <c r="AZ224" s="216"/>
      <c r="BA224" s="216"/>
      <c r="BB224" s="216" t="s">
        <v>6948</v>
      </c>
      <c r="BC224" s="216"/>
      <c r="BD224" s="216"/>
      <c r="BE224" s="216"/>
      <c r="BF224" s="216"/>
      <c r="BG224" s="216"/>
      <c r="BH224" s="216"/>
      <c r="BI224" s="216"/>
      <c r="BJ224" s="216"/>
      <c r="BK224" s="216"/>
      <c r="BL224" s="216"/>
      <c r="BM224" s="216"/>
      <c r="BN224" s="216"/>
      <c r="BO224" s="216"/>
      <c r="BP224" s="216"/>
      <c r="BQ224" s="216"/>
      <c r="BR224" s="216"/>
      <c r="BS224" s="216"/>
      <c r="BT224" s="216"/>
      <c r="BU224" s="216"/>
      <c r="BV224" s="216"/>
      <c r="BW224" s="217"/>
    </row>
    <row r="225" spans="8:8" ht="16.5">
      <c r="A225" s="201"/>
      <c r="S225" s="201"/>
      <c r="T225" s="201"/>
      <c r="U225" s="201"/>
      <c r="V225" s="201"/>
      <c r="W225" s="201"/>
      <c r="X225" s="244" t="s">
        <v>6954</v>
      </c>
      <c r="Y225" s="244"/>
      <c r="Z225" s="244"/>
      <c r="AA225" s="244"/>
      <c r="AB225" s="244"/>
      <c r="AC225" s="244" t="s">
        <v>6955</v>
      </c>
      <c r="AD225" s="244"/>
      <c r="AE225" s="244"/>
      <c r="AF225" s="244"/>
      <c r="AG225" s="244"/>
      <c r="AH225" s="201"/>
      <c r="AJ225" s="280" t="s">
        <v>6951</v>
      </c>
      <c r="AK225" s="280"/>
      <c r="AL225" s="280"/>
      <c r="AM225" s="280"/>
      <c r="AN225" s="280"/>
      <c r="AO225" s="280"/>
      <c r="AP225" s="280"/>
      <c r="AQ225" s="280"/>
      <c r="AR225" s="280"/>
      <c r="AS225" s="201"/>
      <c r="AT225" s="201"/>
      <c r="AU225" s="201"/>
      <c r="AW225" s="215" t="s">
        <v>6952</v>
      </c>
      <c r="AX225" s="216"/>
      <c r="AY225" s="216"/>
      <c r="AZ225" s="216"/>
      <c r="BA225" s="216"/>
      <c r="BB225" s="216" t="s">
        <v>6953</v>
      </c>
      <c r="BC225" s="216"/>
      <c r="BD225" s="216"/>
      <c r="BE225" s="216"/>
      <c r="BF225" s="216"/>
      <c r="BG225" s="216"/>
      <c r="BH225" s="216"/>
      <c r="BI225" s="216"/>
      <c r="BJ225" s="216"/>
      <c r="BK225" s="216"/>
      <c r="BL225" s="216"/>
      <c r="BM225" s="216"/>
      <c r="BN225" s="216"/>
      <c r="BO225" s="216"/>
      <c r="BP225" s="216"/>
      <c r="BQ225" s="216"/>
      <c r="BR225" s="216"/>
      <c r="BS225" s="216"/>
      <c r="BT225" s="216"/>
      <c r="BU225" s="216"/>
      <c r="BV225" s="216"/>
      <c r="BW225" s="217"/>
    </row>
    <row r="226" spans="8:8" ht="16.5">
      <c r="A226" s="201"/>
      <c r="S226" s="201"/>
      <c r="T226" s="201"/>
      <c r="U226" s="201"/>
      <c r="V226" s="201"/>
      <c r="W226" s="201"/>
      <c r="X226" s="244" t="s">
        <v>6959</v>
      </c>
      <c r="Y226" s="244"/>
      <c r="Z226" s="244"/>
      <c r="AA226" s="244"/>
      <c r="AB226" s="244"/>
      <c r="AC226" s="244" t="s">
        <v>6960</v>
      </c>
      <c r="AD226" s="244"/>
      <c r="AE226" s="244"/>
      <c r="AF226" s="244"/>
      <c r="AG226" s="244"/>
      <c r="AH226" s="201"/>
      <c r="AJ226" s="272" t="s">
        <v>6956</v>
      </c>
      <c r="AK226" s="272"/>
      <c r="AL226" s="272"/>
      <c r="AM226" s="273">
        <v>1000.0</v>
      </c>
      <c r="AN226" s="272"/>
      <c r="AO226" s="272"/>
      <c r="AP226" s="272" t="s">
        <v>6324</v>
      </c>
      <c r="AQ226" s="272"/>
      <c r="AR226" s="272"/>
      <c r="AS226" s="201"/>
      <c r="AT226" s="201"/>
      <c r="AU226" s="201"/>
      <c r="AW226" s="215" t="s">
        <v>6957</v>
      </c>
      <c r="AX226" s="216"/>
      <c r="AY226" s="216"/>
      <c r="AZ226" s="216"/>
      <c r="BA226" s="216"/>
      <c r="BB226" s="216" t="s">
        <v>6958</v>
      </c>
      <c r="BC226" s="216"/>
      <c r="BD226" s="216"/>
      <c r="BE226" s="216"/>
      <c r="BF226" s="216"/>
      <c r="BG226" s="216"/>
      <c r="BH226" s="216"/>
      <c r="BI226" s="216"/>
      <c r="BJ226" s="216"/>
      <c r="BK226" s="216"/>
      <c r="BL226" s="216"/>
      <c r="BM226" s="216"/>
      <c r="BN226" s="216"/>
      <c r="BO226" s="216"/>
      <c r="BP226" s="216"/>
      <c r="BQ226" s="216"/>
      <c r="BR226" s="216"/>
      <c r="BS226" s="216"/>
      <c r="BT226" s="216"/>
      <c r="BU226" s="216"/>
      <c r="BV226" s="216"/>
      <c r="BW226" s="217"/>
    </row>
    <row r="227" spans="8:8" ht="16.5">
      <c r="A227" s="201"/>
      <c r="S227" s="201"/>
      <c r="T227" s="201"/>
      <c r="U227" s="201"/>
      <c r="V227" s="201"/>
      <c r="W227" s="201"/>
      <c r="X227" s="244" t="s">
        <v>6963</v>
      </c>
      <c r="Y227" s="244"/>
      <c r="Z227" s="244"/>
      <c r="AA227" s="244"/>
      <c r="AB227" s="244"/>
      <c r="AC227" s="244" t="s">
        <v>6964</v>
      </c>
      <c r="AD227" s="244"/>
      <c r="AE227" s="244"/>
      <c r="AF227" s="244"/>
      <c r="AG227" s="244"/>
      <c r="AH227" s="201"/>
      <c r="AJ227" s="272" t="s">
        <v>6961</v>
      </c>
      <c r="AK227" s="272"/>
      <c r="AL227" s="272"/>
      <c r="AM227" s="273">
        <v>1200.0</v>
      </c>
      <c r="AN227" s="272"/>
      <c r="AO227" s="272"/>
      <c r="AP227" s="272" t="s">
        <v>6423</v>
      </c>
      <c r="AQ227" s="272"/>
      <c r="AR227" s="272"/>
      <c r="AS227" s="201"/>
      <c r="AT227" s="201"/>
      <c r="AU227" s="201"/>
      <c r="AW227" s="215" t="s">
        <v>6962</v>
      </c>
      <c r="AX227" s="216"/>
      <c r="AY227" s="216"/>
      <c r="AZ227" s="216"/>
      <c r="BA227" s="216"/>
      <c r="BB227" s="216" t="s">
        <v>6344</v>
      </c>
      <c r="BC227" s="216"/>
      <c r="BD227" s="216"/>
      <c r="BE227" s="216"/>
      <c r="BF227" s="216"/>
      <c r="BG227" s="216"/>
      <c r="BH227" s="216"/>
      <c r="BI227" s="216"/>
      <c r="BJ227" s="216"/>
      <c r="BK227" s="216"/>
      <c r="BL227" s="216"/>
      <c r="BM227" s="216"/>
      <c r="BN227" s="216"/>
      <c r="BO227" s="216"/>
      <c r="BP227" s="216"/>
      <c r="BQ227" s="216"/>
      <c r="BR227" s="216"/>
      <c r="BS227" s="216"/>
      <c r="BT227" s="216"/>
      <c r="BU227" s="216"/>
      <c r="BV227" s="216"/>
      <c r="BW227" s="217"/>
    </row>
    <row r="228" spans="8:8" ht="16.5">
      <c r="A228" s="201"/>
      <c r="S228" s="201"/>
      <c r="T228" s="201"/>
      <c r="U228" s="201"/>
      <c r="V228" s="201"/>
      <c r="W228" s="201"/>
      <c r="X228" s="244" t="s">
        <v>6968</v>
      </c>
      <c r="Y228" s="244"/>
      <c r="Z228" s="244"/>
      <c r="AA228" s="244"/>
      <c r="AB228" s="244"/>
      <c r="AC228" s="244" t="s">
        <v>6969</v>
      </c>
      <c r="AD228" s="244"/>
      <c r="AE228" s="244"/>
      <c r="AF228" s="244"/>
      <c r="AG228" s="244"/>
      <c r="AH228" s="201"/>
      <c r="AJ228" s="272" t="s">
        <v>6965</v>
      </c>
      <c r="AK228" s="272"/>
      <c r="AL228" s="272"/>
      <c r="AM228" s="273">
        <v>2200.0</v>
      </c>
      <c r="AN228" s="272"/>
      <c r="AO228" s="272"/>
      <c r="AP228" s="272" t="s">
        <v>6417</v>
      </c>
      <c r="AQ228" s="272"/>
      <c r="AR228" s="272"/>
      <c r="AS228" s="201"/>
      <c r="AT228" s="201"/>
      <c r="AU228" s="201"/>
      <c r="AW228" s="215" t="s">
        <v>6966</v>
      </c>
      <c r="AX228" s="216"/>
      <c r="AY228" s="216"/>
      <c r="AZ228" s="216"/>
      <c r="BA228" s="216"/>
      <c r="BB228" s="216" t="s">
        <v>6967</v>
      </c>
      <c r="BC228" s="216"/>
      <c r="BD228" s="216"/>
      <c r="BE228" s="216"/>
      <c r="BF228" s="216"/>
      <c r="BG228" s="216"/>
      <c r="BH228" s="216"/>
      <c r="BI228" s="216"/>
      <c r="BJ228" s="216"/>
      <c r="BK228" s="216"/>
      <c r="BL228" s="216"/>
      <c r="BM228" s="216"/>
      <c r="BN228" s="216"/>
      <c r="BO228" s="216"/>
      <c r="BP228" s="216"/>
      <c r="BQ228" s="216"/>
      <c r="BR228" s="216"/>
      <c r="BS228" s="216"/>
      <c r="BT228" s="216"/>
      <c r="BU228" s="216"/>
      <c r="BV228" s="216"/>
      <c r="BW228" s="217"/>
    </row>
    <row r="229" spans="8:8" ht="16.5">
      <c r="A229" s="201"/>
      <c r="S229" s="201"/>
      <c r="T229" s="201"/>
      <c r="U229" s="201"/>
      <c r="V229" s="201"/>
      <c r="W229" s="201"/>
      <c r="X229" s="244" t="s">
        <v>6973</v>
      </c>
      <c r="Y229" s="244"/>
      <c r="Z229" s="244"/>
      <c r="AA229" s="244"/>
      <c r="AB229" s="244"/>
      <c r="AC229" s="244" t="s">
        <v>6974</v>
      </c>
      <c r="AD229" s="244"/>
      <c r="AE229" s="244"/>
      <c r="AF229" s="244"/>
      <c r="AG229" s="244"/>
      <c r="AH229" s="201"/>
      <c r="AJ229" s="272" t="s">
        <v>6970</v>
      </c>
      <c r="AK229" s="272"/>
      <c r="AL229" s="272"/>
      <c r="AM229" s="273">
        <v>1000.0</v>
      </c>
      <c r="AN229" s="272"/>
      <c r="AO229" s="272"/>
      <c r="AP229" s="272" t="s">
        <v>6405</v>
      </c>
      <c r="AQ229" s="272"/>
      <c r="AR229" s="272"/>
      <c r="AS229" s="201"/>
      <c r="AT229" s="201"/>
      <c r="AU229" s="201"/>
      <c r="AW229" s="215" t="s">
        <v>6971</v>
      </c>
      <c r="AX229" s="216"/>
      <c r="AY229" s="216"/>
      <c r="AZ229" s="216"/>
      <c r="BA229" s="216"/>
      <c r="BB229" s="216" t="s">
        <v>6972</v>
      </c>
      <c r="BC229" s="216"/>
      <c r="BD229" s="216"/>
      <c r="BE229" s="216"/>
      <c r="BF229" s="216"/>
      <c r="BG229" s="216"/>
      <c r="BH229" s="216"/>
      <c r="BI229" s="216"/>
      <c r="BJ229" s="216"/>
      <c r="BK229" s="216"/>
      <c r="BL229" s="216"/>
      <c r="BM229" s="216"/>
      <c r="BN229" s="216"/>
      <c r="BO229" s="216"/>
      <c r="BP229" s="216"/>
      <c r="BQ229" s="216"/>
      <c r="BR229" s="216"/>
      <c r="BS229" s="216"/>
      <c r="BT229" s="216"/>
      <c r="BU229" s="216"/>
      <c r="BV229" s="216"/>
      <c r="BW229" s="217"/>
    </row>
    <row r="230" spans="8:8" ht="16.5">
      <c r="A230" s="201"/>
      <c r="S230" s="201"/>
      <c r="T230" s="201"/>
      <c r="U230" s="201"/>
      <c r="V230" s="201"/>
      <c r="W230" s="201"/>
      <c r="X230" s="244" t="s">
        <v>6977</v>
      </c>
      <c r="Y230" s="244"/>
      <c r="Z230" s="244"/>
      <c r="AA230" s="244"/>
      <c r="AB230" s="244"/>
      <c r="AC230" s="244" t="s">
        <v>6978</v>
      </c>
      <c r="AD230" s="244"/>
      <c r="AE230" s="244"/>
      <c r="AF230" s="244"/>
      <c r="AG230" s="244"/>
      <c r="AH230" s="201"/>
      <c r="AJ230" s="272" t="s">
        <v>6970</v>
      </c>
      <c r="AK230" s="272"/>
      <c r="AL230" s="272"/>
      <c r="AM230" s="273">
        <v>2400.0</v>
      </c>
      <c r="AN230" s="272"/>
      <c r="AO230" s="272"/>
      <c r="AP230" s="272" t="s">
        <v>6387</v>
      </c>
      <c r="AQ230" s="272"/>
      <c r="AR230" s="272"/>
      <c r="AS230" s="201"/>
      <c r="AT230" s="201"/>
      <c r="AU230" s="201"/>
      <c r="AW230" s="215" t="s">
        <v>6975</v>
      </c>
      <c r="AX230" s="216"/>
      <c r="AY230" s="216"/>
      <c r="AZ230" s="216"/>
      <c r="BA230" s="216"/>
      <c r="BB230" s="216" t="s">
        <v>6976</v>
      </c>
      <c r="BC230" s="216"/>
      <c r="BD230" s="216"/>
      <c r="BE230" s="216"/>
      <c r="BF230" s="216"/>
      <c r="BG230" s="216"/>
      <c r="BH230" s="216"/>
      <c r="BI230" s="216"/>
      <c r="BJ230" s="216"/>
      <c r="BK230" s="216"/>
      <c r="BL230" s="216"/>
      <c r="BM230" s="216"/>
      <c r="BN230" s="216"/>
      <c r="BO230" s="216"/>
      <c r="BP230" s="216"/>
      <c r="BQ230" s="216"/>
      <c r="BR230" s="216"/>
      <c r="BS230" s="216"/>
      <c r="BT230" s="216"/>
      <c r="BU230" s="216"/>
      <c r="BV230" s="216"/>
      <c r="BW230" s="217"/>
    </row>
    <row r="231" spans="8:8" ht="16.5">
      <c r="A231" s="201"/>
      <c r="S231" s="201"/>
      <c r="T231" s="201"/>
      <c r="U231" s="201"/>
      <c r="V231" s="201"/>
      <c r="W231" s="201"/>
      <c r="X231" s="244" t="s">
        <v>6982</v>
      </c>
      <c r="Y231" s="244"/>
      <c r="Z231" s="244"/>
      <c r="AA231" s="244"/>
      <c r="AB231" s="244"/>
      <c r="AC231" s="244" t="s">
        <v>6983</v>
      </c>
      <c r="AD231" s="244"/>
      <c r="AE231" s="244"/>
      <c r="AF231" s="244"/>
      <c r="AG231" s="244"/>
      <c r="AH231" s="201"/>
      <c r="AJ231" s="280" t="s">
        <v>6979</v>
      </c>
      <c r="AK231" s="280"/>
      <c r="AL231" s="280"/>
      <c r="AM231" s="280"/>
      <c r="AN231" s="280"/>
      <c r="AO231" s="280"/>
      <c r="AP231" s="280"/>
      <c r="AQ231" s="280"/>
      <c r="AR231" s="280"/>
      <c r="AS231" s="280"/>
      <c r="AT231" s="280"/>
      <c r="AU231" s="280"/>
      <c r="AV231" s="231"/>
      <c r="AW231" s="215" t="s">
        <v>6980</v>
      </c>
      <c r="AX231" s="216"/>
      <c r="AY231" s="216"/>
      <c r="AZ231" s="216"/>
      <c r="BA231" s="216"/>
      <c r="BB231" s="216" t="s">
        <v>6981</v>
      </c>
      <c r="BC231" s="216"/>
      <c r="BD231" s="216"/>
      <c r="BE231" s="216"/>
      <c r="BF231" s="216"/>
      <c r="BG231" s="216"/>
      <c r="BH231" s="216"/>
      <c r="BI231" s="216"/>
      <c r="BJ231" s="216"/>
      <c r="BK231" s="216"/>
      <c r="BL231" s="216"/>
      <c r="BM231" s="216"/>
      <c r="BN231" s="216"/>
      <c r="BO231" s="216"/>
      <c r="BP231" s="216"/>
      <c r="BQ231" s="216"/>
      <c r="BR231" s="216"/>
      <c r="BS231" s="216"/>
      <c r="BT231" s="216"/>
      <c r="BU231" s="216"/>
      <c r="BV231" s="216"/>
      <c r="BW231" s="217"/>
    </row>
    <row r="232" spans="8:8" ht="16.5">
      <c r="A232" s="201"/>
      <c r="S232" s="201"/>
      <c r="T232" s="201"/>
      <c r="U232" s="201"/>
      <c r="V232" s="201"/>
      <c r="W232" s="201"/>
      <c r="X232" s="244" t="s">
        <v>6986</v>
      </c>
      <c r="Y232" s="244"/>
      <c r="Z232" s="244"/>
      <c r="AA232" s="244"/>
      <c r="AB232" s="244"/>
      <c r="AC232" s="244" t="s">
        <v>6987</v>
      </c>
      <c r="AD232" s="244"/>
      <c r="AE232" s="244"/>
      <c r="AF232" s="244"/>
      <c r="AG232" s="244"/>
      <c r="AH232" s="201"/>
      <c r="AJ232" s="272" t="s">
        <v>5696</v>
      </c>
      <c r="AK232" s="272"/>
      <c r="AL232" s="272"/>
      <c r="AM232" s="273">
        <v>400.0</v>
      </c>
      <c r="AN232" s="272"/>
      <c r="AO232" s="272"/>
      <c r="AP232" s="272" t="s">
        <v>5695</v>
      </c>
      <c r="AQ232" s="272"/>
      <c r="AR232" s="272"/>
      <c r="AS232" s="272"/>
      <c r="AT232" s="272"/>
      <c r="AU232" s="272"/>
      <c r="AV232" s="231"/>
      <c r="AW232" s="215" t="s">
        <v>6984</v>
      </c>
      <c r="AX232" s="216"/>
      <c r="AY232" s="216"/>
      <c r="AZ232" s="216"/>
      <c r="BA232" s="216"/>
      <c r="BB232" s="216" t="s">
        <v>6985</v>
      </c>
      <c r="BC232" s="216"/>
      <c r="BD232" s="216"/>
      <c r="BE232" s="216"/>
      <c r="BF232" s="216"/>
      <c r="BG232" s="216"/>
      <c r="BH232" s="216"/>
      <c r="BI232" s="216"/>
      <c r="BJ232" s="216"/>
      <c r="BK232" s="216"/>
      <c r="BL232" s="216"/>
      <c r="BM232" s="216"/>
      <c r="BN232" s="216"/>
      <c r="BO232" s="216"/>
      <c r="BP232" s="216"/>
      <c r="BQ232" s="216"/>
      <c r="BR232" s="216"/>
      <c r="BS232" s="216"/>
      <c r="BT232" s="216"/>
      <c r="BU232" s="216"/>
      <c r="BV232" s="216"/>
      <c r="BW232" s="217"/>
    </row>
    <row r="233" spans="8:8" ht="16.5">
      <c r="A233" s="201"/>
      <c r="S233" s="201"/>
      <c r="T233" s="201"/>
      <c r="U233" s="201"/>
      <c r="V233" s="201"/>
      <c r="W233" s="201"/>
      <c r="X233" s="244" t="s">
        <v>6990</v>
      </c>
      <c r="Y233" s="244"/>
      <c r="Z233" s="244"/>
      <c r="AA233" s="244"/>
      <c r="AB233" s="244"/>
      <c r="AC233" s="244" t="s">
        <v>6991</v>
      </c>
      <c r="AD233" s="244"/>
      <c r="AE233" s="244"/>
      <c r="AF233" s="244"/>
      <c r="AG233" s="244"/>
      <c r="AH233" s="201"/>
      <c r="AJ233" s="272" t="s">
        <v>6988</v>
      </c>
      <c r="AK233" s="272"/>
      <c r="AL233" s="272"/>
      <c r="AM233" s="273">
        <v>200.0</v>
      </c>
      <c r="AN233" s="272"/>
      <c r="AO233" s="272"/>
      <c r="AP233" s="272" t="s">
        <v>6365</v>
      </c>
      <c r="AQ233" s="272"/>
      <c r="AR233" s="272"/>
      <c r="AS233" s="272"/>
      <c r="AT233" s="272"/>
      <c r="AU233" s="272"/>
      <c r="AV233" s="231"/>
      <c r="AW233" s="215" t="s">
        <v>6989</v>
      </c>
      <c r="AX233" s="216"/>
      <c r="AY233" s="216"/>
      <c r="AZ233" s="216"/>
      <c r="BA233" s="216"/>
      <c r="BB233" s="216" t="s">
        <v>2731</v>
      </c>
      <c r="BC233" s="216"/>
      <c r="BD233" s="216"/>
      <c r="BE233" s="216"/>
      <c r="BF233" s="216"/>
      <c r="BG233" s="216"/>
      <c r="BH233" s="216"/>
      <c r="BI233" s="216"/>
      <c r="BJ233" s="216"/>
      <c r="BK233" s="216"/>
      <c r="BL233" s="216"/>
      <c r="BM233" s="216"/>
      <c r="BN233" s="216"/>
      <c r="BO233" s="216"/>
      <c r="BP233" s="216"/>
      <c r="BQ233" s="216"/>
      <c r="BR233" s="216"/>
      <c r="BS233" s="216"/>
      <c r="BT233" s="216"/>
      <c r="BU233" s="216"/>
      <c r="BV233" s="216"/>
      <c r="BW233" s="217"/>
    </row>
    <row r="234" spans="8:8" ht="16.5">
      <c r="A234" s="201"/>
      <c r="S234" s="201"/>
      <c r="T234" s="201"/>
      <c r="U234" s="201"/>
      <c r="V234" s="201"/>
      <c r="W234" s="201"/>
      <c r="X234" s="244" t="s">
        <v>6995</v>
      </c>
      <c r="Y234" s="244"/>
      <c r="Z234" s="244"/>
      <c r="AA234" s="244"/>
      <c r="AB234" s="244"/>
      <c r="AC234" s="244" t="s">
        <v>6996</v>
      </c>
      <c r="AD234" s="244"/>
      <c r="AE234" s="244"/>
      <c r="AF234" s="244"/>
      <c r="AG234" s="244"/>
      <c r="AH234" s="201"/>
      <c r="AJ234" s="272" t="s">
        <v>6992</v>
      </c>
      <c r="AK234" s="272"/>
      <c r="AL234" s="272"/>
      <c r="AM234" s="273">
        <v>1200.0</v>
      </c>
      <c r="AN234" s="272"/>
      <c r="AO234" s="272"/>
      <c r="AP234" s="272" t="s">
        <v>6375</v>
      </c>
      <c r="AQ234" s="272"/>
      <c r="AR234" s="272"/>
      <c r="AS234" s="272"/>
      <c r="AT234" s="272"/>
      <c r="AU234" s="272"/>
      <c r="AV234" s="231"/>
      <c r="AW234" s="215" t="s">
        <v>6993</v>
      </c>
      <c r="AX234" s="216"/>
      <c r="AY234" s="216"/>
      <c r="AZ234" s="216"/>
      <c r="BA234" s="216"/>
      <c r="BB234" s="216" t="s">
        <v>6994</v>
      </c>
      <c r="BC234" s="216"/>
      <c r="BD234" s="216"/>
      <c r="BE234" s="216"/>
      <c r="BF234" s="216"/>
      <c r="BG234" s="216"/>
      <c r="BH234" s="216"/>
      <c r="BI234" s="216"/>
      <c r="BJ234" s="216"/>
      <c r="BK234" s="216"/>
      <c r="BL234" s="216"/>
      <c r="BM234" s="216"/>
      <c r="BN234" s="216"/>
      <c r="BO234" s="216"/>
      <c r="BP234" s="216"/>
      <c r="BQ234" s="216"/>
      <c r="BR234" s="216"/>
      <c r="BS234" s="216"/>
      <c r="BT234" s="216"/>
      <c r="BU234" s="216"/>
      <c r="BV234" s="216"/>
      <c r="BW234" s="217"/>
    </row>
    <row r="235" spans="8:8" ht="16.5">
      <c r="A235" s="201"/>
      <c r="S235" s="201"/>
      <c r="T235" s="201"/>
      <c r="U235" s="201"/>
      <c r="V235" s="201"/>
      <c r="W235" s="201"/>
      <c r="X235" s="244" t="s">
        <v>7000</v>
      </c>
      <c r="Y235" s="244"/>
      <c r="Z235" s="244"/>
      <c r="AA235" s="244"/>
      <c r="AB235" s="244"/>
      <c r="AC235" s="244" t="s">
        <v>7001</v>
      </c>
      <c r="AD235" s="244"/>
      <c r="AE235" s="244"/>
      <c r="AF235" s="244"/>
      <c r="AG235" s="244"/>
      <c r="AH235" s="201"/>
      <c r="AJ235" s="272" t="s">
        <v>6997</v>
      </c>
      <c r="AK235" s="272"/>
      <c r="AL235" s="272"/>
      <c r="AM235" s="273">
        <v>21000.0</v>
      </c>
      <c r="AN235" s="272"/>
      <c r="AO235" s="272"/>
      <c r="AP235" s="272" t="s">
        <v>6359</v>
      </c>
      <c r="AQ235" s="272"/>
      <c r="AR235" s="272"/>
      <c r="AS235" s="272"/>
      <c r="AT235" s="272"/>
      <c r="AU235" s="272"/>
      <c r="AV235" s="231"/>
      <c r="AW235" s="215" t="s">
        <v>6998</v>
      </c>
      <c r="AX235" s="216"/>
      <c r="AY235" s="216"/>
      <c r="AZ235" s="216"/>
      <c r="BA235" s="216"/>
      <c r="BB235" s="216" t="s">
        <v>6999</v>
      </c>
      <c r="BC235" s="216"/>
      <c r="BD235" s="216"/>
      <c r="BE235" s="216"/>
      <c r="BF235" s="216"/>
      <c r="BG235" s="216"/>
      <c r="BH235" s="216"/>
      <c r="BI235" s="216"/>
      <c r="BJ235" s="216"/>
      <c r="BK235" s="216"/>
      <c r="BL235" s="216"/>
      <c r="BM235" s="216"/>
      <c r="BN235" s="216"/>
      <c r="BO235" s="216"/>
      <c r="BP235" s="216"/>
      <c r="BQ235" s="216"/>
      <c r="BR235" s="216"/>
      <c r="BS235" s="216"/>
      <c r="BT235" s="216"/>
      <c r="BU235" s="216"/>
      <c r="BV235" s="216"/>
      <c r="BW235" s="217"/>
    </row>
    <row r="236" spans="8:8" ht="16.5">
      <c r="A236" s="201"/>
      <c r="S236" s="201"/>
      <c r="T236" s="201"/>
      <c r="U236" s="201"/>
      <c r="V236" s="201"/>
      <c r="W236" s="201"/>
      <c r="X236" s="244" t="s">
        <v>7004</v>
      </c>
      <c r="Y236" s="244"/>
      <c r="Z236" s="244"/>
      <c r="AA236" s="244"/>
      <c r="AB236" s="244"/>
      <c r="AC236" s="244" t="s">
        <v>7005</v>
      </c>
      <c r="AD236" s="244"/>
      <c r="AE236" s="244"/>
      <c r="AF236" s="244"/>
      <c r="AG236" s="244"/>
      <c r="AH236" s="201"/>
      <c r="AJ236" s="272" t="s">
        <v>7002</v>
      </c>
      <c r="AK236" s="272"/>
      <c r="AL236" s="272"/>
      <c r="AM236" s="273">
        <v>4000.0</v>
      </c>
      <c r="AN236" s="272"/>
      <c r="AO236" s="272"/>
      <c r="AP236" s="272" t="s">
        <v>6399</v>
      </c>
      <c r="AQ236" s="272"/>
      <c r="AR236" s="272"/>
      <c r="AS236" s="272"/>
      <c r="AT236" s="272"/>
      <c r="AU236" s="272"/>
      <c r="AV236" s="231"/>
      <c r="AW236" s="215" t="s">
        <v>7003</v>
      </c>
      <c r="AX236" s="216"/>
      <c r="AY236" s="216"/>
      <c r="AZ236" s="216"/>
      <c r="BA236" s="216"/>
      <c r="BB236" s="216" t="s">
        <v>6256</v>
      </c>
      <c r="BC236" s="216"/>
      <c r="BD236" s="216"/>
      <c r="BE236" s="216"/>
      <c r="BF236" s="216"/>
      <c r="BG236" s="216"/>
      <c r="BH236" s="216"/>
      <c r="BI236" s="216"/>
      <c r="BJ236" s="216"/>
      <c r="BK236" s="216"/>
      <c r="BL236" s="216"/>
      <c r="BM236" s="216"/>
      <c r="BN236" s="216"/>
      <c r="BO236" s="216"/>
      <c r="BP236" s="216"/>
      <c r="BQ236" s="216"/>
      <c r="BR236" s="216"/>
      <c r="BS236" s="216"/>
      <c r="BT236" s="216"/>
      <c r="BU236" s="216"/>
      <c r="BV236" s="216"/>
      <c r="BW236" s="217"/>
    </row>
    <row r="237" spans="8:8" ht="16.5">
      <c r="A237" s="201"/>
      <c r="S237" s="201"/>
      <c r="T237" s="201"/>
      <c r="U237" s="201"/>
      <c r="V237" s="201"/>
      <c r="W237" s="201"/>
      <c r="X237" s="244" t="s">
        <v>7009</v>
      </c>
      <c r="Y237" s="244"/>
      <c r="Z237" s="244"/>
      <c r="AA237" s="244"/>
      <c r="AB237" s="244"/>
      <c r="AC237" s="244" t="s">
        <v>7010</v>
      </c>
      <c r="AD237" s="244"/>
      <c r="AE237" s="244"/>
      <c r="AF237" s="244"/>
      <c r="AG237" s="244"/>
      <c r="AH237" s="201"/>
      <c r="AJ237" s="272" t="s">
        <v>7006</v>
      </c>
      <c r="AK237" s="272"/>
      <c r="AL237" s="272"/>
      <c r="AM237" s="273">
        <v>16000.0</v>
      </c>
      <c r="AN237" s="272"/>
      <c r="AO237" s="272"/>
      <c r="AP237" s="272" t="s">
        <v>6393</v>
      </c>
      <c r="AQ237" s="272"/>
      <c r="AR237" s="272"/>
      <c r="AS237" s="272"/>
      <c r="AT237" s="272"/>
      <c r="AU237" s="272"/>
      <c r="AV237" s="231"/>
      <c r="AW237" s="215" t="s">
        <v>7007</v>
      </c>
      <c r="AX237" s="216"/>
      <c r="AY237" s="216"/>
      <c r="AZ237" s="216"/>
      <c r="BA237" s="216"/>
      <c r="BB237" s="216" t="s">
        <v>7008</v>
      </c>
      <c r="BC237" s="216"/>
      <c r="BD237" s="216"/>
      <c r="BE237" s="216"/>
      <c r="BF237" s="216"/>
      <c r="BG237" s="216"/>
      <c r="BH237" s="216"/>
      <c r="BI237" s="216"/>
      <c r="BJ237" s="216"/>
      <c r="BK237" s="216"/>
      <c r="BL237" s="216"/>
      <c r="BM237" s="216"/>
      <c r="BN237" s="216"/>
      <c r="BO237" s="216"/>
      <c r="BP237" s="216"/>
      <c r="BQ237" s="216"/>
      <c r="BR237" s="216"/>
      <c r="BS237" s="216"/>
      <c r="BT237" s="216"/>
      <c r="BU237" s="216"/>
      <c r="BV237" s="216"/>
      <c r="BW237" s="217"/>
    </row>
    <row r="238" spans="8:8" ht="16.5">
      <c r="A238" s="201"/>
      <c r="S238" s="201"/>
      <c r="T238" s="201"/>
      <c r="U238" s="201"/>
      <c r="V238" s="201"/>
      <c r="W238" s="201"/>
      <c r="X238" s="244" t="s">
        <v>7014</v>
      </c>
      <c r="Y238" s="244"/>
      <c r="Z238" s="244"/>
      <c r="AA238" s="244"/>
      <c r="AB238" s="244"/>
      <c r="AC238" s="244" t="s">
        <v>7015</v>
      </c>
      <c r="AD238" s="244"/>
      <c r="AE238" s="244"/>
      <c r="AF238" s="244"/>
      <c r="AG238" s="244"/>
      <c r="AH238" s="201"/>
      <c r="AJ238" s="270" t="s">
        <v>7011</v>
      </c>
      <c r="AK238" s="270"/>
      <c r="AL238" s="270"/>
      <c r="AM238" s="270"/>
      <c r="AN238" s="270"/>
      <c r="AO238" s="270"/>
      <c r="AP238" s="270"/>
      <c r="AQ238" s="270"/>
      <c r="AR238" s="270"/>
      <c r="AS238" s="270"/>
      <c r="AT238" s="270"/>
      <c r="AU238" s="270"/>
      <c r="AV238" s="231"/>
      <c r="AW238" s="215" t="s">
        <v>7012</v>
      </c>
      <c r="AX238" s="216"/>
      <c r="AY238" s="216"/>
      <c r="AZ238" s="216"/>
      <c r="BA238" s="216"/>
      <c r="BB238" s="216" t="s">
        <v>7013</v>
      </c>
      <c r="BC238" s="216"/>
      <c r="BD238" s="216"/>
      <c r="BE238" s="216"/>
      <c r="BF238" s="216"/>
      <c r="BG238" s="216"/>
      <c r="BH238" s="216"/>
      <c r="BI238" s="216"/>
      <c r="BJ238" s="216"/>
      <c r="BK238" s="216"/>
      <c r="BL238" s="216"/>
      <c r="BM238" s="216"/>
      <c r="BN238" s="216"/>
      <c r="BO238" s="216"/>
      <c r="BP238" s="216"/>
      <c r="BQ238" s="216"/>
      <c r="BR238" s="216"/>
      <c r="BS238" s="216"/>
      <c r="BT238" s="216"/>
      <c r="BU238" s="216"/>
      <c r="BV238" s="216"/>
      <c r="BW238" s="217"/>
    </row>
    <row r="239" spans="8:8" ht="16.5">
      <c r="A239" s="201"/>
      <c r="S239" s="201"/>
      <c r="T239" s="201"/>
      <c r="U239" s="201"/>
      <c r="V239" s="201"/>
      <c r="W239" s="201"/>
      <c r="X239" s="244" t="s">
        <v>7019</v>
      </c>
      <c r="Y239" s="244"/>
      <c r="Z239" s="244"/>
      <c r="AA239" s="244"/>
      <c r="AB239" s="244"/>
      <c r="AC239" s="244" t="s">
        <v>7020</v>
      </c>
      <c r="AD239" s="244"/>
      <c r="AE239" s="244"/>
      <c r="AF239" s="244"/>
      <c r="AG239" s="244"/>
      <c r="AH239" s="201"/>
      <c r="AJ239" s="272" t="s">
        <v>7016</v>
      </c>
      <c r="AK239" s="272"/>
      <c r="AL239" s="272"/>
      <c r="AM239" s="272" t="s">
        <v>5372</v>
      </c>
      <c r="AN239" s="272"/>
      <c r="AO239" s="272"/>
      <c r="AP239" s="272"/>
      <c r="AQ239" s="272"/>
      <c r="AR239" s="272"/>
      <c r="AS239" s="272"/>
      <c r="AT239" s="272"/>
      <c r="AU239" s="272"/>
      <c r="AV239" s="231"/>
      <c r="AW239" s="215" t="s">
        <v>7017</v>
      </c>
      <c r="AX239" s="216"/>
      <c r="AY239" s="216"/>
      <c r="AZ239" s="216"/>
      <c r="BA239" s="216"/>
      <c r="BB239" s="216" t="s">
        <v>7018</v>
      </c>
      <c r="BC239" s="216"/>
      <c r="BD239" s="216"/>
      <c r="BE239" s="216"/>
      <c r="BF239" s="216"/>
      <c r="BG239" s="216"/>
      <c r="BH239" s="216"/>
      <c r="BI239" s="216"/>
      <c r="BJ239" s="216"/>
      <c r="BK239" s="216"/>
      <c r="BL239" s="216"/>
      <c r="BM239" s="216"/>
      <c r="BN239" s="216"/>
      <c r="BO239" s="216"/>
      <c r="BP239" s="216"/>
      <c r="BQ239" s="216"/>
      <c r="BR239" s="216"/>
      <c r="BS239" s="216"/>
      <c r="BT239" s="216"/>
      <c r="BU239" s="216"/>
      <c r="BV239" s="216"/>
      <c r="BW239" s="217"/>
    </row>
    <row r="240" spans="8:8" ht="16.5">
      <c r="A240" s="201"/>
      <c r="S240" s="201"/>
      <c r="T240" s="201"/>
      <c r="U240" s="201"/>
      <c r="V240" s="201"/>
      <c r="W240" s="201"/>
      <c r="X240" s="244" t="s">
        <v>7024</v>
      </c>
      <c r="Y240" s="244"/>
      <c r="Z240" s="244"/>
      <c r="AA240" s="244"/>
      <c r="AB240" s="244"/>
      <c r="AC240" s="244" t="s">
        <v>7025</v>
      </c>
      <c r="AD240" s="244"/>
      <c r="AE240" s="244"/>
      <c r="AF240" s="244"/>
      <c r="AG240" s="244"/>
      <c r="AH240" s="201"/>
      <c r="AJ240" s="272" t="s">
        <v>7021</v>
      </c>
      <c r="AK240" s="272"/>
      <c r="AL240" s="272"/>
      <c r="AM240" s="272" t="s">
        <v>5363</v>
      </c>
      <c r="AN240" s="272"/>
      <c r="AO240" s="272"/>
      <c r="AP240" s="272"/>
      <c r="AQ240" s="272"/>
      <c r="AR240" s="272"/>
      <c r="AS240" s="272"/>
      <c r="AT240" s="272"/>
      <c r="AU240" s="272"/>
      <c r="AV240" s="231"/>
      <c r="AW240" s="215" t="s">
        <v>7022</v>
      </c>
      <c r="AX240" s="216"/>
      <c r="AY240" s="216"/>
      <c r="AZ240" s="216"/>
      <c r="BA240" s="216"/>
      <c r="BB240" s="216" t="s">
        <v>7023</v>
      </c>
      <c r="BC240" s="216"/>
      <c r="BD240" s="216"/>
      <c r="BE240" s="216"/>
      <c r="BF240" s="216"/>
      <c r="BG240" s="216"/>
      <c r="BH240" s="216"/>
      <c r="BI240" s="216"/>
      <c r="BJ240" s="216"/>
      <c r="BK240" s="216"/>
      <c r="BL240" s="216"/>
      <c r="BM240" s="216"/>
      <c r="BN240" s="216"/>
      <c r="BO240" s="216"/>
      <c r="BP240" s="216"/>
      <c r="BQ240" s="216"/>
      <c r="BR240" s="216"/>
      <c r="BS240" s="216"/>
      <c r="BT240" s="216"/>
      <c r="BU240" s="216"/>
      <c r="BV240" s="216"/>
      <c r="BW240" s="217"/>
    </row>
    <row r="241" spans="8:8" ht="16.5">
      <c r="A241" s="201"/>
      <c r="S241" s="201"/>
      <c r="T241" s="201"/>
      <c r="U241" s="201"/>
      <c r="V241" s="201"/>
      <c r="W241" s="201"/>
      <c r="X241" s="244" t="s">
        <v>7029</v>
      </c>
      <c r="Y241" s="244"/>
      <c r="Z241" s="244"/>
      <c r="AA241" s="244"/>
      <c r="AB241" s="244"/>
      <c r="AC241" s="244" t="s">
        <v>7030</v>
      </c>
      <c r="AD241" s="244"/>
      <c r="AE241" s="244"/>
      <c r="AF241" s="244"/>
      <c r="AG241" s="244"/>
      <c r="AH241" s="201"/>
      <c r="AJ241" s="272" t="s">
        <v>7026</v>
      </c>
      <c r="AK241" s="272"/>
      <c r="AL241" s="272"/>
      <c r="AM241" s="272" t="s">
        <v>5775</v>
      </c>
      <c r="AN241" s="272"/>
      <c r="AO241" s="272"/>
      <c r="AP241" s="272"/>
      <c r="AQ241" s="272"/>
      <c r="AR241" s="272"/>
      <c r="AS241" s="272"/>
      <c r="AT241" s="272"/>
      <c r="AU241" s="272"/>
      <c r="AV241" s="231"/>
      <c r="AW241" s="215" t="s">
        <v>7027</v>
      </c>
      <c r="AX241" s="216"/>
      <c r="AY241" s="216"/>
      <c r="AZ241" s="216"/>
      <c r="BA241" s="216"/>
      <c r="BB241" s="216" t="s">
        <v>7028</v>
      </c>
      <c r="BC241" s="216"/>
      <c r="BD241" s="216"/>
      <c r="BE241" s="216"/>
      <c r="BF241" s="216"/>
      <c r="BG241" s="216"/>
      <c r="BH241" s="216"/>
      <c r="BI241" s="216"/>
      <c r="BJ241" s="216"/>
      <c r="BK241" s="216"/>
      <c r="BL241" s="216"/>
      <c r="BM241" s="216"/>
      <c r="BN241" s="216"/>
      <c r="BO241" s="216"/>
      <c r="BP241" s="216"/>
      <c r="BQ241" s="216"/>
      <c r="BR241" s="216"/>
      <c r="BS241" s="216"/>
      <c r="BT241" s="216"/>
      <c r="BU241" s="216"/>
      <c r="BV241" s="216"/>
      <c r="BW241" s="217"/>
    </row>
    <row r="242" spans="8:8" ht="16.5">
      <c r="A242" s="201"/>
      <c r="S242" s="201"/>
      <c r="T242" s="201"/>
      <c r="U242" s="201"/>
      <c r="V242" s="201"/>
      <c r="W242" s="201"/>
      <c r="X242" s="244" t="s">
        <v>7033</v>
      </c>
      <c r="Y242" s="244"/>
      <c r="Z242" s="244"/>
      <c r="AA242" s="244"/>
      <c r="AB242" s="244"/>
      <c r="AC242" s="244" t="s">
        <v>7034</v>
      </c>
      <c r="AD242" s="244"/>
      <c r="AE242" s="244"/>
      <c r="AF242" s="244"/>
      <c r="AG242" s="244"/>
      <c r="AH242" s="201"/>
      <c r="AJ242" s="272" t="s">
        <v>5899</v>
      </c>
      <c r="AK242" s="272"/>
      <c r="AL242" s="272"/>
      <c r="AM242" s="272" t="s">
        <v>5898</v>
      </c>
      <c r="AN242" s="272"/>
      <c r="AO242" s="272"/>
      <c r="AP242" s="272"/>
      <c r="AQ242" s="272"/>
      <c r="AR242" s="272"/>
      <c r="AS242" s="272"/>
      <c r="AT242" s="272"/>
      <c r="AU242" s="272"/>
      <c r="AV242" s="231"/>
      <c r="AW242" s="215" t="s">
        <v>7031</v>
      </c>
      <c r="AX242" s="216"/>
      <c r="AY242" s="216"/>
      <c r="AZ242" s="216"/>
      <c r="BA242" s="216"/>
      <c r="BB242" s="216" t="s">
        <v>7032</v>
      </c>
      <c r="BC242" s="216"/>
      <c r="BD242" s="216"/>
      <c r="BE242" s="216"/>
      <c r="BF242" s="216"/>
      <c r="BG242" s="216"/>
      <c r="BH242" s="216"/>
      <c r="BI242" s="216"/>
      <c r="BJ242" s="216"/>
      <c r="BK242" s="216"/>
      <c r="BL242" s="216"/>
      <c r="BM242" s="216"/>
      <c r="BN242" s="216"/>
      <c r="BO242" s="216"/>
      <c r="BP242" s="216"/>
      <c r="BQ242" s="216"/>
      <c r="BR242" s="216"/>
      <c r="BS242" s="216"/>
      <c r="BT242" s="216"/>
      <c r="BU242" s="216"/>
      <c r="BV242" s="216"/>
      <c r="BW242" s="217"/>
    </row>
    <row r="243" spans="8:8" ht="16.5">
      <c r="A243" s="201"/>
      <c r="S243" s="201"/>
      <c r="T243" s="201"/>
      <c r="U243" s="201"/>
      <c r="V243" s="201"/>
      <c r="W243" s="201"/>
      <c r="X243" s="244" t="s">
        <v>7038</v>
      </c>
      <c r="Y243" s="244"/>
      <c r="Z243" s="244"/>
      <c r="AA243" s="244"/>
      <c r="AB243" s="244"/>
      <c r="AC243" s="244" t="s">
        <v>7039</v>
      </c>
      <c r="AD243" s="244"/>
      <c r="AE243" s="244"/>
      <c r="AF243" s="244"/>
      <c r="AG243" s="244"/>
      <c r="AH243" s="201"/>
      <c r="AJ243" s="272" t="s">
        <v>7035</v>
      </c>
      <c r="AK243" s="272"/>
      <c r="AL243" s="272"/>
      <c r="AM243" s="273">
        <v>140000.0</v>
      </c>
      <c r="AN243" s="272"/>
      <c r="AO243" s="272"/>
      <c r="AP243" s="272" t="s">
        <v>5527</v>
      </c>
      <c r="AQ243" s="272"/>
      <c r="AR243" s="272"/>
      <c r="AS243" s="272"/>
      <c r="AT243" s="272"/>
      <c r="AU243" s="272"/>
      <c r="AV243" s="231"/>
      <c r="AW243" s="215" t="s">
        <v>7036</v>
      </c>
      <c r="AX243" s="216"/>
      <c r="AY243" s="216"/>
      <c r="AZ243" s="216"/>
      <c r="BA243" s="216"/>
      <c r="BB243" s="216" t="s">
        <v>7037</v>
      </c>
      <c r="BC243" s="216"/>
      <c r="BD243" s="216"/>
      <c r="BE243" s="216"/>
      <c r="BF243" s="216"/>
      <c r="BG243" s="216"/>
      <c r="BH243" s="216"/>
      <c r="BI243" s="216"/>
      <c r="BJ243" s="216"/>
      <c r="BK243" s="216"/>
      <c r="BL243" s="216"/>
      <c r="BM243" s="216"/>
      <c r="BN243" s="216"/>
      <c r="BO243" s="216"/>
      <c r="BP243" s="216"/>
      <c r="BQ243" s="216"/>
      <c r="BR243" s="216"/>
      <c r="BS243" s="216"/>
      <c r="BT243" s="216"/>
      <c r="BU243" s="216"/>
      <c r="BV243" s="216"/>
      <c r="BW243" s="217"/>
    </row>
    <row r="244" spans="8:8" ht="16.5">
      <c r="A244" s="201"/>
      <c r="S244" s="201"/>
      <c r="T244" s="201"/>
      <c r="U244" s="201"/>
      <c r="V244" s="201"/>
      <c r="W244" s="201"/>
      <c r="X244" s="244" t="s">
        <v>7043</v>
      </c>
      <c r="Y244" s="244"/>
      <c r="Z244" s="244"/>
      <c r="AA244" s="244"/>
      <c r="AB244" s="244"/>
      <c r="AC244" s="244" t="s">
        <v>7044</v>
      </c>
      <c r="AD244" s="244"/>
      <c r="AE244" s="244"/>
      <c r="AF244" s="244"/>
      <c r="AG244" s="244"/>
      <c r="AH244" s="201"/>
      <c r="AJ244" s="272" t="s">
        <v>7040</v>
      </c>
      <c r="AK244" s="272"/>
      <c r="AL244" s="272"/>
      <c r="AM244" s="272" t="s">
        <v>5539</v>
      </c>
      <c r="AN244" s="272"/>
      <c r="AO244" s="272"/>
      <c r="AP244" s="272"/>
      <c r="AQ244" s="272"/>
      <c r="AR244" s="272"/>
      <c r="AS244" s="272"/>
      <c r="AT244" s="272"/>
      <c r="AU244" s="272"/>
      <c r="AV244" s="231"/>
      <c r="AW244" s="215" t="s">
        <v>7041</v>
      </c>
      <c r="AX244" s="216"/>
      <c r="AY244" s="216"/>
      <c r="AZ244" s="216"/>
      <c r="BA244" s="216"/>
      <c r="BB244" s="216" t="s">
        <v>7042</v>
      </c>
      <c r="BC244" s="216"/>
      <c r="BD244" s="216"/>
      <c r="BE244" s="216"/>
      <c r="BF244" s="216"/>
      <c r="BG244" s="216"/>
      <c r="BH244" s="216"/>
      <c r="BI244" s="216"/>
      <c r="BJ244" s="216"/>
      <c r="BK244" s="216"/>
      <c r="BL244" s="216"/>
      <c r="BM244" s="216"/>
      <c r="BN244" s="216"/>
      <c r="BO244" s="216"/>
      <c r="BP244" s="216"/>
      <c r="BQ244" s="216"/>
      <c r="BR244" s="216"/>
      <c r="BS244" s="216"/>
      <c r="BT244" s="216"/>
      <c r="BU244" s="216"/>
      <c r="BV244" s="216"/>
      <c r="BW244" s="217"/>
    </row>
    <row r="245" spans="8:8" ht="16.5">
      <c r="A245" s="201"/>
      <c r="S245" s="201"/>
      <c r="T245" s="201"/>
      <c r="U245" s="201"/>
      <c r="V245" s="201"/>
      <c r="W245" s="201"/>
      <c r="X245" s="244" t="s">
        <v>7048</v>
      </c>
      <c r="Y245" s="244"/>
      <c r="Z245" s="244"/>
      <c r="AA245" s="244"/>
      <c r="AB245" s="244"/>
      <c r="AC245" s="244" t="s">
        <v>7049</v>
      </c>
      <c r="AD245" s="244"/>
      <c r="AE245" s="244"/>
      <c r="AF245" s="244"/>
      <c r="AG245" s="244"/>
      <c r="AH245" s="201"/>
      <c r="AJ245" s="272" t="s">
        <v>7045</v>
      </c>
      <c r="AK245" s="272"/>
      <c r="AL245" s="272"/>
      <c r="AM245" s="273">
        <v>8000.0</v>
      </c>
      <c r="AN245" s="272"/>
      <c r="AO245" s="272"/>
      <c r="AP245" s="272" t="s">
        <v>5739</v>
      </c>
      <c r="AQ245" s="272"/>
      <c r="AR245" s="272"/>
      <c r="AS245" s="272"/>
      <c r="AT245" s="272"/>
      <c r="AU245" s="272"/>
      <c r="AV245" s="231"/>
      <c r="AW245" s="215" t="s">
        <v>7046</v>
      </c>
      <c r="AX245" s="216"/>
      <c r="AY245" s="216"/>
      <c r="AZ245" s="216"/>
      <c r="BA245" s="216"/>
      <c r="BB245" s="216" t="s">
        <v>7047</v>
      </c>
      <c r="BC245" s="216"/>
      <c r="BD245" s="216"/>
      <c r="BE245" s="216"/>
      <c r="BF245" s="216"/>
      <c r="BG245" s="216"/>
      <c r="BH245" s="216"/>
      <c r="BI245" s="216"/>
      <c r="BJ245" s="216"/>
      <c r="BK245" s="216"/>
      <c r="BL245" s="216"/>
      <c r="BM245" s="216"/>
      <c r="BN245" s="216"/>
      <c r="BO245" s="216"/>
      <c r="BP245" s="216"/>
      <c r="BQ245" s="216"/>
      <c r="BR245" s="216"/>
      <c r="BS245" s="216"/>
      <c r="BT245" s="216"/>
      <c r="BU245" s="216"/>
      <c r="BV245" s="216"/>
      <c r="BW245" s="217"/>
    </row>
    <row r="246" spans="8:8" ht="16.5">
      <c r="A246" s="201"/>
      <c r="S246" s="201"/>
      <c r="T246" s="201"/>
      <c r="U246" s="201"/>
      <c r="V246" s="201"/>
      <c r="W246" s="201"/>
      <c r="X246" s="244" t="s">
        <v>7053</v>
      </c>
      <c r="Y246" s="244"/>
      <c r="Z246" s="244"/>
      <c r="AA246" s="244"/>
      <c r="AB246" s="244"/>
      <c r="AC246" s="244" t="s">
        <v>7054</v>
      </c>
      <c r="AD246" s="244"/>
      <c r="AE246" s="244"/>
      <c r="AF246" s="244"/>
      <c r="AG246" s="244"/>
      <c r="AH246" s="201"/>
      <c r="AJ246" s="272" t="s">
        <v>7050</v>
      </c>
      <c r="AK246" s="272"/>
      <c r="AL246" s="272"/>
      <c r="AM246" s="272" t="s">
        <v>5751</v>
      </c>
      <c r="AN246" s="272"/>
      <c r="AO246" s="272"/>
      <c r="AP246" s="272"/>
      <c r="AQ246" s="272"/>
      <c r="AR246" s="272"/>
      <c r="AS246" s="272"/>
      <c r="AT246" s="272"/>
      <c r="AU246" s="272"/>
      <c r="AV246" s="231"/>
      <c r="AW246" s="215" t="s">
        <v>7051</v>
      </c>
      <c r="AX246" s="216"/>
      <c r="AY246" s="216"/>
      <c r="AZ246" s="216"/>
      <c r="BA246" s="216"/>
      <c r="BB246" s="216" t="s">
        <v>7052</v>
      </c>
      <c r="BC246" s="216"/>
      <c r="BD246" s="216"/>
      <c r="BE246" s="216"/>
      <c r="BF246" s="216"/>
      <c r="BG246" s="216"/>
      <c r="BH246" s="216"/>
      <c r="BI246" s="216"/>
      <c r="BJ246" s="216"/>
      <c r="BK246" s="216"/>
      <c r="BL246" s="216"/>
      <c r="BM246" s="216"/>
      <c r="BN246" s="216"/>
      <c r="BO246" s="216"/>
      <c r="BP246" s="216"/>
      <c r="BQ246" s="216"/>
      <c r="BR246" s="216"/>
      <c r="BS246" s="216"/>
      <c r="BT246" s="216"/>
      <c r="BU246" s="216"/>
      <c r="BV246" s="216"/>
      <c r="BW246" s="217"/>
    </row>
    <row r="247" spans="8:8" ht="16.5">
      <c r="A247" s="201"/>
      <c r="S247" s="201"/>
      <c r="T247" s="201"/>
      <c r="U247" s="201"/>
      <c r="V247" s="201"/>
      <c r="W247" s="201"/>
      <c r="X247" s="244" t="s">
        <v>7058</v>
      </c>
      <c r="Y247" s="244"/>
      <c r="Z247" s="244"/>
      <c r="AA247" s="244"/>
      <c r="AB247" s="244"/>
      <c r="AC247" s="244" t="s">
        <v>7059</v>
      </c>
      <c r="AD247" s="244"/>
      <c r="AE247" s="244"/>
      <c r="AF247" s="244"/>
      <c r="AG247" s="244"/>
      <c r="AH247" s="201"/>
      <c r="AJ247" s="272" t="s">
        <v>7055</v>
      </c>
      <c r="AK247" s="272"/>
      <c r="AL247" s="272"/>
      <c r="AM247" s="273">
        <v>800.0</v>
      </c>
      <c r="AN247" s="272"/>
      <c r="AO247" s="272"/>
      <c r="AP247" s="272" t="s">
        <v>6000</v>
      </c>
      <c r="AQ247" s="272"/>
      <c r="AR247" s="272"/>
      <c r="AS247" s="272"/>
      <c r="AT247" s="272"/>
      <c r="AU247" s="272"/>
      <c r="AV247" s="231"/>
      <c r="AW247" s="215" t="s">
        <v>7056</v>
      </c>
      <c r="AX247" s="216"/>
      <c r="AY247" s="216"/>
      <c r="AZ247" s="216"/>
      <c r="BA247" s="216"/>
      <c r="BB247" s="216" t="s">
        <v>7057</v>
      </c>
      <c r="BC247" s="216"/>
      <c r="BD247" s="216"/>
      <c r="BE247" s="216"/>
      <c r="BF247" s="216"/>
      <c r="BG247" s="216"/>
      <c r="BH247" s="216"/>
      <c r="BI247" s="216"/>
      <c r="BJ247" s="216"/>
      <c r="BK247" s="216"/>
      <c r="BL247" s="216"/>
      <c r="BM247" s="216"/>
      <c r="BN247" s="216"/>
      <c r="BO247" s="216"/>
      <c r="BP247" s="216"/>
      <c r="BQ247" s="216"/>
      <c r="BR247" s="216"/>
      <c r="BS247" s="216"/>
      <c r="BT247" s="216"/>
      <c r="BU247" s="216"/>
      <c r="BV247" s="216"/>
      <c r="BW247" s="217"/>
    </row>
    <row r="248" spans="8:8" ht="16.5">
      <c r="A248" s="201"/>
      <c r="S248" s="201"/>
      <c r="T248" s="201"/>
      <c r="U248" s="201"/>
      <c r="V248" s="201"/>
      <c r="W248" s="201"/>
      <c r="X248" s="244" t="s">
        <v>7062</v>
      </c>
      <c r="Y248" s="244"/>
      <c r="Z248" s="244"/>
      <c r="AA248" s="244"/>
      <c r="AB248" s="244"/>
      <c r="AC248" s="244" t="s">
        <v>7063</v>
      </c>
      <c r="AD248" s="244"/>
      <c r="AE248" s="244"/>
      <c r="AF248" s="244"/>
      <c r="AG248" s="244"/>
      <c r="AH248" s="201"/>
      <c r="AJ248" s="272" t="s">
        <v>5873</v>
      </c>
      <c r="AK248" s="272"/>
      <c r="AL248" s="272"/>
      <c r="AM248" s="273">
        <v>800.0</v>
      </c>
      <c r="AN248" s="272"/>
      <c r="AO248" s="272"/>
      <c r="AP248" s="272" t="s">
        <v>5872</v>
      </c>
      <c r="AQ248" s="272"/>
      <c r="AR248" s="272"/>
      <c r="AS248" s="272"/>
      <c r="AT248" s="272"/>
      <c r="AU248" s="272"/>
      <c r="AV248" s="231"/>
      <c r="AW248" s="215" t="s">
        <v>7060</v>
      </c>
      <c r="AX248" s="216"/>
      <c r="AY248" s="216"/>
      <c r="AZ248" s="216"/>
      <c r="BA248" s="216"/>
      <c r="BB248" s="216" t="s">
        <v>7061</v>
      </c>
      <c r="BC248" s="216"/>
      <c r="BD248" s="216"/>
      <c r="BE248" s="216"/>
      <c r="BF248" s="216"/>
      <c r="BG248" s="216"/>
      <c r="BH248" s="216"/>
      <c r="BI248" s="216"/>
      <c r="BJ248" s="216"/>
      <c r="BK248" s="216"/>
      <c r="BL248" s="216"/>
      <c r="BM248" s="216"/>
      <c r="BN248" s="216"/>
      <c r="BO248" s="216"/>
      <c r="BP248" s="216"/>
      <c r="BQ248" s="216"/>
      <c r="BR248" s="216"/>
      <c r="BS248" s="216"/>
      <c r="BT248" s="216"/>
      <c r="BU248" s="216"/>
      <c r="BV248" s="216"/>
      <c r="BW248" s="217"/>
    </row>
    <row r="249" spans="8:8" ht="16.5">
      <c r="A249" s="201"/>
      <c r="S249" s="201"/>
      <c r="T249" s="201"/>
      <c r="U249" s="201"/>
      <c r="V249" s="201"/>
      <c r="W249" s="201"/>
      <c r="X249" s="244" t="s">
        <v>7066</v>
      </c>
      <c r="Y249" s="244"/>
      <c r="Z249" s="244"/>
      <c r="AA249" s="244"/>
      <c r="AB249" s="244"/>
      <c r="AC249" s="244" t="s">
        <v>7067</v>
      </c>
      <c r="AD249" s="244"/>
      <c r="AE249" s="244"/>
      <c r="AF249" s="244"/>
      <c r="AG249" s="244"/>
      <c r="AH249" s="201"/>
      <c r="AJ249" s="272" t="s">
        <v>5629</v>
      </c>
      <c r="AK249" s="272"/>
      <c r="AL249" s="272"/>
      <c r="AM249" s="273">
        <v>90000.0</v>
      </c>
      <c r="AN249" s="272"/>
      <c r="AO249" s="272"/>
      <c r="AP249" s="272" t="s">
        <v>5628</v>
      </c>
      <c r="AQ249" s="272"/>
      <c r="AR249" s="272"/>
      <c r="AS249" s="272"/>
      <c r="AT249" s="272"/>
      <c r="AU249" s="272"/>
      <c r="AV249" s="231"/>
      <c r="AW249" s="215" t="s">
        <v>7064</v>
      </c>
      <c r="AX249" s="216"/>
      <c r="AY249" s="216"/>
      <c r="AZ249" s="216"/>
      <c r="BA249" s="216"/>
      <c r="BB249" s="216" t="s">
        <v>7065</v>
      </c>
      <c r="BC249" s="216"/>
      <c r="BD249" s="216"/>
      <c r="BE249" s="216"/>
      <c r="BF249" s="216"/>
      <c r="BG249" s="216"/>
      <c r="BH249" s="216"/>
      <c r="BI249" s="216"/>
      <c r="BJ249" s="216"/>
      <c r="BK249" s="216"/>
      <c r="BL249" s="216"/>
      <c r="BM249" s="216"/>
      <c r="BN249" s="216"/>
      <c r="BO249" s="216"/>
      <c r="BP249" s="216"/>
      <c r="BQ249" s="216"/>
      <c r="BR249" s="216"/>
      <c r="BS249" s="216"/>
      <c r="BT249" s="216"/>
      <c r="BU249" s="216"/>
      <c r="BV249" s="216"/>
      <c r="BW249" s="217"/>
    </row>
    <row r="250" spans="8:8" ht="16.5">
      <c r="A250" s="201"/>
      <c r="S250" s="201"/>
      <c r="T250" s="201"/>
      <c r="U250" s="201"/>
      <c r="V250" s="201"/>
      <c r="W250" s="201"/>
      <c r="X250" s="244" t="s">
        <v>7071</v>
      </c>
      <c r="Y250" s="244"/>
      <c r="Z250" s="244"/>
      <c r="AA250" s="244"/>
      <c r="AB250" s="244"/>
      <c r="AC250" s="244" t="s">
        <v>7072</v>
      </c>
      <c r="AD250" s="244"/>
      <c r="AE250" s="244"/>
      <c r="AF250" s="244"/>
      <c r="AG250" s="244"/>
      <c r="AH250" s="201"/>
      <c r="AJ250" s="272" t="s">
        <v>7068</v>
      </c>
      <c r="AK250" s="272"/>
      <c r="AL250" s="272"/>
      <c r="AM250" s="273">
        <v>800.0</v>
      </c>
      <c r="AN250" s="272"/>
      <c r="AO250" s="272"/>
      <c r="AP250" s="272" t="s">
        <v>5859</v>
      </c>
      <c r="AQ250" s="272"/>
      <c r="AR250" s="272"/>
      <c r="AS250" s="272"/>
      <c r="AT250" s="272"/>
      <c r="AU250" s="272"/>
      <c r="AV250" s="231"/>
      <c r="AW250" s="215" t="s">
        <v>7069</v>
      </c>
      <c r="AX250" s="216"/>
      <c r="AY250" s="216"/>
      <c r="AZ250" s="216"/>
      <c r="BA250" s="216"/>
      <c r="BB250" s="216" t="s">
        <v>7070</v>
      </c>
      <c r="BC250" s="216"/>
      <c r="BD250" s="216"/>
      <c r="BE250" s="216"/>
      <c r="BF250" s="216"/>
      <c r="BG250" s="216"/>
      <c r="BH250" s="216"/>
      <c r="BI250" s="216"/>
      <c r="BJ250" s="216"/>
      <c r="BK250" s="216"/>
      <c r="BL250" s="216"/>
      <c r="BM250" s="216"/>
      <c r="BN250" s="216"/>
      <c r="BO250" s="216"/>
      <c r="BP250" s="216"/>
      <c r="BQ250" s="216"/>
      <c r="BR250" s="216"/>
      <c r="BS250" s="216"/>
      <c r="BT250" s="216"/>
      <c r="BU250" s="216"/>
      <c r="BV250" s="216"/>
      <c r="BW250" s="217"/>
    </row>
    <row r="251" spans="8:8" ht="16.5">
      <c r="A251" s="201"/>
      <c r="S251" s="201"/>
      <c r="T251" s="201"/>
      <c r="U251" s="201"/>
      <c r="V251" s="201"/>
      <c r="W251" s="201"/>
      <c r="X251" s="244" t="s">
        <v>7076</v>
      </c>
      <c r="Y251" s="244"/>
      <c r="Z251" s="244"/>
      <c r="AA251" s="244"/>
      <c r="AB251" s="244"/>
      <c r="AC251" s="244" t="s">
        <v>7077</v>
      </c>
      <c r="AD251" s="244"/>
      <c r="AE251" s="244"/>
      <c r="AF251" s="244"/>
      <c r="AG251" s="244"/>
      <c r="AH251" s="201"/>
      <c r="AJ251" s="272" t="s">
        <v>7073</v>
      </c>
      <c r="AK251" s="272"/>
      <c r="AL251" s="272"/>
      <c r="AM251" s="272" t="s">
        <v>5945</v>
      </c>
      <c r="AN251" s="272"/>
      <c r="AO251" s="272"/>
      <c r="AP251" s="272" t="s">
        <v>7074</v>
      </c>
      <c r="AQ251" s="272"/>
      <c r="AR251" s="272"/>
      <c r="AS251" s="272"/>
      <c r="AT251" s="272"/>
      <c r="AU251" s="272"/>
      <c r="AV251" s="231"/>
      <c r="AW251" s="215" t="s">
        <v>7075</v>
      </c>
      <c r="AX251" s="216"/>
      <c r="AY251" s="216"/>
      <c r="AZ251" s="216"/>
      <c r="BA251" s="216"/>
      <c r="BB251" s="216" t="s">
        <v>4782</v>
      </c>
      <c r="BC251" s="216"/>
      <c r="BD251" s="216"/>
      <c r="BE251" s="216"/>
      <c r="BF251" s="216"/>
      <c r="BG251" s="216"/>
      <c r="BH251" s="216"/>
      <c r="BI251" s="216"/>
      <c r="BJ251" s="216"/>
      <c r="BK251" s="216"/>
      <c r="BL251" s="216"/>
      <c r="BM251" s="216"/>
      <c r="BN251" s="216"/>
      <c r="BO251" s="216"/>
      <c r="BP251" s="216"/>
      <c r="BQ251" s="216"/>
      <c r="BR251" s="216"/>
      <c r="BS251" s="216"/>
      <c r="BT251" s="216"/>
      <c r="BU251" s="216"/>
      <c r="BV251" s="216"/>
      <c r="BW251" s="217"/>
    </row>
    <row r="252" spans="8:8" ht="16.5">
      <c r="A252" s="201"/>
      <c r="S252" s="201"/>
      <c r="T252" s="201"/>
      <c r="U252" s="201"/>
      <c r="V252" s="201"/>
      <c r="W252" s="201"/>
      <c r="X252" s="244" t="s">
        <v>7081</v>
      </c>
      <c r="Y252" s="244"/>
      <c r="Z252" s="244"/>
      <c r="AA252" s="244"/>
      <c r="AB252" s="244"/>
      <c r="AC252" s="244" t="s">
        <v>7082</v>
      </c>
      <c r="AD252" s="244"/>
      <c r="AE252" s="244"/>
      <c r="AF252" s="244"/>
      <c r="AG252" s="244"/>
      <c r="AH252" s="201"/>
      <c r="AJ252" s="272" t="s">
        <v>1844</v>
      </c>
      <c r="AK252" s="272"/>
      <c r="AL252" s="272"/>
      <c r="AM252" s="272" t="s">
        <v>5606</v>
      </c>
      <c r="AN252" s="272"/>
      <c r="AO252" s="272"/>
      <c r="AP252" s="272" t="s">
        <v>7078</v>
      </c>
      <c r="AQ252" s="272"/>
      <c r="AR252" s="272"/>
      <c r="AS252" s="272"/>
      <c r="AT252" s="272"/>
      <c r="AU252" s="272"/>
      <c r="AV252" s="231"/>
      <c r="AW252" s="215" t="s">
        <v>7079</v>
      </c>
      <c r="AX252" s="216"/>
      <c r="AY252" s="216"/>
      <c r="AZ252" s="216"/>
      <c r="BA252" s="216"/>
      <c r="BB252" s="216" t="s">
        <v>7080</v>
      </c>
      <c r="BC252" s="216"/>
      <c r="BD252" s="216"/>
      <c r="BE252" s="216"/>
      <c r="BF252" s="216"/>
      <c r="BG252" s="216"/>
      <c r="BH252" s="216"/>
      <c r="BI252" s="216"/>
      <c r="BJ252" s="216"/>
      <c r="BK252" s="216"/>
      <c r="BL252" s="216"/>
      <c r="BM252" s="216"/>
      <c r="BN252" s="216"/>
      <c r="BO252" s="216"/>
      <c r="BP252" s="216"/>
      <c r="BQ252" s="216"/>
      <c r="BR252" s="216"/>
      <c r="BS252" s="216"/>
      <c r="BT252" s="216"/>
      <c r="BU252" s="216"/>
      <c r="BV252" s="216"/>
      <c r="BW252" s="217"/>
    </row>
    <row r="253" spans="8:8" ht="16.5">
      <c r="A253" s="201"/>
      <c r="S253" s="201"/>
      <c r="T253" s="201"/>
      <c r="U253" s="201"/>
      <c r="V253" s="201"/>
      <c r="W253" s="201"/>
      <c r="X253" s="244" t="s">
        <v>7085</v>
      </c>
      <c r="Y253" s="244"/>
      <c r="Z253" s="244"/>
      <c r="AA253" s="244"/>
      <c r="AB253" s="244"/>
      <c r="AC253" s="244" t="s">
        <v>7086</v>
      </c>
      <c r="AD253" s="244"/>
      <c r="AE253" s="244"/>
      <c r="AF253" s="244"/>
      <c r="AG253" s="244"/>
      <c r="AH253" s="201"/>
      <c r="AJ253" s="272" t="s">
        <v>5641</v>
      </c>
      <c r="AK253" s="272"/>
      <c r="AL253" s="272"/>
      <c r="AM253" s="272" t="s">
        <v>5640</v>
      </c>
      <c r="AN253" s="272"/>
      <c r="AO253" s="272"/>
      <c r="AP253" s="272" t="s">
        <v>7083</v>
      </c>
      <c r="AQ253" s="272"/>
      <c r="AR253" s="272"/>
      <c r="AS253" s="272"/>
      <c r="AT253" s="272"/>
      <c r="AU253" s="272"/>
      <c r="AV253" s="231"/>
      <c r="AW253" s="215" t="s">
        <v>7084</v>
      </c>
      <c r="AX253" s="216"/>
      <c r="AY253" s="216"/>
      <c r="AZ253" s="216"/>
      <c r="BA253" s="216"/>
      <c r="BB253" s="216" t="s">
        <v>4786</v>
      </c>
      <c r="BC253" s="216"/>
      <c r="BD253" s="216"/>
      <c r="BE253" s="216"/>
      <c r="BF253" s="216"/>
      <c r="BG253" s="216"/>
      <c r="BH253" s="216"/>
      <c r="BI253" s="216"/>
      <c r="BJ253" s="216"/>
      <c r="BK253" s="216"/>
      <c r="BL253" s="216"/>
      <c r="BM253" s="216"/>
      <c r="BN253" s="216"/>
      <c r="BO253" s="216"/>
      <c r="BP253" s="216"/>
      <c r="BQ253" s="216"/>
      <c r="BR253" s="216"/>
      <c r="BS253" s="216"/>
      <c r="BT253" s="216"/>
      <c r="BU253" s="216"/>
      <c r="BV253" s="216"/>
      <c r="BW253" s="217"/>
    </row>
    <row r="254" spans="8:8" ht="16.5">
      <c r="A254" s="201"/>
      <c r="S254" s="201"/>
      <c r="T254" s="201"/>
      <c r="U254" s="201"/>
      <c r="V254" s="201"/>
      <c r="W254" s="201"/>
      <c r="X254" s="244" t="s">
        <v>7090</v>
      </c>
      <c r="Y254" s="244"/>
      <c r="Z254" s="244"/>
      <c r="AA254" s="244"/>
      <c r="AB254" s="244"/>
      <c r="AC254" s="244" t="s">
        <v>7091</v>
      </c>
      <c r="AD254" s="244"/>
      <c r="AE254" s="244"/>
      <c r="AF254" s="244"/>
      <c r="AG254" s="244"/>
      <c r="AH254" s="201"/>
      <c r="AJ254" s="272" t="s">
        <v>6015</v>
      </c>
      <c r="AK254" s="272"/>
      <c r="AL254" s="272"/>
      <c r="AM254" s="272" t="s">
        <v>6014</v>
      </c>
      <c r="AN254" s="272"/>
      <c r="AO254" s="272"/>
      <c r="AP254" s="272" t="s">
        <v>7087</v>
      </c>
      <c r="AQ254" s="272"/>
      <c r="AR254" s="272"/>
      <c r="AS254" s="272"/>
      <c r="AT254" s="272"/>
      <c r="AU254" s="272"/>
      <c r="AV254" s="231"/>
      <c r="AW254" s="215" t="s">
        <v>7088</v>
      </c>
      <c r="AX254" s="216"/>
      <c r="AY254" s="216"/>
      <c r="AZ254" s="216"/>
      <c r="BA254" s="216"/>
      <c r="BB254" s="216" t="s">
        <v>7089</v>
      </c>
      <c r="BC254" s="216"/>
      <c r="BD254" s="216"/>
      <c r="BE254" s="216"/>
      <c r="BF254" s="216"/>
      <c r="BG254" s="216"/>
      <c r="BH254" s="216"/>
      <c r="BI254" s="216"/>
      <c r="BJ254" s="216"/>
      <c r="BK254" s="216"/>
      <c r="BL254" s="216"/>
      <c r="BM254" s="216"/>
      <c r="BN254" s="216"/>
      <c r="BO254" s="216"/>
      <c r="BP254" s="216"/>
      <c r="BQ254" s="216"/>
      <c r="BR254" s="216"/>
      <c r="BS254" s="216"/>
      <c r="BT254" s="216"/>
      <c r="BU254" s="216"/>
      <c r="BV254" s="216"/>
      <c r="BW254" s="217"/>
    </row>
    <row r="255" spans="8:8" ht="16.5">
      <c r="A255" s="201"/>
      <c r="S255" s="201"/>
      <c r="T255" s="201"/>
      <c r="U255" s="201"/>
      <c r="V255" s="201"/>
      <c r="W255" s="201"/>
      <c r="X255" s="244" t="s">
        <v>7094</v>
      </c>
      <c r="Y255" s="244"/>
      <c r="Z255" s="244"/>
      <c r="AA255" s="244"/>
      <c r="AB255" s="244"/>
      <c r="AC255" s="244" t="s">
        <v>7095</v>
      </c>
      <c r="AD255" s="244"/>
      <c r="AE255" s="244"/>
      <c r="AF255" s="244"/>
      <c r="AG255" s="244"/>
      <c r="AH255" s="201"/>
      <c r="AJ255" s="272" t="s">
        <v>4774</v>
      </c>
      <c r="AK255" s="272"/>
      <c r="AL255" s="272"/>
      <c r="AM255" s="272" t="s">
        <v>4773</v>
      </c>
      <c r="AN255" s="272"/>
      <c r="AO255" s="272"/>
      <c r="AP255" s="272" t="s">
        <v>7092</v>
      </c>
      <c r="AQ255" s="272"/>
      <c r="AR255" s="272"/>
      <c r="AS255" s="272"/>
      <c r="AT255" s="272"/>
      <c r="AU255" s="272"/>
      <c r="AV255" s="231"/>
      <c r="AW255" s="215" t="s">
        <v>7093</v>
      </c>
      <c r="AX255" s="216"/>
      <c r="AY255" s="216"/>
      <c r="AZ255" s="216"/>
      <c r="BA255" s="216"/>
      <c r="BB255" s="216" t="s">
        <v>4786</v>
      </c>
      <c r="BC255" s="216"/>
      <c r="BD255" s="216"/>
      <c r="BE255" s="216"/>
      <c r="BF255" s="216"/>
      <c r="BG255" s="216"/>
      <c r="BH255" s="216"/>
      <c r="BI255" s="216"/>
      <c r="BJ255" s="216"/>
      <c r="BK255" s="216"/>
      <c r="BL255" s="216"/>
      <c r="BM255" s="216"/>
      <c r="BN255" s="216"/>
      <c r="BO255" s="216"/>
      <c r="BP255" s="216"/>
      <c r="BQ255" s="216"/>
      <c r="BR255" s="216"/>
      <c r="BS255" s="216"/>
      <c r="BT255" s="216"/>
      <c r="BU255" s="216"/>
      <c r="BV255" s="216"/>
      <c r="BW255" s="217"/>
    </row>
    <row r="256" spans="8:8" ht="16.5">
      <c r="A256" s="201"/>
      <c r="S256" s="201"/>
      <c r="T256" s="201"/>
      <c r="U256" s="201"/>
      <c r="V256" s="201"/>
      <c r="W256" s="201"/>
      <c r="X256" s="244" t="s">
        <v>7099</v>
      </c>
      <c r="Y256" s="244"/>
      <c r="Z256" s="244"/>
      <c r="AA256" s="244"/>
      <c r="AB256" s="244"/>
      <c r="AC256" s="244" t="s">
        <v>7100</v>
      </c>
      <c r="AD256" s="244"/>
      <c r="AE256" s="244"/>
      <c r="AF256" s="244"/>
      <c r="AG256" s="244"/>
      <c r="AH256" s="201"/>
      <c r="AJ256" s="272" t="s">
        <v>5442</v>
      </c>
      <c r="AK256" s="272"/>
      <c r="AL256" s="272"/>
      <c r="AM256" s="272" t="s">
        <v>5441</v>
      </c>
      <c r="AN256" s="272"/>
      <c r="AO256" s="272"/>
      <c r="AP256" s="272" t="s">
        <v>7096</v>
      </c>
      <c r="AQ256" s="272"/>
      <c r="AR256" s="272"/>
      <c r="AS256" s="272"/>
      <c r="AT256" s="272"/>
      <c r="AU256" s="272"/>
      <c r="AV256" s="231"/>
      <c r="AW256" s="215" t="s">
        <v>7097</v>
      </c>
      <c r="AX256" s="216"/>
      <c r="AY256" s="216"/>
      <c r="AZ256" s="216"/>
      <c r="BA256" s="216"/>
      <c r="BB256" s="216" t="s">
        <v>7098</v>
      </c>
      <c r="BC256" s="216"/>
      <c r="BD256" s="216"/>
      <c r="BE256" s="216"/>
      <c r="BF256" s="216"/>
      <c r="BG256" s="216"/>
      <c r="BH256" s="216"/>
      <c r="BI256" s="216"/>
      <c r="BJ256" s="216"/>
      <c r="BK256" s="216"/>
      <c r="BL256" s="216"/>
      <c r="BM256" s="216"/>
      <c r="BN256" s="216"/>
      <c r="BO256" s="216"/>
      <c r="BP256" s="216"/>
      <c r="BQ256" s="216"/>
      <c r="BR256" s="216"/>
      <c r="BS256" s="216"/>
      <c r="BT256" s="216"/>
      <c r="BU256" s="216"/>
      <c r="BV256" s="216"/>
      <c r="BW256" s="217"/>
    </row>
    <row r="257" spans="8:8" ht="16.5">
      <c r="A257" s="201"/>
      <c r="S257" s="201"/>
      <c r="T257" s="201"/>
      <c r="U257" s="201"/>
      <c r="V257" s="201"/>
      <c r="W257" s="201"/>
      <c r="X257" s="244" t="s">
        <v>7104</v>
      </c>
      <c r="Y257" s="244"/>
      <c r="Z257" s="244"/>
      <c r="AA257" s="244"/>
      <c r="AB257" s="244"/>
      <c r="AC257" s="244" t="s">
        <v>7105</v>
      </c>
      <c r="AD257" s="244"/>
      <c r="AE257" s="244"/>
      <c r="AF257" s="244"/>
      <c r="AG257" s="244"/>
      <c r="AH257" s="201"/>
      <c r="AJ257" s="272" t="s">
        <v>5040</v>
      </c>
      <c r="AK257" s="272"/>
      <c r="AL257" s="272"/>
      <c r="AM257" s="272" t="s">
        <v>5922</v>
      </c>
      <c r="AN257" s="272"/>
      <c r="AO257" s="272"/>
      <c r="AP257" s="272" t="s">
        <v>7101</v>
      </c>
      <c r="AQ257" s="272"/>
      <c r="AR257" s="272"/>
      <c r="AS257" s="272"/>
      <c r="AT257" s="272"/>
      <c r="AU257" s="272"/>
      <c r="AV257" s="231"/>
      <c r="AW257" s="215" t="s">
        <v>7102</v>
      </c>
      <c r="AX257" s="216"/>
      <c r="AY257" s="216"/>
      <c r="AZ257" s="216"/>
      <c r="BA257" s="216"/>
      <c r="BB257" s="216" t="s">
        <v>7103</v>
      </c>
      <c r="BC257" s="216"/>
      <c r="BD257" s="216"/>
      <c r="BE257" s="216"/>
      <c r="BF257" s="216"/>
      <c r="BG257" s="216"/>
      <c r="BH257" s="216"/>
      <c r="BI257" s="216"/>
      <c r="BJ257" s="216"/>
      <c r="BK257" s="216"/>
      <c r="BL257" s="216"/>
      <c r="BM257" s="216"/>
      <c r="BN257" s="216"/>
      <c r="BO257" s="216"/>
      <c r="BP257" s="216"/>
      <c r="BQ257" s="216"/>
      <c r="BR257" s="216"/>
      <c r="BS257" s="216"/>
      <c r="BT257" s="216"/>
      <c r="BU257" s="216"/>
      <c r="BV257" s="216"/>
      <c r="BW257" s="217"/>
    </row>
    <row r="258" spans="8:8" ht="16.5">
      <c r="A258" s="201"/>
      <c r="S258" s="201"/>
      <c r="T258" s="201"/>
      <c r="U258" s="201"/>
      <c r="V258" s="201"/>
      <c r="W258" s="201"/>
      <c r="X258" s="244" t="s">
        <v>7109</v>
      </c>
      <c r="Y258" s="244"/>
      <c r="Z258" s="244"/>
      <c r="AA258" s="244"/>
      <c r="AB258" s="244"/>
      <c r="AC258" s="244" t="s">
        <v>7110</v>
      </c>
      <c r="AD258" s="244"/>
      <c r="AE258" s="244"/>
      <c r="AF258" s="244"/>
      <c r="AG258" s="244"/>
      <c r="AH258" s="201"/>
      <c r="AJ258" s="272" t="s">
        <v>7106</v>
      </c>
      <c r="AK258" s="272"/>
      <c r="AL258" s="272"/>
      <c r="AM258" s="272" t="s">
        <v>6130</v>
      </c>
      <c r="AN258" s="272"/>
      <c r="AO258" s="272"/>
      <c r="AP258" s="272"/>
      <c r="AQ258" s="272"/>
      <c r="AR258" s="272"/>
      <c r="AS258" s="272"/>
      <c r="AT258" s="272"/>
      <c r="AU258" s="272"/>
      <c r="AV258" s="231"/>
      <c r="AW258" s="215" t="s">
        <v>7107</v>
      </c>
      <c r="AX258" s="216"/>
      <c r="AY258" s="216"/>
      <c r="AZ258" s="216"/>
      <c r="BA258" s="216"/>
      <c r="BB258" s="216" t="s">
        <v>7108</v>
      </c>
      <c r="BC258" s="216"/>
      <c r="BD258" s="216"/>
      <c r="BE258" s="216"/>
      <c r="BF258" s="216"/>
      <c r="BG258" s="216"/>
      <c r="BH258" s="216"/>
      <c r="BI258" s="216"/>
      <c r="BJ258" s="216"/>
      <c r="BK258" s="216"/>
      <c r="BL258" s="216"/>
      <c r="BM258" s="216"/>
      <c r="BN258" s="216"/>
      <c r="BO258" s="216"/>
      <c r="BP258" s="216"/>
      <c r="BQ258" s="216"/>
      <c r="BR258" s="216"/>
      <c r="BS258" s="216"/>
      <c r="BT258" s="216"/>
      <c r="BU258" s="216"/>
      <c r="BV258" s="216"/>
      <c r="BW258" s="217"/>
    </row>
    <row r="259" spans="8:8" ht="16.5">
      <c r="A259" s="201"/>
      <c r="S259" s="201"/>
      <c r="T259" s="201"/>
      <c r="U259" s="201"/>
      <c r="V259" s="201"/>
      <c r="W259" s="201"/>
      <c r="X259" s="244" t="s">
        <v>7115</v>
      </c>
      <c r="Y259" s="244"/>
      <c r="Z259" s="244"/>
      <c r="AA259" s="244"/>
      <c r="AB259" s="244"/>
      <c r="AC259" s="244" t="s">
        <v>7116</v>
      </c>
      <c r="AD259" s="244"/>
      <c r="AE259" s="244"/>
      <c r="AF259" s="244"/>
      <c r="AG259" s="244"/>
      <c r="AH259" s="201"/>
      <c r="AJ259" s="272" t="s">
        <v>7111</v>
      </c>
      <c r="AK259" s="272"/>
      <c r="AL259" s="272"/>
      <c r="AM259" s="272" t="s">
        <v>6121</v>
      </c>
      <c r="AN259" s="272"/>
      <c r="AO259" s="272"/>
      <c r="AP259" s="272" t="s">
        <v>7112</v>
      </c>
      <c r="AQ259" s="272"/>
      <c r="AR259" s="272"/>
      <c r="AS259" s="272"/>
      <c r="AT259" s="272"/>
      <c r="AU259" s="272"/>
      <c r="AV259" s="231"/>
      <c r="AW259" s="215" t="s">
        <v>7113</v>
      </c>
      <c r="AX259" s="216"/>
      <c r="AY259" s="216"/>
      <c r="AZ259" s="216"/>
      <c r="BA259" s="216"/>
      <c r="BB259" s="216" t="s">
        <v>7114</v>
      </c>
      <c r="BC259" s="216"/>
      <c r="BD259" s="216"/>
      <c r="BE259" s="216"/>
      <c r="BF259" s="216"/>
      <c r="BG259" s="216"/>
      <c r="BH259" s="216"/>
      <c r="BI259" s="216"/>
      <c r="BJ259" s="216"/>
      <c r="BK259" s="216"/>
      <c r="BL259" s="216"/>
      <c r="BM259" s="216"/>
      <c r="BN259" s="216"/>
      <c r="BO259" s="216"/>
      <c r="BP259" s="216"/>
      <c r="BQ259" s="216"/>
      <c r="BR259" s="216"/>
      <c r="BS259" s="216"/>
      <c r="BT259" s="216"/>
      <c r="BU259" s="216"/>
      <c r="BV259" s="216"/>
      <c r="BW259" s="217"/>
    </row>
    <row r="260" spans="8:8" ht="16.5">
      <c r="A260" s="201"/>
      <c r="S260" s="201"/>
      <c r="T260" s="201"/>
      <c r="U260" s="201"/>
      <c r="V260" s="201"/>
      <c r="W260" s="201"/>
      <c r="X260" s="244" t="s">
        <v>7122</v>
      </c>
      <c r="Y260" s="244"/>
      <c r="Z260" s="244"/>
      <c r="AA260" s="244"/>
      <c r="AB260" s="244"/>
      <c r="AC260" s="244" t="s">
        <v>7123</v>
      </c>
      <c r="AD260" s="244"/>
      <c r="AE260" s="244"/>
      <c r="AF260" s="244"/>
      <c r="AG260" s="244"/>
      <c r="AH260" s="201"/>
      <c r="AJ260" s="272" t="s">
        <v>7117</v>
      </c>
      <c r="AK260" s="272"/>
      <c r="AL260" s="272"/>
      <c r="AM260" s="272" t="s">
        <v>7118</v>
      </c>
      <c r="AN260" s="272"/>
      <c r="AO260" s="272"/>
      <c r="AP260" s="272" t="s">
        <v>7119</v>
      </c>
      <c r="AQ260" s="272"/>
      <c r="AR260" s="272"/>
      <c r="AS260" s="272"/>
      <c r="AT260" s="272"/>
      <c r="AU260" s="272"/>
      <c r="AV260" s="231"/>
      <c r="AW260" s="215" t="s">
        <v>7120</v>
      </c>
      <c r="AX260" s="216"/>
      <c r="AY260" s="216"/>
      <c r="AZ260" s="216"/>
      <c r="BA260" s="216"/>
      <c r="BB260" s="216" t="s">
        <v>7121</v>
      </c>
      <c r="BC260" s="216"/>
      <c r="BD260" s="216"/>
      <c r="BE260" s="216"/>
      <c r="BF260" s="216"/>
      <c r="BG260" s="216"/>
      <c r="BH260" s="216"/>
      <c r="BI260" s="216"/>
      <c r="BJ260" s="216"/>
      <c r="BK260" s="216"/>
      <c r="BL260" s="216"/>
      <c r="BM260" s="216"/>
      <c r="BN260" s="216"/>
      <c r="BO260" s="216"/>
      <c r="BP260" s="216"/>
      <c r="BQ260" s="216"/>
      <c r="BR260" s="216"/>
      <c r="BS260" s="216"/>
      <c r="BT260" s="216"/>
      <c r="BU260" s="216"/>
      <c r="BV260" s="216"/>
      <c r="BW260" s="217"/>
    </row>
    <row r="261" spans="8:8" ht="16.5">
      <c r="A261" s="201"/>
      <c r="S261" s="201"/>
      <c r="T261" s="201"/>
      <c r="U261" s="201"/>
      <c r="V261" s="201"/>
      <c r="W261" s="201"/>
      <c r="X261" s="244" t="s">
        <v>7129</v>
      </c>
      <c r="Y261" s="244"/>
      <c r="Z261" s="244"/>
      <c r="AA261" s="244"/>
      <c r="AB261" s="244"/>
      <c r="AC261" s="244" t="s">
        <v>7130</v>
      </c>
      <c r="AD261" s="244"/>
      <c r="AE261" s="244"/>
      <c r="AF261" s="244"/>
      <c r="AG261" s="244"/>
      <c r="AH261" s="201"/>
      <c r="AJ261" s="272" t="s">
        <v>7124</v>
      </c>
      <c r="AK261" s="272"/>
      <c r="AL261" s="272"/>
      <c r="AM261" s="272" t="s">
        <v>7125</v>
      </c>
      <c r="AN261" s="272"/>
      <c r="AO261" s="272"/>
      <c r="AP261" s="272" t="s">
        <v>7126</v>
      </c>
      <c r="AQ261" s="272"/>
      <c r="AR261" s="272"/>
      <c r="AS261" s="272"/>
      <c r="AT261" s="272"/>
      <c r="AU261" s="272"/>
      <c r="AV261" s="231"/>
      <c r="AW261" s="215" t="s">
        <v>7127</v>
      </c>
      <c r="AX261" s="216"/>
      <c r="AY261" s="216"/>
      <c r="AZ261" s="216"/>
      <c r="BA261" s="216"/>
      <c r="BB261" s="216" t="s">
        <v>7128</v>
      </c>
      <c r="BC261" s="216"/>
      <c r="BD261" s="216"/>
      <c r="BE261" s="216"/>
      <c r="BF261" s="216"/>
      <c r="BG261" s="216"/>
      <c r="BH261" s="216"/>
      <c r="BI261" s="216"/>
      <c r="BJ261" s="216"/>
      <c r="BK261" s="216"/>
      <c r="BL261" s="216"/>
      <c r="BM261" s="216"/>
      <c r="BN261" s="216"/>
      <c r="BO261" s="216"/>
      <c r="BP261" s="216"/>
      <c r="BQ261" s="216"/>
      <c r="BR261" s="216"/>
      <c r="BS261" s="216"/>
      <c r="BT261" s="216"/>
      <c r="BU261" s="216"/>
      <c r="BV261" s="216"/>
      <c r="BW261" s="217"/>
    </row>
    <row r="262" spans="8:8" ht="16.5">
      <c r="A262" s="201"/>
      <c r="S262" s="201"/>
      <c r="T262" s="201"/>
      <c r="U262" s="201"/>
      <c r="V262" s="201"/>
      <c r="W262" s="201"/>
      <c r="X262" s="244" t="s">
        <v>7134</v>
      </c>
      <c r="Y262" s="244"/>
      <c r="Z262" s="244"/>
      <c r="AA262" s="244"/>
      <c r="AB262" s="244"/>
      <c r="AC262" s="244" t="s">
        <v>7135</v>
      </c>
      <c r="AD262" s="244"/>
      <c r="AE262" s="244"/>
      <c r="AF262" s="244"/>
      <c r="AG262" s="244"/>
      <c r="AH262" s="201"/>
      <c r="AJ262" s="272" t="s">
        <v>5502</v>
      </c>
      <c r="AK262" s="272"/>
      <c r="AL262" s="272"/>
      <c r="AM262" s="272" t="s">
        <v>5501</v>
      </c>
      <c r="AN262" s="272"/>
      <c r="AO262" s="272"/>
      <c r="AP262" s="272" t="s">
        <v>7131</v>
      </c>
      <c r="AQ262" s="272"/>
      <c r="AR262" s="272"/>
      <c r="AS262" s="272"/>
      <c r="AT262" s="272"/>
      <c r="AU262" s="272"/>
      <c r="AV262" s="231"/>
      <c r="AW262" s="215" t="s">
        <v>7132</v>
      </c>
      <c r="AX262" s="216"/>
      <c r="AY262" s="216"/>
      <c r="AZ262" s="216"/>
      <c r="BA262" s="216"/>
      <c r="BB262" s="216" t="s">
        <v>7133</v>
      </c>
      <c r="BC262" s="216"/>
      <c r="BD262" s="216"/>
      <c r="BE262" s="216"/>
      <c r="BF262" s="216"/>
      <c r="BG262" s="216"/>
      <c r="BH262" s="216"/>
      <c r="BI262" s="216"/>
      <c r="BJ262" s="216"/>
      <c r="BK262" s="216"/>
      <c r="BL262" s="216"/>
      <c r="BM262" s="216"/>
      <c r="BN262" s="216"/>
      <c r="BO262" s="216"/>
      <c r="BP262" s="216"/>
      <c r="BQ262" s="216"/>
      <c r="BR262" s="216"/>
      <c r="BS262" s="216"/>
      <c r="BT262" s="216"/>
      <c r="BU262" s="216"/>
      <c r="BV262" s="216"/>
      <c r="BW262" s="217"/>
    </row>
    <row r="263" spans="8:8" ht="16.5">
      <c r="A263" s="201"/>
      <c r="S263" s="201"/>
      <c r="T263" s="201"/>
      <c r="U263" s="201"/>
      <c r="V263" s="201"/>
      <c r="W263" s="201"/>
      <c r="X263" s="244" t="s">
        <v>7140</v>
      </c>
      <c r="Y263" s="244"/>
      <c r="Z263" s="244"/>
      <c r="AA263" s="244"/>
      <c r="AB263" s="244"/>
      <c r="AC263" s="244" t="s">
        <v>7141</v>
      </c>
      <c r="AD263" s="244"/>
      <c r="AE263" s="244"/>
      <c r="AF263" s="244"/>
      <c r="AG263" s="244"/>
      <c r="AH263" s="201"/>
      <c r="AJ263" s="272" t="s">
        <v>7136</v>
      </c>
      <c r="AK263" s="272"/>
      <c r="AL263" s="272"/>
      <c r="AM263" s="272" t="s">
        <v>7137</v>
      </c>
      <c r="AN263" s="272"/>
      <c r="AO263" s="272"/>
      <c r="AP263" s="272" t="s">
        <v>7138</v>
      </c>
      <c r="AQ263" s="272"/>
      <c r="AR263" s="272"/>
      <c r="AS263" s="272"/>
      <c r="AT263" s="272"/>
      <c r="AU263" s="272"/>
      <c r="AV263" s="231"/>
      <c r="AW263" s="215" t="s">
        <v>7139</v>
      </c>
      <c r="AX263" s="216"/>
      <c r="AY263" s="216"/>
      <c r="AZ263" s="216"/>
      <c r="BA263" s="216"/>
      <c r="BB263" s="216" t="s">
        <v>5412</v>
      </c>
      <c r="BC263" s="216"/>
      <c r="BD263" s="216"/>
      <c r="BE263" s="216"/>
      <c r="BF263" s="216"/>
      <c r="BG263" s="216"/>
      <c r="BH263" s="216"/>
      <c r="BI263" s="216"/>
      <c r="BJ263" s="216"/>
      <c r="BK263" s="216"/>
      <c r="BL263" s="216"/>
      <c r="BM263" s="216"/>
      <c r="BN263" s="216"/>
      <c r="BO263" s="216"/>
      <c r="BP263" s="216"/>
      <c r="BQ263" s="216"/>
      <c r="BR263" s="216"/>
      <c r="BS263" s="216"/>
      <c r="BT263" s="216"/>
      <c r="BU263" s="216"/>
      <c r="BV263" s="216"/>
      <c r="BW263" s="217"/>
    </row>
    <row r="264" spans="8:8" ht="16.5">
      <c r="A264" s="201"/>
      <c r="S264" s="201"/>
      <c r="T264" s="201"/>
      <c r="U264" s="201"/>
      <c r="V264" s="201"/>
      <c r="W264" s="201"/>
      <c r="X264" s="244" t="s">
        <v>7146</v>
      </c>
      <c r="Y264" s="244"/>
      <c r="Z264" s="244"/>
      <c r="AA264" s="244"/>
      <c r="AB264" s="244"/>
      <c r="AC264" s="244" t="s">
        <v>7147</v>
      </c>
      <c r="AD264" s="244"/>
      <c r="AE264" s="244"/>
      <c r="AF264" s="244"/>
      <c r="AG264" s="244"/>
      <c r="AH264" s="201"/>
      <c r="AJ264" s="272" t="s">
        <v>7142</v>
      </c>
      <c r="AK264" s="272"/>
      <c r="AL264" s="272"/>
      <c r="AM264" s="272" t="s">
        <v>5060</v>
      </c>
      <c r="AN264" s="272"/>
      <c r="AO264" s="272"/>
      <c r="AP264" s="272" t="s">
        <v>7143</v>
      </c>
      <c r="AQ264" s="272"/>
      <c r="AR264" s="272"/>
      <c r="AS264" s="272"/>
      <c r="AT264" s="272"/>
      <c r="AU264" s="272"/>
      <c r="AV264" s="231"/>
      <c r="AW264" s="215" t="s">
        <v>7144</v>
      </c>
      <c r="AX264" s="216"/>
      <c r="AY264" s="216"/>
      <c r="AZ264" s="216"/>
      <c r="BA264" s="216"/>
      <c r="BB264" s="216" t="s">
        <v>7145</v>
      </c>
      <c r="BC264" s="216"/>
      <c r="BD264" s="216"/>
      <c r="BE264" s="216"/>
      <c r="BF264" s="216"/>
      <c r="BG264" s="216"/>
      <c r="BH264" s="216"/>
      <c r="BI264" s="216"/>
      <c r="BJ264" s="216"/>
      <c r="BK264" s="216"/>
      <c r="BL264" s="216"/>
      <c r="BM264" s="216"/>
      <c r="BN264" s="216"/>
      <c r="BO264" s="216"/>
      <c r="BP264" s="216"/>
      <c r="BQ264" s="216"/>
      <c r="BR264" s="216"/>
      <c r="BS264" s="216"/>
      <c r="BT264" s="216"/>
      <c r="BU264" s="216"/>
      <c r="BV264" s="216"/>
      <c r="BW264" s="217"/>
    </row>
    <row r="265" spans="8:8" ht="16.5">
      <c r="A265" s="201"/>
      <c r="S265" s="201"/>
      <c r="T265" s="201"/>
      <c r="U265" s="201"/>
      <c r="V265" s="201"/>
      <c r="W265" s="201"/>
      <c r="X265" s="244" t="s">
        <v>7151</v>
      </c>
      <c r="Y265" s="244"/>
      <c r="Z265" s="244"/>
      <c r="AA265" s="244"/>
      <c r="AB265" s="244"/>
      <c r="AC265" s="244" t="s">
        <v>7152</v>
      </c>
      <c r="AD265" s="244"/>
      <c r="AE265" s="244"/>
      <c r="AF265" s="244"/>
      <c r="AG265" s="244"/>
      <c r="AH265" s="201"/>
      <c r="AJ265" s="278" t="s">
        <v>7148</v>
      </c>
      <c r="AK265" s="278"/>
      <c r="AL265" s="278"/>
      <c r="AM265" s="278"/>
      <c r="AN265" s="278"/>
      <c r="AO265" s="278"/>
      <c r="AP265" s="278"/>
      <c r="AQ265" s="278"/>
      <c r="AR265" s="278"/>
      <c r="AS265" s="278"/>
      <c r="AT265" s="278"/>
      <c r="AU265" s="278"/>
      <c r="AV265" s="231"/>
      <c r="AW265" s="215" t="s">
        <v>7149</v>
      </c>
      <c r="AX265" s="216"/>
      <c r="AY265" s="216"/>
      <c r="AZ265" s="216"/>
      <c r="BA265" s="216"/>
      <c r="BB265" s="216" t="s">
        <v>7150</v>
      </c>
      <c r="BC265" s="216"/>
      <c r="BD265" s="216"/>
      <c r="BE265" s="216"/>
      <c r="BF265" s="216"/>
      <c r="BG265" s="216"/>
      <c r="BH265" s="216"/>
      <c r="BI265" s="216"/>
      <c r="BJ265" s="216"/>
      <c r="BK265" s="216"/>
      <c r="BL265" s="216"/>
      <c r="BM265" s="216"/>
      <c r="BN265" s="216"/>
      <c r="BO265" s="216"/>
      <c r="BP265" s="216"/>
      <c r="BQ265" s="216"/>
      <c r="BR265" s="216"/>
      <c r="BS265" s="216"/>
      <c r="BT265" s="216"/>
      <c r="BU265" s="216"/>
      <c r="BV265" s="216"/>
      <c r="BW265" s="217"/>
    </row>
    <row r="266" spans="8:8" ht="16.5">
      <c r="A266" s="201"/>
      <c r="S266" s="201"/>
      <c r="T266" s="201"/>
      <c r="U266" s="201"/>
      <c r="V266" s="201"/>
      <c r="W266" s="201"/>
      <c r="X266" s="244" t="s">
        <v>7156</v>
      </c>
      <c r="Y266" s="244"/>
      <c r="Z266" s="244"/>
      <c r="AA266" s="244"/>
      <c r="AB266" s="244"/>
      <c r="AC266" s="244" t="s">
        <v>7157</v>
      </c>
      <c r="AD266" s="244"/>
      <c r="AE266" s="244"/>
      <c r="AF266" s="244"/>
      <c r="AG266" s="244"/>
      <c r="AH266" s="201"/>
      <c r="AJ266" s="272" t="s">
        <v>7153</v>
      </c>
      <c r="AK266" s="272"/>
      <c r="AL266" s="272"/>
      <c r="AM266" s="272" t="s">
        <v>5562</v>
      </c>
      <c r="AN266" s="272"/>
      <c r="AO266" s="272"/>
      <c r="AP266" s="272"/>
      <c r="AQ266" s="272"/>
      <c r="AR266" s="272"/>
      <c r="AS266" s="272"/>
      <c r="AT266" s="272"/>
      <c r="AU266" s="272"/>
      <c r="AV266" s="231"/>
      <c r="AW266" s="215" t="s">
        <v>7154</v>
      </c>
      <c r="AX266" s="216"/>
      <c r="AY266" s="216"/>
      <c r="AZ266" s="216"/>
      <c r="BA266" s="216"/>
      <c r="BB266" s="216" t="s">
        <v>7155</v>
      </c>
      <c r="BC266" s="216"/>
      <c r="BD266" s="216"/>
      <c r="BE266" s="216"/>
      <c r="BF266" s="216"/>
      <c r="BG266" s="216"/>
      <c r="BH266" s="216"/>
      <c r="BI266" s="216"/>
      <c r="BJ266" s="216"/>
      <c r="BK266" s="216"/>
      <c r="BL266" s="216"/>
      <c r="BM266" s="216"/>
      <c r="BN266" s="216"/>
      <c r="BO266" s="216"/>
      <c r="BP266" s="216"/>
      <c r="BQ266" s="216"/>
      <c r="BR266" s="216"/>
      <c r="BS266" s="216"/>
      <c r="BT266" s="216"/>
      <c r="BU266" s="216"/>
      <c r="BV266" s="216"/>
      <c r="BW266" s="217"/>
    </row>
    <row r="267" spans="8:8" ht="16.5">
      <c r="A267" s="201"/>
      <c r="S267" s="201"/>
      <c r="T267" s="201"/>
      <c r="U267" s="201"/>
      <c r="V267" s="201"/>
      <c r="W267" s="201"/>
      <c r="X267" s="244" t="s">
        <v>7161</v>
      </c>
      <c r="Y267" s="244"/>
      <c r="Z267" s="244"/>
      <c r="AA267" s="244"/>
      <c r="AB267" s="244"/>
      <c r="AC267" s="244" t="s">
        <v>7162</v>
      </c>
      <c r="AD267" s="244"/>
      <c r="AE267" s="244"/>
      <c r="AF267" s="244"/>
      <c r="AG267" s="244"/>
      <c r="AH267" s="201"/>
      <c r="AJ267" s="272" t="s">
        <v>7158</v>
      </c>
      <c r="AK267" s="272"/>
      <c r="AL267" s="272"/>
      <c r="AM267" s="272" t="s">
        <v>5585</v>
      </c>
      <c r="AN267" s="272"/>
      <c r="AO267" s="272"/>
      <c r="AP267" s="272"/>
      <c r="AQ267" s="272"/>
      <c r="AR267" s="272"/>
      <c r="AS267" s="272"/>
      <c r="AT267" s="272"/>
      <c r="AU267" s="272"/>
      <c r="AV267" s="231"/>
      <c r="AW267" s="215" t="s">
        <v>7159</v>
      </c>
      <c r="AX267" s="216"/>
      <c r="AY267" s="216"/>
      <c r="AZ267" s="216"/>
      <c r="BA267" s="216"/>
      <c r="BB267" s="216" t="s">
        <v>7160</v>
      </c>
      <c r="BC267" s="216"/>
      <c r="BD267" s="216"/>
      <c r="BE267" s="216"/>
      <c r="BF267" s="216"/>
      <c r="BG267" s="216"/>
      <c r="BH267" s="216"/>
      <c r="BI267" s="216"/>
      <c r="BJ267" s="216"/>
      <c r="BK267" s="216"/>
      <c r="BL267" s="216"/>
      <c r="BM267" s="216"/>
      <c r="BN267" s="216"/>
      <c r="BO267" s="216"/>
      <c r="BP267" s="216"/>
      <c r="BQ267" s="216"/>
      <c r="BR267" s="216"/>
      <c r="BS267" s="216"/>
      <c r="BT267" s="216"/>
      <c r="BU267" s="216"/>
      <c r="BV267" s="216"/>
      <c r="BW267" s="217"/>
    </row>
    <row r="268" spans="8:8" ht="16.5">
      <c r="A268" s="201"/>
      <c r="S268" s="201"/>
      <c r="T268" s="201"/>
      <c r="U268" s="201"/>
      <c r="V268" s="201"/>
      <c r="W268" s="201"/>
      <c r="X268" s="244" t="s">
        <v>7166</v>
      </c>
      <c r="Y268" s="244"/>
      <c r="Z268" s="244"/>
      <c r="AA268" s="244"/>
      <c r="AB268" s="244"/>
      <c r="AC268" s="244" t="s">
        <v>7167</v>
      </c>
      <c r="AD268" s="244"/>
      <c r="AE268" s="244"/>
      <c r="AF268" s="244"/>
      <c r="AG268" s="244"/>
      <c r="AH268" s="201"/>
      <c r="AJ268" s="272" t="s">
        <v>7163</v>
      </c>
      <c r="AK268" s="272"/>
      <c r="AL268" s="272"/>
      <c r="AM268" s="272" t="s">
        <v>5617</v>
      </c>
      <c r="AN268" s="272"/>
      <c r="AO268" s="272"/>
      <c r="AP268" s="272"/>
      <c r="AQ268" s="272"/>
      <c r="AR268" s="272"/>
      <c r="AS268" s="272"/>
      <c r="AT268" s="272"/>
      <c r="AU268" s="272"/>
      <c r="AV268" s="231"/>
      <c r="AW268" s="215" t="s">
        <v>7164</v>
      </c>
      <c r="AX268" s="216"/>
      <c r="AY268" s="216"/>
      <c r="AZ268" s="216"/>
      <c r="BA268" s="216"/>
      <c r="BB268" s="216" t="s">
        <v>7165</v>
      </c>
      <c r="BC268" s="216"/>
      <c r="BD268" s="216"/>
      <c r="BE268" s="216"/>
      <c r="BF268" s="216"/>
      <c r="BG268" s="216"/>
      <c r="BH268" s="216"/>
      <c r="BI268" s="216"/>
      <c r="BJ268" s="216"/>
      <c r="BK268" s="216"/>
      <c r="BL268" s="216"/>
      <c r="BM268" s="216"/>
      <c r="BN268" s="216"/>
      <c r="BO268" s="216"/>
      <c r="BP268" s="216"/>
      <c r="BQ268" s="216"/>
      <c r="BR268" s="216"/>
      <c r="BS268" s="216"/>
      <c r="BT268" s="216"/>
      <c r="BU268" s="216"/>
      <c r="BV268" s="216"/>
      <c r="BW268" s="217"/>
    </row>
    <row r="269" spans="8:8" ht="16.5">
      <c r="A269" s="201"/>
      <c r="S269" s="201"/>
      <c r="T269" s="201"/>
      <c r="U269" s="201"/>
      <c r="V269" s="201"/>
      <c r="W269" s="201"/>
      <c r="X269" s="244" t="s">
        <v>7171</v>
      </c>
      <c r="Y269" s="244"/>
      <c r="Z269" s="244"/>
      <c r="AA269" s="244"/>
      <c r="AB269" s="244"/>
      <c r="AC269" s="244" t="s">
        <v>7172</v>
      </c>
      <c r="AD269" s="244"/>
      <c r="AE269" s="244"/>
      <c r="AF269" s="244"/>
      <c r="AG269" s="244"/>
      <c r="AH269" s="201"/>
      <c r="AJ269" s="272" t="s">
        <v>7168</v>
      </c>
      <c r="AK269" s="272"/>
      <c r="AL269" s="272"/>
      <c r="AM269" s="272" t="s">
        <v>5597</v>
      </c>
      <c r="AN269" s="272"/>
      <c r="AO269" s="272"/>
      <c r="AP269" s="272"/>
      <c r="AQ269" s="272"/>
      <c r="AR269" s="272"/>
      <c r="AS269" s="272"/>
      <c r="AT269" s="272"/>
      <c r="AU269" s="272"/>
      <c r="AV269" s="231"/>
      <c r="AW269" s="215" t="s">
        <v>7169</v>
      </c>
      <c r="AX269" s="216"/>
      <c r="AY269" s="216"/>
      <c r="AZ269" s="216"/>
      <c r="BA269" s="216"/>
      <c r="BB269" s="216" t="s">
        <v>7170</v>
      </c>
      <c r="BC269" s="216"/>
      <c r="BD269" s="216"/>
      <c r="BE269" s="216"/>
      <c r="BF269" s="216"/>
      <c r="BG269" s="216"/>
      <c r="BH269" s="216"/>
      <c r="BI269" s="216"/>
      <c r="BJ269" s="216"/>
      <c r="BK269" s="216"/>
      <c r="BL269" s="216"/>
      <c r="BM269" s="216"/>
      <c r="BN269" s="216"/>
      <c r="BO269" s="216"/>
      <c r="BP269" s="216"/>
      <c r="BQ269" s="216"/>
      <c r="BR269" s="216"/>
      <c r="BS269" s="216"/>
      <c r="BT269" s="216"/>
      <c r="BU269" s="216"/>
      <c r="BV269" s="216"/>
      <c r="BW269" s="217"/>
    </row>
    <row r="270" spans="8:8" ht="16.5">
      <c r="A270" s="201"/>
      <c r="S270" s="201"/>
      <c r="T270" s="201"/>
      <c r="U270" s="201"/>
      <c r="V270" s="201"/>
      <c r="W270" s="201"/>
      <c r="X270" s="244" t="s">
        <v>7176</v>
      </c>
      <c r="Y270" s="244"/>
      <c r="Z270" s="244"/>
      <c r="AA270" s="244"/>
      <c r="AB270" s="244"/>
      <c r="AC270" s="244" t="s">
        <v>7177</v>
      </c>
      <c r="AD270" s="244"/>
      <c r="AE270" s="244"/>
      <c r="AF270" s="244"/>
      <c r="AG270" s="244"/>
      <c r="AH270" s="201"/>
      <c r="AJ270" s="272" t="s">
        <v>7173</v>
      </c>
      <c r="AK270" s="272"/>
      <c r="AL270" s="272"/>
      <c r="AM270" s="272" t="s">
        <v>5607</v>
      </c>
      <c r="AN270" s="272"/>
      <c r="AO270" s="272"/>
      <c r="AP270" s="272"/>
      <c r="AQ270" s="272"/>
      <c r="AR270" s="272"/>
      <c r="AS270" s="272"/>
      <c r="AT270" s="272"/>
      <c r="AU270" s="272"/>
      <c r="AV270" s="231"/>
      <c r="AW270" s="215" t="s">
        <v>7174</v>
      </c>
      <c r="AX270" s="216"/>
      <c r="AY270" s="216"/>
      <c r="AZ270" s="216"/>
      <c r="BA270" s="216"/>
      <c r="BB270" s="216" t="s">
        <v>7175</v>
      </c>
      <c r="BC270" s="216"/>
      <c r="BD270" s="216"/>
      <c r="BE270" s="216"/>
      <c r="BF270" s="216"/>
      <c r="BG270" s="216"/>
      <c r="BH270" s="216"/>
      <c r="BI270" s="216"/>
      <c r="BJ270" s="216"/>
      <c r="BK270" s="216"/>
      <c r="BL270" s="216"/>
      <c r="BM270" s="216"/>
      <c r="BN270" s="216"/>
      <c r="BO270" s="216"/>
      <c r="BP270" s="216"/>
      <c r="BQ270" s="216"/>
      <c r="BR270" s="216"/>
      <c r="BS270" s="216"/>
      <c r="BT270" s="216"/>
      <c r="BU270" s="216"/>
      <c r="BV270" s="216"/>
      <c r="BW270" s="217"/>
    </row>
    <row r="271" spans="8:8" ht="16.5">
      <c r="A271" s="201"/>
      <c r="S271" s="201"/>
      <c r="T271" s="201"/>
      <c r="U271" s="201"/>
      <c r="V271" s="201"/>
      <c r="W271" s="201"/>
      <c r="X271" s="244" t="s">
        <v>7181</v>
      </c>
      <c r="Y271" s="244"/>
      <c r="Z271" s="244"/>
      <c r="AA271" s="244"/>
      <c r="AB271" s="244"/>
      <c r="AC271" s="244" t="s">
        <v>7182</v>
      </c>
      <c r="AD271" s="244"/>
      <c r="AE271" s="244"/>
      <c r="AF271" s="244"/>
      <c r="AG271" s="244"/>
      <c r="AH271" s="201"/>
      <c r="AJ271" s="272" t="s">
        <v>7178</v>
      </c>
      <c r="AK271" s="272"/>
      <c r="AL271" s="272"/>
      <c r="AM271" s="272" t="s">
        <v>5574</v>
      </c>
      <c r="AN271" s="272"/>
      <c r="AO271" s="272"/>
      <c r="AP271" s="272"/>
      <c r="AQ271" s="272"/>
      <c r="AR271" s="272"/>
      <c r="AS271" s="272"/>
      <c r="AT271" s="272"/>
      <c r="AU271" s="272"/>
      <c r="AV271" s="231"/>
      <c r="AW271" s="215" t="s">
        <v>7179</v>
      </c>
      <c r="AX271" s="216"/>
      <c r="AY271" s="216"/>
      <c r="AZ271" s="216"/>
      <c r="BA271" s="216"/>
      <c r="BB271" s="216" t="s">
        <v>7180</v>
      </c>
      <c r="BC271" s="216"/>
      <c r="BD271" s="216"/>
      <c r="BE271" s="216"/>
      <c r="BF271" s="216"/>
      <c r="BG271" s="216"/>
      <c r="BH271" s="216"/>
      <c r="BI271" s="216"/>
      <c r="BJ271" s="216"/>
      <c r="BK271" s="216"/>
      <c r="BL271" s="216"/>
      <c r="BM271" s="216"/>
      <c r="BN271" s="216"/>
      <c r="BO271" s="216"/>
      <c r="BP271" s="216"/>
      <c r="BQ271" s="216"/>
      <c r="BR271" s="216"/>
      <c r="BS271" s="216"/>
      <c r="BT271" s="216"/>
      <c r="BU271" s="216"/>
      <c r="BV271" s="216"/>
      <c r="BW271" s="217"/>
    </row>
    <row r="272" spans="8:8" ht="16.5">
      <c r="A272" s="201"/>
      <c r="S272" s="201"/>
      <c r="T272" s="201"/>
      <c r="U272" s="201"/>
      <c r="V272" s="201"/>
      <c r="W272" s="201"/>
      <c r="X272" s="244" t="s">
        <v>7185</v>
      </c>
      <c r="Y272" s="244"/>
      <c r="Z272" s="244"/>
      <c r="AA272" s="244"/>
      <c r="AB272" s="244"/>
      <c r="AC272" s="244" t="s">
        <v>7186</v>
      </c>
      <c r="AD272" s="244"/>
      <c r="AE272" s="244"/>
      <c r="AF272" s="244"/>
      <c r="AG272" s="244"/>
      <c r="AH272" s="201"/>
      <c r="AJ272" s="272" t="s">
        <v>7183</v>
      </c>
      <c r="AK272" s="272"/>
      <c r="AL272" s="272"/>
      <c r="AM272" s="272" t="s">
        <v>5551</v>
      </c>
      <c r="AN272" s="272"/>
      <c r="AO272" s="272"/>
      <c r="AP272" s="272"/>
      <c r="AQ272" s="272"/>
      <c r="AR272" s="272"/>
      <c r="AS272" s="272"/>
      <c r="AT272" s="272"/>
      <c r="AU272" s="272"/>
      <c r="AV272" s="231"/>
      <c r="AW272" s="215" t="s">
        <v>7184</v>
      </c>
      <c r="AX272" s="216"/>
      <c r="AY272" s="216"/>
      <c r="AZ272" s="216"/>
      <c r="BA272" s="216"/>
      <c r="BB272" s="216" t="s">
        <v>7175</v>
      </c>
      <c r="BC272" s="216"/>
      <c r="BD272" s="216"/>
      <c r="BE272" s="216"/>
      <c r="BF272" s="216"/>
      <c r="BG272" s="216"/>
      <c r="BH272" s="216"/>
      <c r="BI272" s="216"/>
      <c r="BJ272" s="216"/>
      <c r="BK272" s="216"/>
      <c r="BL272" s="216"/>
      <c r="BM272" s="216"/>
      <c r="BN272" s="216"/>
      <c r="BO272" s="216"/>
      <c r="BP272" s="216"/>
      <c r="BQ272" s="216"/>
      <c r="BR272" s="216"/>
      <c r="BS272" s="216"/>
      <c r="BT272" s="216"/>
      <c r="BU272" s="216"/>
      <c r="BV272" s="216"/>
      <c r="BW272" s="217"/>
    </row>
    <row r="273" spans="8:8" ht="16.5">
      <c r="A273" s="201"/>
      <c r="S273" s="201"/>
      <c r="T273" s="201"/>
      <c r="U273" s="201"/>
      <c r="V273" s="201"/>
      <c r="W273" s="201"/>
      <c r="X273" s="244" t="s">
        <v>7190</v>
      </c>
      <c r="Y273" s="244"/>
      <c r="Z273" s="244"/>
      <c r="AA273" s="244"/>
      <c r="AB273" s="244"/>
      <c r="AC273" s="244" t="s">
        <v>7191</v>
      </c>
      <c r="AD273" s="244"/>
      <c r="AE273" s="244"/>
      <c r="AF273" s="244"/>
      <c r="AG273" s="244"/>
      <c r="AH273" s="201"/>
      <c r="AJ273" s="272" t="s">
        <v>7187</v>
      </c>
      <c r="AK273" s="272"/>
      <c r="AL273" s="272"/>
      <c r="AM273" s="272" t="s">
        <v>5541</v>
      </c>
      <c r="AN273" s="272"/>
      <c r="AO273" s="272"/>
      <c r="AP273" s="272"/>
      <c r="AQ273" s="272"/>
      <c r="AR273" s="272"/>
      <c r="AS273" s="272"/>
      <c r="AT273" s="272"/>
      <c r="AU273" s="272"/>
      <c r="AV273" s="231"/>
      <c r="AW273" s="215" t="s">
        <v>7188</v>
      </c>
      <c r="AX273" s="216"/>
      <c r="AY273" s="216"/>
      <c r="AZ273" s="216"/>
      <c r="BA273" s="216"/>
      <c r="BB273" s="216" t="s">
        <v>7189</v>
      </c>
      <c r="BC273" s="216"/>
      <c r="BD273" s="216"/>
      <c r="BE273" s="216"/>
      <c r="BF273" s="216"/>
      <c r="BG273" s="216"/>
      <c r="BH273" s="216"/>
      <c r="BI273" s="216"/>
      <c r="BJ273" s="216"/>
      <c r="BK273" s="216"/>
      <c r="BL273" s="216"/>
      <c r="BM273" s="216"/>
      <c r="BN273" s="216"/>
      <c r="BO273" s="216"/>
      <c r="BP273" s="216"/>
      <c r="BQ273" s="216"/>
      <c r="BR273" s="216"/>
      <c r="BS273" s="216"/>
      <c r="BT273" s="216"/>
      <c r="BU273" s="216"/>
      <c r="BV273" s="216"/>
      <c r="BW273" s="217"/>
    </row>
    <row r="274" spans="8:8" ht="16.5">
      <c r="A274" s="201"/>
      <c r="S274" s="201"/>
      <c r="T274" s="201"/>
      <c r="U274" s="201"/>
      <c r="V274" s="201"/>
      <c r="W274" s="201"/>
      <c r="X274" s="244" t="s">
        <v>7195</v>
      </c>
      <c r="Y274" s="244"/>
      <c r="Z274" s="244"/>
      <c r="AA274" s="244"/>
      <c r="AB274" s="244"/>
      <c r="AC274" s="244" t="s">
        <v>7196</v>
      </c>
      <c r="AD274" s="244"/>
      <c r="AE274" s="244"/>
      <c r="AF274" s="244"/>
      <c r="AG274" s="244"/>
      <c r="AH274" s="201"/>
      <c r="AJ274" s="272" t="s">
        <v>7192</v>
      </c>
      <c r="AK274" s="272"/>
      <c r="AL274" s="272"/>
      <c r="AM274" s="272" t="s">
        <v>5529</v>
      </c>
      <c r="AN274" s="272"/>
      <c r="AO274" s="272"/>
      <c r="AP274" s="272"/>
      <c r="AQ274" s="272"/>
      <c r="AR274" s="272"/>
      <c r="AS274" s="272"/>
      <c r="AT274" s="272"/>
      <c r="AU274" s="272"/>
      <c r="AV274" s="231"/>
      <c r="AW274" s="215" t="s">
        <v>7193</v>
      </c>
      <c r="AX274" s="216"/>
      <c r="AY274" s="216"/>
      <c r="AZ274" s="216"/>
      <c r="BA274" s="216"/>
      <c r="BB274" s="216" t="s">
        <v>7194</v>
      </c>
      <c r="BC274" s="216"/>
      <c r="BD274" s="216"/>
      <c r="BE274" s="216"/>
      <c r="BF274" s="216"/>
      <c r="BG274" s="216"/>
      <c r="BH274" s="216"/>
      <c r="BI274" s="216"/>
      <c r="BJ274" s="216"/>
      <c r="BK274" s="216"/>
      <c r="BL274" s="216"/>
      <c r="BM274" s="216"/>
      <c r="BN274" s="216"/>
      <c r="BO274" s="216"/>
      <c r="BP274" s="216"/>
      <c r="BQ274" s="216"/>
      <c r="BR274" s="216"/>
      <c r="BS274" s="216"/>
      <c r="BT274" s="216"/>
      <c r="BU274" s="216"/>
      <c r="BV274" s="216"/>
      <c r="BW274" s="217"/>
    </row>
    <row r="275" spans="8:8" ht="16.5">
      <c r="A275" s="201"/>
      <c r="S275" s="201"/>
      <c r="T275" s="201"/>
      <c r="U275" s="201"/>
      <c r="V275" s="201"/>
      <c r="W275" s="201"/>
      <c r="X275" s="244" t="s">
        <v>7200</v>
      </c>
      <c r="Y275" s="244"/>
      <c r="Z275" s="244"/>
      <c r="AA275" s="244"/>
      <c r="AB275" s="244"/>
      <c r="AC275" s="244" t="s">
        <v>7201</v>
      </c>
      <c r="AD275" s="244"/>
      <c r="AE275" s="244"/>
      <c r="AF275" s="244"/>
      <c r="AG275" s="244"/>
      <c r="AH275" s="201"/>
      <c r="AJ275" s="272" t="s">
        <v>7197</v>
      </c>
      <c r="AK275" s="272"/>
      <c r="AL275" s="272"/>
      <c r="AM275" s="272" t="s">
        <v>5517</v>
      </c>
      <c r="AN275" s="272"/>
      <c r="AO275" s="272"/>
      <c r="AP275" s="272"/>
      <c r="AQ275" s="272"/>
      <c r="AR275" s="272"/>
      <c r="AS275" s="272"/>
      <c r="AT275" s="272"/>
      <c r="AU275" s="272"/>
      <c r="AV275" s="231"/>
      <c r="AW275" s="215" t="s">
        <v>7198</v>
      </c>
      <c r="AX275" s="216"/>
      <c r="AY275" s="216"/>
      <c r="AZ275" s="216"/>
      <c r="BA275" s="216"/>
      <c r="BB275" s="216" t="s">
        <v>7199</v>
      </c>
      <c r="BC275" s="216"/>
      <c r="BD275" s="216"/>
      <c r="BE275" s="216"/>
      <c r="BF275" s="216"/>
      <c r="BG275" s="216"/>
      <c r="BH275" s="216"/>
      <c r="BI275" s="216"/>
      <c r="BJ275" s="216"/>
      <c r="BK275" s="216"/>
      <c r="BL275" s="216"/>
      <c r="BM275" s="216"/>
      <c r="BN275" s="216"/>
      <c r="BO275" s="216"/>
      <c r="BP275" s="216"/>
      <c r="BQ275" s="216"/>
      <c r="BR275" s="216"/>
      <c r="BS275" s="216"/>
      <c r="BT275" s="216"/>
      <c r="BU275" s="216"/>
      <c r="BV275" s="216"/>
      <c r="BW275" s="217"/>
    </row>
    <row r="276" spans="8:8" ht="16.5">
      <c r="A276" s="201"/>
      <c r="S276" s="201"/>
      <c r="T276" s="201"/>
      <c r="U276" s="201"/>
      <c r="V276" s="201"/>
      <c r="W276" s="201"/>
      <c r="X276" s="244" t="s">
        <v>7205</v>
      </c>
      <c r="Y276" s="244"/>
      <c r="Z276" s="244"/>
      <c r="AA276" s="244"/>
      <c r="AB276" s="244"/>
      <c r="AC276" s="244" t="s">
        <v>7206</v>
      </c>
      <c r="AD276" s="244"/>
      <c r="AE276" s="244"/>
      <c r="AF276" s="244"/>
      <c r="AG276" s="244"/>
      <c r="AH276" s="201"/>
      <c r="AJ276" s="272" t="s">
        <v>7202</v>
      </c>
      <c r="AK276" s="272"/>
      <c r="AL276" s="272"/>
      <c r="AM276" s="272" t="s">
        <v>5507</v>
      </c>
      <c r="AN276" s="272"/>
      <c r="AO276" s="272"/>
      <c r="AP276" s="272"/>
      <c r="AQ276" s="272"/>
      <c r="AR276" s="272"/>
      <c r="AS276" s="272"/>
      <c r="AT276" s="272"/>
      <c r="AU276" s="272"/>
      <c r="AV276" s="231"/>
      <c r="AW276" s="215" t="s">
        <v>7203</v>
      </c>
      <c r="AX276" s="216"/>
      <c r="AY276" s="216"/>
      <c r="AZ276" s="216"/>
      <c r="BA276" s="216"/>
      <c r="BB276" s="216" t="s">
        <v>7204</v>
      </c>
      <c r="BC276" s="216"/>
      <c r="BD276" s="216"/>
      <c r="BE276" s="216"/>
      <c r="BF276" s="216"/>
      <c r="BG276" s="216"/>
      <c r="BH276" s="216"/>
      <c r="BI276" s="216"/>
      <c r="BJ276" s="216"/>
      <c r="BK276" s="216"/>
      <c r="BL276" s="216"/>
      <c r="BM276" s="216"/>
      <c r="BN276" s="216"/>
      <c r="BO276" s="216"/>
      <c r="BP276" s="216"/>
      <c r="BQ276" s="216"/>
      <c r="BR276" s="216"/>
      <c r="BS276" s="216"/>
      <c r="BT276" s="216"/>
      <c r="BU276" s="216"/>
      <c r="BV276" s="216"/>
      <c r="BW276" s="217"/>
    </row>
    <row r="277" spans="8:8" ht="16.5">
      <c r="A277" s="201"/>
      <c r="S277" s="201"/>
      <c r="T277" s="201"/>
      <c r="U277" s="201"/>
      <c r="V277" s="201"/>
      <c r="W277" s="201"/>
      <c r="X277" s="244" t="s">
        <v>7210</v>
      </c>
      <c r="Y277" s="244"/>
      <c r="Z277" s="244"/>
      <c r="AA277" s="244"/>
      <c r="AB277" s="244"/>
      <c r="AC277" s="244" t="s">
        <v>7211</v>
      </c>
      <c r="AD277" s="244"/>
      <c r="AE277" s="244"/>
      <c r="AF277" s="244"/>
      <c r="AG277" s="244"/>
      <c r="AH277" s="201"/>
      <c r="AJ277" s="272" t="s">
        <v>7207</v>
      </c>
      <c r="AK277" s="272"/>
      <c r="AL277" s="272"/>
      <c r="AM277" s="272" t="s">
        <v>5481</v>
      </c>
      <c r="AN277" s="272"/>
      <c r="AO277" s="272"/>
      <c r="AP277" s="272"/>
      <c r="AQ277" s="272"/>
      <c r="AR277" s="272"/>
      <c r="AS277" s="272"/>
      <c r="AT277" s="272"/>
      <c r="AU277" s="272"/>
      <c r="AV277" s="231"/>
      <c r="AW277" s="215" t="s">
        <v>7208</v>
      </c>
      <c r="AX277" s="216"/>
      <c r="AY277" s="216"/>
      <c r="AZ277" s="216"/>
      <c r="BA277" s="216"/>
      <c r="BB277" s="216" t="s">
        <v>7209</v>
      </c>
      <c r="BC277" s="216"/>
      <c r="BD277" s="216"/>
      <c r="BE277" s="216"/>
      <c r="BF277" s="216"/>
      <c r="BG277" s="216"/>
      <c r="BH277" s="216"/>
      <c r="BI277" s="216"/>
      <c r="BJ277" s="216"/>
      <c r="BK277" s="216"/>
      <c r="BL277" s="216"/>
      <c r="BM277" s="216"/>
      <c r="BN277" s="216"/>
      <c r="BO277" s="216"/>
      <c r="BP277" s="216"/>
      <c r="BQ277" s="216"/>
      <c r="BR277" s="216"/>
      <c r="BS277" s="216"/>
      <c r="BT277" s="216"/>
      <c r="BU277" s="216"/>
      <c r="BV277" s="216"/>
      <c r="BW277" s="217"/>
    </row>
    <row r="278" spans="8:8" ht="16.5">
      <c r="A278" s="201"/>
      <c r="S278" s="201"/>
      <c r="T278" s="201"/>
      <c r="U278" s="201"/>
      <c r="V278" s="201"/>
      <c r="W278" s="201"/>
      <c r="X278" s="244" t="s">
        <v>7215</v>
      </c>
      <c r="Y278" s="244"/>
      <c r="Z278" s="244"/>
      <c r="AA278" s="244"/>
      <c r="AB278" s="244"/>
      <c r="AC278" s="244" t="s">
        <v>7216</v>
      </c>
      <c r="AD278" s="244"/>
      <c r="AE278" s="244"/>
      <c r="AF278" s="244"/>
      <c r="AG278" s="244"/>
      <c r="AH278" s="201"/>
      <c r="AJ278" s="272" t="s">
        <v>7212</v>
      </c>
      <c r="AK278" s="272"/>
      <c r="AL278" s="272"/>
      <c r="AM278" s="272" t="s">
        <v>5468</v>
      </c>
      <c r="AN278" s="272"/>
      <c r="AO278" s="272"/>
      <c r="AP278" s="272"/>
      <c r="AQ278" s="272"/>
      <c r="AR278" s="272"/>
      <c r="AS278" s="272"/>
      <c r="AT278" s="272"/>
      <c r="AU278" s="272"/>
      <c r="AV278" s="231"/>
      <c r="AW278" s="215" t="s">
        <v>7213</v>
      </c>
      <c r="AX278" s="216"/>
      <c r="AY278" s="216"/>
      <c r="AZ278" s="216"/>
      <c r="BA278" s="216"/>
      <c r="BB278" s="216" t="s">
        <v>7214</v>
      </c>
      <c r="BC278" s="216"/>
      <c r="BD278" s="216"/>
      <c r="BE278" s="216"/>
      <c r="BF278" s="216"/>
      <c r="BG278" s="216"/>
      <c r="BH278" s="216"/>
      <c r="BI278" s="216"/>
      <c r="BJ278" s="216"/>
      <c r="BK278" s="216"/>
      <c r="BL278" s="216"/>
      <c r="BM278" s="216"/>
      <c r="BN278" s="216"/>
      <c r="BO278" s="216"/>
      <c r="BP278" s="216"/>
      <c r="BQ278" s="216"/>
      <c r="BR278" s="216"/>
      <c r="BS278" s="216"/>
      <c r="BT278" s="216"/>
      <c r="BU278" s="216"/>
      <c r="BV278" s="216"/>
      <c r="BW278" s="217"/>
    </row>
    <row r="279" spans="8:8" ht="16.5">
      <c r="A279" s="201"/>
      <c r="S279" s="201"/>
      <c r="T279" s="201"/>
      <c r="U279" s="201"/>
      <c r="V279" s="201"/>
      <c r="W279" s="201"/>
      <c r="X279" s="244" t="s">
        <v>7220</v>
      </c>
      <c r="Y279" s="244"/>
      <c r="Z279" s="244"/>
      <c r="AA279" s="244"/>
      <c r="AB279" s="244"/>
      <c r="AC279" s="244" t="s">
        <v>7221</v>
      </c>
      <c r="AD279" s="244"/>
      <c r="AE279" s="244"/>
      <c r="AF279" s="244"/>
      <c r="AG279" s="244"/>
      <c r="AH279" s="201"/>
      <c r="AJ279" s="272" t="s">
        <v>7217</v>
      </c>
      <c r="AK279" s="272"/>
      <c r="AL279" s="272"/>
      <c r="AM279" s="272" t="s">
        <v>5455</v>
      </c>
      <c r="AN279" s="272"/>
      <c r="AO279" s="272"/>
      <c r="AP279" s="272"/>
      <c r="AQ279" s="272"/>
      <c r="AR279" s="272"/>
      <c r="AS279" s="272"/>
      <c r="AT279" s="272"/>
      <c r="AU279" s="272"/>
      <c r="AV279" s="231"/>
      <c r="AW279" s="215" t="s">
        <v>7218</v>
      </c>
      <c r="AX279" s="216"/>
      <c r="AY279" s="216"/>
      <c r="AZ279" s="216"/>
      <c r="BA279" s="216"/>
      <c r="BB279" s="216" t="s">
        <v>7219</v>
      </c>
      <c r="BC279" s="216"/>
      <c r="BD279" s="216"/>
      <c r="BE279" s="216"/>
      <c r="BF279" s="216"/>
      <c r="BG279" s="216"/>
      <c r="BH279" s="216"/>
      <c r="BI279" s="216"/>
      <c r="BJ279" s="216"/>
      <c r="BK279" s="216"/>
      <c r="BL279" s="216"/>
      <c r="BM279" s="216"/>
      <c r="BN279" s="216"/>
      <c r="BO279" s="216"/>
      <c r="BP279" s="216"/>
      <c r="BQ279" s="216"/>
      <c r="BR279" s="216"/>
      <c r="BS279" s="216"/>
      <c r="BT279" s="216"/>
      <c r="BU279" s="216"/>
      <c r="BV279" s="216"/>
      <c r="BW279" s="217"/>
    </row>
    <row r="280" spans="8:8" ht="16.5">
      <c r="A280" s="201"/>
      <c r="S280" s="201"/>
      <c r="T280" s="201"/>
      <c r="U280" s="201"/>
      <c r="V280" s="201"/>
      <c r="W280" s="201"/>
      <c r="X280" s="244" t="s">
        <v>7225</v>
      </c>
      <c r="Y280" s="244"/>
      <c r="Z280" s="244"/>
      <c r="AA280" s="244"/>
      <c r="AB280" s="244"/>
      <c r="AC280" s="244" t="s">
        <v>7226</v>
      </c>
      <c r="AD280" s="244"/>
      <c r="AE280" s="244"/>
      <c r="AF280" s="244"/>
      <c r="AG280" s="244"/>
      <c r="AH280" s="201"/>
      <c r="AJ280" s="272" t="s">
        <v>7222</v>
      </c>
      <c r="AK280" s="272"/>
      <c r="AL280" s="272"/>
      <c r="AM280" s="272" t="s">
        <v>5503</v>
      </c>
      <c r="AN280" s="272"/>
      <c r="AO280" s="272"/>
      <c r="AP280" s="272"/>
      <c r="AQ280" s="272"/>
      <c r="AR280" s="272"/>
      <c r="AS280" s="272"/>
      <c r="AT280" s="272"/>
      <c r="AU280" s="272"/>
      <c r="AV280" s="231"/>
      <c r="AW280" s="215" t="s">
        <v>7223</v>
      </c>
      <c r="AX280" s="216"/>
      <c r="AY280" s="216"/>
      <c r="AZ280" s="216"/>
      <c r="BA280" s="216"/>
      <c r="BB280" s="216" t="s">
        <v>7224</v>
      </c>
      <c r="BC280" s="216"/>
      <c r="BD280" s="216"/>
      <c r="BE280" s="216"/>
      <c r="BF280" s="216"/>
      <c r="BG280" s="216"/>
      <c r="BH280" s="216"/>
      <c r="BI280" s="216"/>
      <c r="BJ280" s="216"/>
      <c r="BK280" s="216"/>
      <c r="BL280" s="216"/>
      <c r="BM280" s="216"/>
      <c r="BN280" s="216"/>
      <c r="BO280" s="216"/>
      <c r="BP280" s="216"/>
      <c r="BQ280" s="216"/>
      <c r="BR280" s="216"/>
      <c r="BS280" s="216"/>
      <c r="BT280" s="216"/>
      <c r="BU280" s="216"/>
      <c r="BV280" s="216"/>
      <c r="BW280" s="217"/>
    </row>
    <row r="281" spans="8:8" ht="16.5">
      <c r="A281" s="201"/>
      <c r="S281" s="201"/>
      <c r="T281" s="201"/>
      <c r="U281" s="201"/>
      <c r="V281" s="201"/>
      <c r="W281" s="201"/>
      <c r="X281" s="244" t="s">
        <v>7230</v>
      </c>
      <c r="Y281" s="244"/>
      <c r="Z281" s="244"/>
      <c r="AA281" s="244"/>
      <c r="AB281" s="244"/>
      <c r="AC281" s="244" t="s">
        <v>7231</v>
      </c>
      <c r="AD281" s="244"/>
      <c r="AE281" s="244"/>
      <c r="AF281" s="244"/>
      <c r="AG281" s="244"/>
      <c r="AH281" s="201"/>
      <c r="AJ281" s="272" t="s">
        <v>7227</v>
      </c>
      <c r="AK281" s="272"/>
      <c r="AL281" s="272"/>
      <c r="AM281" s="272" t="s">
        <v>7228</v>
      </c>
      <c r="AN281" s="272"/>
      <c r="AO281" s="272"/>
      <c r="AP281" s="272"/>
      <c r="AQ281" s="272"/>
      <c r="AR281" s="272"/>
      <c r="AS281" s="272"/>
      <c r="AT281" s="272"/>
      <c r="AU281" s="272"/>
      <c r="AV281" s="231"/>
      <c r="AW281" s="215" t="s">
        <v>7229</v>
      </c>
      <c r="AX281" s="216"/>
      <c r="AY281" s="216"/>
      <c r="AZ281" s="216"/>
      <c r="BA281" s="216"/>
      <c r="BB281" s="216" t="s">
        <v>7219</v>
      </c>
      <c r="BC281" s="216"/>
      <c r="BD281" s="216"/>
      <c r="BE281" s="216"/>
      <c r="BF281" s="216"/>
      <c r="BG281" s="216"/>
      <c r="BH281" s="216"/>
      <c r="BI281" s="216"/>
      <c r="BJ281" s="216"/>
      <c r="BK281" s="216"/>
      <c r="BL281" s="216"/>
      <c r="BM281" s="216"/>
      <c r="BN281" s="216"/>
      <c r="BO281" s="216"/>
      <c r="BP281" s="216"/>
      <c r="BQ281" s="216"/>
      <c r="BR281" s="216"/>
      <c r="BS281" s="216"/>
      <c r="BT281" s="216"/>
      <c r="BU281" s="216"/>
      <c r="BV281" s="216"/>
      <c r="BW281" s="217"/>
    </row>
    <row r="282" spans="8:8" ht="16.5">
      <c r="A282" s="201"/>
      <c r="S282" s="201"/>
      <c r="T282" s="201"/>
      <c r="U282" s="201"/>
      <c r="V282" s="201"/>
      <c r="W282" s="201"/>
      <c r="X282" s="244" t="s">
        <v>7236</v>
      </c>
      <c r="Y282" s="244"/>
      <c r="Z282" s="244"/>
      <c r="AA282" s="244"/>
      <c r="AB282" s="244"/>
      <c r="AC282" s="244" t="s">
        <v>7237</v>
      </c>
      <c r="AD282" s="244"/>
      <c r="AE282" s="244"/>
      <c r="AF282" s="244"/>
      <c r="AG282" s="244"/>
      <c r="AH282" s="201"/>
      <c r="AJ282" s="272" t="s">
        <v>7232</v>
      </c>
      <c r="AK282" s="272"/>
      <c r="AL282" s="272"/>
      <c r="AM282" s="272" t="s">
        <v>7233</v>
      </c>
      <c r="AN282" s="272"/>
      <c r="AO282" s="272"/>
      <c r="AP282" s="272"/>
      <c r="AQ282" s="272"/>
      <c r="AR282" s="272"/>
      <c r="AS282" s="272"/>
      <c r="AT282" s="272"/>
      <c r="AU282" s="272"/>
      <c r="AV282" s="231"/>
      <c r="AW282" s="215" t="s">
        <v>7234</v>
      </c>
      <c r="AX282" s="216"/>
      <c r="AY282" s="216"/>
      <c r="AZ282" s="216"/>
      <c r="BA282" s="216"/>
      <c r="BB282" s="216" t="s">
        <v>7235</v>
      </c>
      <c r="BC282" s="216"/>
      <c r="BD282" s="216"/>
      <c r="BE282" s="216"/>
      <c r="BF282" s="216"/>
      <c r="BG282" s="216"/>
      <c r="BH282" s="216"/>
      <c r="BI282" s="216"/>
      <c r="BJ282" s="216"/>
      <c r="BK282" s="216"/>
      <c r="BL282" s="216"/>
      <c r="BM282" s="216"/>
      <c r="BN282" s="216"/>
      <c r="BO282" s="216"/>
      <c r="BP282" s="216"/>
      <c r="BQ282" s="216"/>
      <c r="BR282" s="216"/>
      <c r="BS282" s="216"/>
      <c r="BT282" s="216"/>
      <c r="BU282" s="216"/>
      <c r="BV282" s="216"/>
      <c r="BW282" s="217"/>
    </row>
    <row r="283" spans="8:8" ht="16.5">
      <c r="A283" s="201"/>
      <c r="S283" s="201"/>
      <c r="T283" s="201"/>
      <c r="U283" s="201"/>
      <c r="V283" s="201"/>
      <c r="W283" s="201"/>
      <c r="X283" s="244" t="s">
        <v>7240</v>
      </c>
      <c r="Y283" s="244"/>
      <c r="Z283" s="244"/>
      <c r="AA283" s="244"/>
      <c r="AB283" s="244"/>
      <c r="AC283" s="244" t="s">
        <v>7241</v>
      </c>
      <c r="AD283" s="244"/>
      <c r="AE283" s="244"/>
      <c r="AF283" s="244"/>
      <c r="AG283" s="244"/>
      <c r="AH283" s="201"/>
      <c r="AW283" s="215" t="s">
        <v>7238</v>
      </c>
      <c r="AX283" s="216"/>
      <c r="AY283" s="216"/>
      <c r="AZ283" s="216"/>
      <c r="BA283" s="216"/>
      <c r="BB283" s="216" t="s">
        <v>7239</v>
      </c>
      <c r="BC283" s="216"/>
      <c r="BD283" s="216"/>
      <c r="BE283" s="216"/>
      <c r="BF283" s="216"/>
      <c r="BG283" s="216"/>
      <c r="BH283" s="216"/>
      <c r="BI283" s="216"/>
      <c r="BJ283" s="216"/>
      <c r="BK283" s="216"/>
      <c r="BL283" s="216"/>
      <c r="BM283" s="216"/>
      <c r="BN283" s="216"/>
      <c r="BO283" s="216"/>
      <c r="BP283" s="216"/>
      <c r="BQ283" s="216"/>
      <c r="BR283" s="216"/>
      <c r="BS283" s="216"/>
      <c r="BT283" s="216"/>
      <c r="BU283" s="216"/>
      <c r="BV283" s="216"/>
      <c r="BW283" s="217"/>
    </row>
    <row r="284" spans="8:8" ht="16.5">
      <c r="A284" s="201"/>
      <c r="S284" s="201"/>
      <c r="T284" s="201"/>
      <c r="U284" s="201"/>
      <c r="V284" s="201"/>
      <c r="W284" s="201"/>
      <c r="X284" s="244" t="s">
        <v>7244</v>
      </c>
      <c r="Y284" s="244"/>
      <c r="Z284" s="244"/>
      <c r="AA284" s="244"/>
      <c r="AB284" s="244"/>
      <c r="AC284" s="244" t="s">
        <v>7245</v>
      </c>
      <c r="AD284" s="244"/>
      <c r="AE284" s="244"/>
      <c r="AF284" s="244"/>
      <c r="AG284" s="244"/>
      <c r="AH284" s="201"/>
      <c r="AW284" s="215" t="s">
        <v>7242</v>
      </c>
      <c r="AX284" s="216"/>
      <c r="AY284" s="216"/>
      <c r="AZ284" s="216"/>
      <c r="BA284" s="216"/>
      <c r="BB284" s="216" t="s">
        <v>7243</v>
      </c>
      <c r="BC284" s="216"/>
      <c r="BD284" s="216"/>
      <c r="BE284" s="216"/>
      <c r="BF284" s="216"/>
      <c r="BG284" s="216"/>
      <c r="BH284" s="216"/>
      <c r="BI284" s="216"/>
      <c r="BJ284" s="216"/>
      <c r="BK284" s="216"/>
      <c r="BL284" s="216"/>
      <c r="BM284" s="216"/>
      <c r="BN284" s="216"/>
      <c r="BO284" s="216"/>
      <c r="BP284" s="216"/>
      <c r="BQ284" s="216"/>
      <c r="BR284" s="216"/>
      <c r="BS284" s="216"/>
      <c r="BT284" s="216"/>
      <c r="BU284" s="216"/>
      <c r="BV284" s="216"/>
      <c r="BW284" s="217"/>
    </row>
    <row r="285" spans="8:8" ht="16.5">
      <c r="A285" s="201"/>
      <c r="S285" s="201"/>
      <c r="T285" s="201"/>
      <c r="U285" s="201"/>
      <c r="V285" s="201"/>
      <c r="W285" s="201"/>
      <c r="X285" s="244" t="s">
        <v>7248</v>
      </c>
      <c r="Y285" s="244"/>
      <c r="Z285" s="244"/>
      <c r="AA285" s="244"/>
      <c r="AB285" s="244"/>
      <c r="AC285" s="244" t="s">
        <v>7249</v>
      </c>
      <c r="AD285" s="244"/>
      <c r="AE285" s="244"/>
      <c r="AF285" s="244"/>
      <c r="AG285" s="244"/>
      <c r="AH285" s="201"/>
      <c r="AW285" s="215" t="s">
        <v>7246</v>
      </c>
      <c r="AX285" s="216"/>
      <c r="AY285" s="216"/>
      <c r="AZ285" s="216"/>
      <c r="BA285" s="216"/>
      <c r="BB285" s="216" t="s">
        <v>7247</v>
      </c>
      <c r="BC285" s="216"/>
      <c r="BD285" s="216"/>
      <c r="BE285" s="216"/>
      <c r="BF285" s="216"/>
      <c r="BG285" s="216"/>
      <c r="BH285" s="216"/>
      <c r="BI285" s="216"/>
      <c r="BJ285" s="216"/>
      <c r="BK285" s="216"/>
      <c r="BL285" s="216"/>
      <c r="BM285" s="216"/>
      <c r="BN285" s="216"/>
      <c r="BO285" s="216"/>
      <c r="BP285" s="216"/>
      <c r="BQ285" s="216"/>
      <c r="BR285" s="216"/>
      <c r="BS285" s="216"/>
      <c r="BT285" s="216"/>
      <c r="BU285" s="216"/>
      <c r="BV285" s="216"/>
      <c r="BW285" s="217"/>
    </row>
    <row r="286" spans="8:8" ht="16.5">
      <c r="A286" s="201"/>
      <c r="S286" s="201"/>
      <c r="T286" s="201"/>
      <c r="U286" s="201"/>
      <c r="V286" s="201"/>
      <c r="W286" s="201"/>
      <c r="X286" s="244" t="s">
        <v>7252</v>
      </c>
      <c r="Y286" s="244"/>
      <c r="Z286" s="244"/>
      <c r="AA286" s="244"/>
      <c r="AB286" s="244"/>
      <c r="AC286" s="244" t="s">
        <v>7253</v>
      </c>
      <c r="AD286" s="244"/>
      <c r="AE286" s="244"/>
      <c r="AF286" s="244"/>
      <c r="AG286" s="244"/>
      <c r="AH286" s="201"/>
      <c r="AJ286" s="201"/>
      <c r="AK286" s="201"/>
      <c r="AL286" s="201"/>
      <c r="AM286" s="201"/>
      <c r="AN286" s="201"/>
      <c r="AO286" s="201"/>
      <c r="AP286" s="201"/>
      <c r="AW286" s="215" t="s">
        <v>7250</v>
      </c>
      <c r="AX286" s="216"/>
      <c r="AY286" s="216"/>
      <c r="AZ286" s="216"/>
      <c r="BA286" s="216"/>
      <c r="BB286" s="216" t="s">
        <v>7251</v>
      </c>
      <c r="BC286" s="216"/>
      <c r="BD286" s="216"/>
      <c r="BE286" s="216"/>
      <c r="BF286" s="216"/>
      <c r="BG286" s="216"/>
      <c r="BH286" s="216"/>
      <c r="BI286" s="216"/>
      <c r="BJ286" s="216"/>
      <c r="BK286" s="216"/>
      <c r="BL286" s="216"/>
      <c r="BM286" s="216"/>
      <c r="BN286" s="216"/>
      <c r="BO286" s="216"/>
      <c r="BP286" s="216"/>
      <c r="BQ286" s="216"/>
      <c r="BR286" s="216"/>
      <c r="BS286" s="216"/>
      <c r="BT286" s="216"/>
      <c r="BU286" s="216"/>
      <c r="BV286" s="216"/>
      <c r="BW286" s="217"/>
    </row>
    <row r="287" spans="8:8" ht="16.5">
      <c r="A287" s="201"/>
      <c r="S287" s="201"/>
      <c r="T287" s="201"/>
      <c r="U287" s="201"/>
      <c r="V287" s="201"/>
      <c r="W287" s="201"/>
      <c r="X287" s="244" t="s">
        <v>7256</v>
      </c>
      <c r="Y287" s="244"/>
      <c r="Z287" s="244"/>
      <c r="AA287" s="244"/>
      <c r="AB287" s="244"/>
      <c r="AC287" s="244" t="s">
        <v>7257</v>
      </c>
      <c r="AD287" s="244"/>
      <c r="AE287" s="244"/>
      <c r="AF287" s="244"/>
      <c r="AG287" s="244"/>
      <c r="AH287" s="201"/>
      <c r="AJ287" s="201"/>
      <c r="AK287" s="201"/>
      <c r="AL287" s="201"/>
      <c r="AM287" s="201"/>
      <c r="AN287" s="201"/>
      <c r="AO287" s="201"/>
      <c r="AP287" s="201"/>
      <c r="AW287" s="215" t="s">
        <v>7254</v>
      </c>
      <c r="AX287" s="216"/>
      <c r="AY287" s="216"/>
      <c r="AZ287" s="216"/>
      <c r="BA287" s="216"/>
      <c r="BB287" s="216" t="s">
        <v>7255</v>
      </c>
      <c r="BC287" s="216"/>
      <c r="BD287" s="216"/>
      <c r="BE287" s="216"/>
      <c r="BF287" s="216"/>
      <c r="BG287" s="216"/>
      <c r="BH287" s="216"/>
      <c r="BI287" s="216"/>
      <c r="BJ287" s="216"/>
      <c r="BK287" s="216"/>
      <c r="BL287" s="216"/>
      <c r="BM287" s="216"/>
      <c r="BN287" s="216"/>
      <c r="BO287" s="216"/>
      <c r="BP287" s="216"/>
      <c r="BQ287" s="216"/>
      <c r="BR287" s="216"/>
      <c r="BS287" s="216"/>
      <c r="BT287" s="216"/>
      <c r="BU287" s="216"/>
      <c r="BV287" s="216"/>
      <c r="BW287" s="217"/>
    </row>
    <row r="288" spans="8:8" ht="16.5">
      <c r="A288" s="201"/>
      <c r="S288" s="201"/>
      <c r="T288" s="201"/>
      <c r="U288" s="201"/>
      <c r="V288" s="201"/>
      <c r="W288" s="201"/>
      <c r="X288" s="244" t="s">
        <v>7260</v>
      </c>
      <c r="Y288" s="244"/>
      <c r="Z288" s="244"/>
      <c r="AA288" s="244"/>
      <c r="AB288" s="244"/>
      <c r="AC288" s="244" t="s">
        <v>7261</v>
      </c>
      <c r="AD288" s="244"/>
      <c r="AE288" s="244"/>
      <c r="AF288" s="244"/>
      <c r="AG288" s="244"/>
      <c r="AH288" s="201"/>
      <c r="AJ288" s="201"/>
      <c r="AK288" s="201"/>
      <c r="AL288" s="201"/>
      <c r="AM288" s="201"/>
      <c r="AN288" s="201"/>
      <c r="AO288" s="201"/>
      <c r="AP288" s="201"/>
      <c r="AW288" s="215" t="s">
        <v>7258</v>
      </c>
      <c r="AX288" s="216"/>
      <c r="AY288" s="216"/>
      <c r="AZ288" s="216"/>
      <c r="BA288" s="216"/>
      <c r="BB288" s="216" t="s">
        <v>7259</v>
      </c>
      <c r="BC288" s="216"/>
      <c r="BD288" s="216"/>
      <c r="BE288" s="216"/>
      <c r="BF288" s="216"/>
      <c r="BG288" s="216"/>
      <c r="BH288" s="216"/>
      <c r="BI288" s="216"/>
      <c r="BJ288" s="216"/>
      <c r="BK288" s="216"/>
      <c r="BL288" s="216"/>
      <c r="BM288" s="216"/>
      <c r="BN288" s="216"/>
      <c r="BO288" s="216"/>
      <c r="BP288" s="216"/>
      <c r="BQ288" s="216"/>
      <c r="BR288" s="216"/>
      <c r="BS288" s="216"/>
      <c r="BT288" s="216"/>
      <c r="BU288" s="216"/>
      <c r="BV288" s="216"/>
      <c r="BW288" s="217"/>
    </row>
    <row r="289" spans="8:8" ht="16.5">
      <c r="A289" s="201"/>
      <c r="S289" s="201"/>
      <c r="T289" s="201"/>
      <c r="U289" s="201"/>
      <c r="V289" s="201"/>
      <c r="W289" s="201"/>
      <c r="X289" s="244" t="s">
        <v>7264</v>
      </c>
      <c r="Y289" s="244"/>
      <c r="Z289" s="244"/>
      <c r="AA289" s="244"/>
      <c r="AB289" s="244"/>
      <c r="AC289" s="244" t="s">
        <v>7265</v>
      </c>
      <c r="AD289" s="244"/>
      <c r="AE289" s="244"/>
      <c r="AF289" s="244"/>
      <c r="AG289" s="244"/>
      <c r="AH289" s="201"/>
      <c r="AJ289" s="201"/>
      <c r="AK289" s="201"/>
      <c r="AL289" s="201"/>
      <c r="AM289" s="201"/>
      <c r="AN289" s="201"/>
      <c r="AO289" s="201"/>
      <c r="AP289" s="201"/>
      <c r="AW289" s="215" t="s">
        <v>7262</v>
      </c>
      <c r="AX289" s="216"/>
      <c r="AY289" s="216"/>
      <c r="AZ289" s="216"/>
      <c r="BA289" s="216"/>
      <c r="BB289" s="216" t="s">
        <v>7263</v>
      </c>
      <c r="BC289" s="216"/>
      <c r="BD289" s="216"/>
      <c r="BE289" s="216"/>
      <c r="BF289" s="216"/>
      <c r="BG289" s="216"/>
      <c r="BH289" s="216"/>
      <c r="BI289" s="216"/>
      <c r="BJ289" s="216"/>
      <c r="BK289" s="216"/>
      <c r="BL289" s="216"/>
      <c r="BM289" s="216"/>
      <c r="BN289" s="216"/>
      <c r="BO289" s="216"/>
      <c r="BP289" s="216"/>
      <c r="BQ289" s="216"/>
      <c r="BR289" s="216"/>
      <c r="BS289" s="216"/>
      <c r="BT289" s="216"/>
      <c r="BU289" s="216"/>
      <c r="BV289" s="216"/>
      <c r="BW289" s="217"/>
    </row>
    <row r="290" spans="8:8" ht="16.5">
      <c r="A290" s="201"/>
      <c r="S290" s="201"/>
      <c r="T290" s="201"/>
      <c r="U290" s="201"/>
      <c r="V290" s="201"/>
      <c r="W290" s="201"/>
      <c r="X290" s="244" t="s">
        <v>7268</v>
      </c>
      <c r="Y290" s="244"/>
      <c r="Z290" s="244"/>
      <c r="AA290" s="244"/>
      <c r="AB290" s="244"/>
      <c r="AC290" s="244" t="s">
        <v>7269</v>
      </c>
      <c r="AD290" s="244"/>
      <c r="AE290" s="244"/>
      <c r="AF290" s="244"/>
      <c r="AG290" s="244"/>
      <c r="AH290" s="201"/>
      <c r="AJ290" s="201"/>
      <c r="AK290" s="201"/>
      <c r="AL290" s="201"/>
      <c r="AM290" s="201"/>
      <c r="AN290" s="201"/>
      <c r="AO290" s="201"/>
      <c r="AP290" s="201"/>
      <c r="AW290" s="215" t="s">
        <v>7266</v>
      </c>
      <c r="AX290" s="216"/>
      <c r="AY290" s="216"/>
      <c r="AZ290" s="216"/>
      <c r="BA290" s="216"/>
      <c r="BB290" s="216" t="s">
        <v>7267</v>
      </c>
      <c r="BC290" s="216"/>
      <c r="BD290" s="216"/>
      <c r="BE290" s="216"/>
      <c r="BF290" s="216"/>
      <c r="BG290" s="216"/>
      <c r="BH290" s="216"/>
      <c r="BI290" s="216"/>
      <c r="BJ290" s="216"/>
      <c r="BK290" s="216"/>
      <c r="BL290" s="216"/>
      <c r="BM290" s="216"/>
      <c r="BN290" s="216"/>
      <c r="BO290" s="216"/>
      <c r="BP290" s="216"/>
      <c r="BQ290" s="216"/>
      <c r="BR290" s="216"/>
      <c r="BS290" s="216"/>
      <c r="BT290" s="216"/>
      <c r="BU290" s="216"/>
      <c r="BV290" s="216"/>
      <c r="BW290" s="217"/>
    </row>
    <row r="291" spans="8:8" ht="16.5">
      <c r="A291" s="201"/>
      <c r="S291" s="201"/>
      <c r="T291" s="201"/>
      <c r="U291" s="201"/>
      <c r="V291" s="201"/>
      <c r="W291" s="201"/>
      <c r="X291" s="244" t="s">
        <v>7272</v>
      </c>
      <c r="Y291" s="244"/>
      <c r="Z291" s="244"/>
      <c r="AA291" s="244"/>
      <c r="AB291" s="244"/>
      <c r="AC291" s="244" t="s">
        <v>7273</v>
      </c>
      <c r="AD291" s="244"/>
      <c r="AE291" s="244"/>
      <c r="AF291" s="244"/>
      <c r="AG291" s="244"/>
      <c r="AH291" s="201"/>
      <c r="AJ291" s="201"/>
      <c r="AK291" s="201"/>
      <c r="AL291" s="201"/>
      <c r="AM291" s="201"/>
      <c r="AN291" s="201"/>
      <c r="AO291" s="201"/>
      <c r="AP291" s="201"/>
      <c r="AW291" s="215" t="s">
        <v>7270</v>
      </c>
      <c r="AX291" s="216"/>
      <c r="AY291" s="216"/>
      <c r="AZ291" s="216"/>
      <c r="BA291" s="216"/>
      <c r="BB291" s="216" t="s">
        <v>7271</v>
      </c>
      <c r="BC291" s="216"/>
      <c r="BD291" s="216"/>
      <c r="BE291" s="216"/>
      <c r="BF291" s="216"/>
      <c r="BG291" s="216"/>
      <c r="BH291" s="216"/>
      <c r="BI291" s="216"/>
      <c r="BJ291" s="216"/>
      <c r="BK291" s="216"/>
      <c r="BL291" s="216"/>
      <c r="BM291" s="216"/>
      <c r="BN291" s="216"/>
      <c r="BO291" s="216"/>
      <c r="BP291" s="216"/>
      <c r="BQ291" s="216"/>
      <c r="BR291" s="216"/>
      <c r="BS291" s="216"/>
      <c r="BT291" s="216"/>
      <c r="BU291" s="216"/>
      <c r="BV291" s="216"/>
      <c r="BW291" s="217"/>
    </row>
    <row r="292" spans="8:8" ht="16.5">
      <c r="A292" s="201"/>
      <c r="S292" s="201"/>
      <c r="T292" s="201"/>
      <c r="U292" s="201"/>
      <c r="V292" s="201"/>
      <c r="W292" s="201"/>
      <c r="X292" s="244" t="s">
        <v>7276</v>
      </c>
      <c r="Y292" s="244"/>
      <c r="Z292" s="244"/>
      <c r="AA292" s="244"/>
      <c r="AB292" s="244"/>
      <c r="AC292" s="244" t="s">
        <v>7277</v>
      </c>
      <c r="AD292" s="244"/>
      <c r="AE292" s="244"/>
      <c r="AF292" s="244"/>
      <c r="AG292" s="244"/>
      <c r="AH292" s="201"/>
      <c r="AJ292" s="201"/>
      <c r="AK292" s="201"/>
      <c r="AL292" s="201"/>
      <c r="AM292" s="201"/>
      <c r="AN292" s="201"/>
      <c r="AO292" s="201"/>
      <c r="AP292" s="201"/>
      <c r="AW292" s="215" t="s">
        <v>7274</v>
      </c>
      <c r="AX292" s="216"/>
      <c r="AY292" s="216"/>
      <c r="AZ292" s="216"/>
      <c r="BA292" s="216"/>
      <c r="BB292" s="216" t="s">
        <v>7275</v>
      </c>
      <c r="BC292" s="216"/>
      <c r="BD292" s="216"/>
      <c r="BE292" s="216"/>
      <c r="BF292" s="216"/>
      <c r="BG292" s="216"/>
      <c r="BH292" s="216"/>
      <c r="BI292" s="216"/>
      <c r="BJ292" s="216"/>
      <c r="BK292" s="216"/>
      <c r="BL292" s="216"/>
      <c r="BM292" s="216"/>
      <c r="BN292" s="216"/>
      <c r="BO292" s="216"/>
      <c r="BP292" s="216"/>
      <c r="BQ292" s="216"/>
      <c r="BR292" s="216"/>
      <c r="BS292" s="216"/>
      <c r="BT292" s="216"/>
      <c r="BU292" s="216"/>
      <c r="BV292" s="216"/>
      <c r="BW292" s="217"/>
    </row>
    <row r="293" spans="8:8" ht="16.5">
      <c r="A293" s="201"/>
      <c r="S293" s="201"/>
      <c r="T293" s="201"/>
      <c r="U293" s="201"/>
      <c r="V293" s="201"/>
      <c r="W293" s="201"/>
      <c r="X293" s="244" t="s">
        <v>7280</v>
      </c>
      <c r="Y293" s="244"/>
      <c r="Z293" s="244"/>
      <c r="AA293" s="244"/>
      <c r="AB293" s="244"/>
      <c r="AC293" s="244" t="s">
        <v>7281</v>
      </c>
      <c r="AD293" s="244"/>
      <c r="AE293" s="244"/>
      <c r="AF293" s="244"/>
      <c r="AG293" s="244"/>
      <c r="AH293" s="201"/>
      <c r="AJ293" s="201"/>
      <c r="AK293" s="201"/>
      <c r="AL293" s="201"/>
      <c r="AM293" s="201"/>
      <c r="AN293" s="201"/>
      <c r="AO293" s="201"/>
      <c r="AP293" s="201"/>
      <c r="AW293" s="215" t="s">
        <v>7278</v>
      </c>
      <c r="AX293" s="216"/>
      <c r="AY293" s="216"/>
      <c r="AZ293" s="216"/>
      <c r="BA293" s="216"/>
      <c r="BB293" s="216" t="s">
        <v>7279</v>
      </c>
      <c r="BC293" s="216"/>
      <c r="BD293" s="216"/>
      <c r="BE293" s="216"/>
      <c r="BF293" s="216"/>
      <c r="BG293" s="216"/>
      <c r="BH293" s="216"/>
      <c r="BI293" s="216"/>
      <c r="BJ293" s="216"/>
      <c r="BK293" s="216"/>
      <c r="BL293" s="216"/>
      <c r="BM293" s="216"/>
      <c r="BN293" s="216"/>
      <c r="BO293" s="216"/>
      <c r="BP293" s="216"/>
      <c r="BQ293" s="216"/>
      <c r="BR293" s="216"/>
      <c r="BS293" s="216"/>
      <c r="BT293" s="216"/>
      <c r="BU293" s="216"/>
      <c r="BV293" s="216"/>
      <c r="BW293" s="217"/>
    </row>
    <row r="294" spans="8:8" ht="16.5">
      <c r="A294" s="201"/>
      <c r="S294" s="201"/>
      <c r="T294" s="201"/>
      <c r="U294" s="201"/>
      <c r="V294" s="201"/>
      <c r="W294" s="201"/>
      <c r="X294" s="244" t="s">
        <v>7284</v>
      </c>
      <c r="Y294" s="244"/>
      <c r="Z294" s="244"/>
      <c r="AA294" s="244"/>
      <c r="AB294" s="244"/>
      <c r="AC294" s="244" t="s">
        <v>7285</v>
      </c>
      <c r="AD294" s="244"/>
      <c r="AE294" s="244"/>
      <c r="AF294" s="244"/>
      <c r="AG294" s="244"/>
      <c r="AH294" s="201"/>
      <c r="AJ294" s="201"/>
      <c r="AK294" s="201"/>
      <c r="AL294" s="201"/>
      <c r="AM294" s="201"/>
      <c r="AN294" s="201"/>
      <c r="AO294" s="201"/>
      <c r="AP294" s="201"/>
      <c r="AW294" s="215" t="s">
        <v>7282</v>
      </c>
      <c r="AX294" s="216"/>
      <c r="AY294" s="216"/>
      <c r="AZ294" s="216"/>
      <c r="BA294" s="216"/>
      <c r="BB294" s="216" t="s">
        <v>7283</v>
      </c>
      <c r="BC294" s="216"/>
      <c r="BD294" s="216"/>
      <c r="BE294" s="216"/>
      <c r="BF294" s="216"/>
      <c r="BG294" s="216"/>
      <c r="BH294" s="216"/>
      <c r="BI294" s="216"/>
      <c r="BJ294" s="216"/>
      <c r="BK294" s="216"/>
      <c r="BL294" s="216"/>
      <c r="BM294" s="216"/>
      <c r="BN294" s="216"/>
      <c r="BO294" s="216"/>
      <c r="BP294" s="216"/>
      <c r="BQ294" s="216"/>
      <c r="BR294" s="216"/>
      <c r="BS294" s="216"/>
      <c r="BT294" s="216"/>
      <c r="BU294" s="216"/>
      <c r="BV294" s="216"/>
      <c r="BW294" s="217"/>
    </row>
    <row r="295" spans="8:8" ht="16.5">
      <c r="A295" s="201"/>
      <c r="S295" s="201"/>
      <c r="T295" s="201"/>
      <c r="U295" s="201"/>
      <c r="V295" s="201"/>
      <c r="W295" s="201"/>
      <c r="X295" s="244" t="s">
        <v>7287</v>
      </c>
      <c r="Y295" s="244"/>
      <c r="Z295" s="244"/>
      <c r="AA295" s="244"/>
      <c r="AB295" s="244"/>
      <c r="AC295" s="244" t="s">
        <v>7288</v>
      </c>
      <c r="AD295" s="244"/>
      <c r="AE295" s="244"/>
      <c r="AF295" s="244"/>
      <c r="AG295" s="244"/>
      <c r="AH295" s="201"/>
      <c r="AJ295" s="201"/>
      <c r="AK295" s="201"/>
      <c r="AL295" s="201"/>
      <c r="AM295" s="201"/>
      <c r="AN295" s="201"/>
      <c r="AO295" s="201"/>
      <c r="AP295" s="201"/>
      <c r="AW295" s="215" t="s">
        <v>7286</v>
      </c>
      <c r="AX295" s="216"/>
      <c r="AY295" s="216"/>
      <c r="AZ295" s="216"/>
      <c r="BA295" s="216"/>
      <c r="BB295" s="216" t="s">
        <v>6256</v>
      </c>
      <c r="BC295" s="216"/>
      <c r="BD295" s="216"/>
      <c r="BE295" s="216"/>
      <c r="BF295" s="216"/>
      <c r="BG295" s="216"/>
      <c r="BH295" s="216"/>
      <c r="BI295" s="216"/>
      <c r="BJ295" s="216"/>
      <c r="BK295" s="216"/>
      <c r="BL295" s="216"/>
      <c r="BM295" s="216"/>
      <c r="BN295" s="216"/>
      <c r="BO295" s="216"/>
      <c r="BP295" s="216"/>
      <c r="BQ295" s="216"/>
      <c r="BR295" s="216"/>
      <c r="BS295" s="216"/>
      <c r="BT295" s="216"/>
      <c r="BU295" s="216"/>
      <c r="BV295" s="216"/>
      <c r="BW295" s="217"/>
    </row>
    <row r="296" spans="8:8" ht="16.5">
      <c r="A296" s="201"/>
      <c r="S296" s="201"/>
      <c r="T296" s="201"/>
      <c r="U296" s="201"/>
      <c r="V296" s="201"/>
      <c r="W296" s="201"/>
      <c r="X296" s="244" t="s">
        <v>7290</v>
      </c>
      <c r="Y296" s="244"/>
      <c r="Z296" s="244"/>
      <c r="AA296" s="244"/>
      <c r="AB296" s="244"/>
      <c r="AC296" s="244" t="s">
        <v>7291</v>
      </c>
      <c r="AD296" s="244"/>
      <c r="AE296" s="244"/>
      <c r="AF296" s="244"/>
      <c r="AG296" s="244"/>
      <c r="AH296" s="201"/>
      <c r="AJ296" s="201"/>
      <c r="AK296" s="201"/>
      <c r="AL296" s="201"/>
      <c r="AM296" s="201"/>
      <c r="AN296" s="201"/>
      <c r="AO296" s="201"/>
      <c r="AP296" s="201"/>
      <c r="AW296" s="215" t="s">
        <v>7289</v>
      </c>
      <c r="AX296" s="216"/>
      <c r="AY296" s="216"/>
      <c r="AZ296" s="216"/>
      <c r="BA296" s="216"/>
      <c r="BB296" s="216" t="s">
        <v>4844</v>
      </c>
      <c r="BC296" s="216"/>
      <c r="BD296" s="216"/>
      <c r="BE296" s="216"/>
      <c r="BF296" s="216"/>
      <c r="BG296" s="216"/>
      <c r="BH296" s="216"/>
      <c r="BI296" s="216"/>
      <c r="BJ296" s="216"/>
      <c r="BK296" s="216"/>
      <c r="BL296" s="216"/>
      <c r="BM296" s="216"/>
      <c r="BN296" s="216"/>
      <c r="BO296" s="216"/>
      <c r="BP296" s="216"/>
      <c r="BQ296" s="216"/>
      <c r="BR296" s="216"/>
      <c r="BS296" s="216"/>
      <c r="BT296" s="216"/>
      <c r="BU296" s="216"/>
      <c r="BV296" s="216"/>
      <c r="BW296" s="217"/>
    </row>
    <row r="297" spans="8:8" ht="16.5">
      <c r="A297" s="201"/>
      <c r="S297" s="201"/>
      <c r="T297" s="201"/>
      <c r="U297" s="201"/>
      <c r="V297" s="201"/>
      <c r="W297" s="201"/>
      <c r="X297" s="244" t="s">
        <v>7294</v>
      </c>
      <c r="Y297" s="244"/>
      <c r="Z297" s="244"/>
      <c r="AA297" s="244"/>
      <c r="AB297" s="244"/>
      <c r="AC297" s="244" t="s">
        <v>7295</v>
      </c>
      <c r="AD297" s="244"/>
      <c r="AE297" s="244"/>
      <c r="AF297" s="244"/>
      <c r="AG297" s="244"/>
      <c r="AH297" s="201"/>
      <c r="AJ297" s="201"/>
      <c r="AK297" s="201"/>
      <c r="AL297" s="201"/>
      <c r="AM297" s="201"/>
      <c r="AN297" s="201"/>
      <c r="AO297" s="201"/>
      <c r="AP297" s="201"/>
      <c r="AW297" s="215" t="s">
        <v>7292</v>
      </c>
      <c r="AX297" s="216"/>
      <c r="AY297" s="216"/>
      <c r="AZ297" s="216"/>
      <c r="BA297" s="216"/>
      <c r="BB297" s="216" t="s">
        <v>7293</v>
      </c>
      <c r="BC297" s="216"/>
      <c r="BD297" s="216"/>
      <c r="BE297" s="216"/>
      <c r="BF297" s="216"/>
      <c r="BG297" s="216"/>
      <c r="BH297" s="216"/>
      <c r="BI297" s="216"/>
      <c r="BJ297" s="216"/>
      <c r="BK297" s="216"/>
      <c r="BL297" s="216"/>
      <c r="BM297" s="216"/>
      <c r="BN297" s="216"/>
      <c r="BO297" s="216"/>
      <c r="BP297" s="216"/>
      <c r="BQ297" s="216"/>
      <c r="BR297" s="216"/>
      <c r="BS297" s="216"/>
      <c r="BT297" s="216"/>
      <c r="BU297" s="216"/>
      <c r="BV297" s="216"/>
      <c r="BW297" s="217"/>
    </row>
    <row r="298" spans="8:8" ht="16.5">
      <c r="A298" s="201"/>
      <c r="L298" s="282"/>
      <c r="M298" s="282"/>
      <c r="N298" s="282"/>
      <c r="O298" s="282"/>
      <c r="P298" s="282"/>
      <c r="Q298" s="282"/>
      <c r="R298" s="282"/>
      <c r="S298" s="201"/>
      <c r="T298" s="201"/>
      <c r="U298" s="201"/>
      <c r="V298" s="201"/>
      <c r="W298" s="201"/>
      <c r="X298" s="244" t="s">
        <v>7298</v>
      </c>
      <c r="Y298" s="244"/>
      <c r="Z298" s="244"/>
      <c r="AA298" s="244"/>
      <c r="AB298" s="244"/>
      <c r="AC298" s="244" t="s">
        <v>7299</v>
      </c>
      <c r="AD298" s="244"/>
      <c r="AE298" s="244"/>
      <c r="AF298" s="244"/>
      <c r="AG298" s="244"/>
      <c r="AH298" s="201"/>
      <c r="AJ298" s="201"/>
      <c r="AK298" s="201"/>
      <c r="AL298" s="201"/>
      <c r="AM298" s="201"/>
      <c r="AN298" s="201"/>
      <c r="AO298" s="201"/>
      <c r="AP298" s="201"/>
      <c r="AW298" s="215" t="s">
        <v>7296</v>
      </c>
      <c r="AX298" s="216"/>
      <c r="AY298" s="216"/>
      <c r="AZ298" s="216"/>
      <c r="BA298" s="216"/>
      <c r="BB298" s="216" t="s">
        <v>7297</v>
      </c>
      <c r="BC298" s="216"/>
      <c r="BD298" s="216"/>
      <c r="BE298" s="216"/>
      <c r="BF298" s="216"/>
      <c r="BG298" s="216"/>
      <c r="BH298" s="216"/>
      <c r="BI298" s="216"/>
      <c r="BJ298" s="216"/>
      <c r="BK298" s="216"/>
      <c r="BL298" s="216"/>
      <c r="BM298" s="216"/>
      <c r="BN298" s="216"/>
      <c r="BO298" s="216"/>
      <c r="BP298" s="216"/>
      <c r="BQ298" s="216"/>
      <c r="BR298" s="216"/>
      <c r="BS298" s="216"/>
      <c r="BT298" s="216"/>
      <c r="BU298" s="216"/>
      <c r="BV298" s="216"/>
      <c r="BW298" s="217"/>
    </row>
    <row r="299" spans="8:8" ht="16.5">
      <c r="A299" s="201"/>
      <c r="L299" s="201"/>
      <c r="M299" s="201"/>
      <c r="N299" s="201"/>
      <c r="O299" s="201"/>
      <c r="P299" s="201"/>
      <c r="Q299" s="201"/>
      <c r="R299" s="201"/>
      <c r="S299" s="201"/>
      <c r="T299" s="201"/>
      <c r="U299" s="201"/>
      <c r="V299" s="201"/>
      <c r="W299" s="201"/>
      <c r="X299" s="244" t="s">
        <v>7302</v>
      </c>
      <c r="Y299" s="244"/>
      <c r="Z299" s="244"/>
      <c r="AA299" s="244"/>
      <c r="AB299" s="244"/>
      <c r="AC299" s="244" t="s">
        <v>7303</v>
      </c>
      <c r="AD299" s="244"/>
      <c r="AE299" s="244"/>
      <c r="AF299" s="244"/>
      <c r="AG299" s="244"/>
      <c r="AH299" s="201"/>
      <c r="AJ299" s="201"/>
      <c r="AK299" s="201"/>
      <c r="AL299" s="201"/>
      <c r="AM299" s="201"/>
      <c r="AN299" s="201"/>
      <c r="AO299" s="201"/>
      <c r="AP299" s="201"/>
      <c r="AW299" s="215" t="s">
        <v>7300</v>
      </c>
      <c r="AX299" s="216"/>
      <c r="AY299" s="216"/>
      <c r="AZ299" s="216"/>
      <c r="BA299" s="216"/>
      <c r="BB299" s="216" t="s">
        <v>7301</v>
      </c>
      <c r="BC299" s="216"/>
      <c r="BD299" s="216"/>
      <c r="BE299" s="216"/>
      <c r="BF299" s="216"/>
      <c r="BG299" s="216"/>
      <c r="BH299" s="216"/>
      <c r="BI299" s="216"/>
      <c r="BJ299" s="216"/>
      <c r="BK299" s="216"/>
      <c r="BL299" s="216"/>
      <c r="BM299" s="216"/>
      <c r="BN299" s="216"/>
      <c r="BO299" s="216"/>
      <c r="BP299" s="216"/>
      <c r="BQ299" s="216"/>
      <c r="BR299" s="216"/>
      <c r="BS299" s="216"/>
      <c r="BT299" s="216"/>
      <c r="BU299" s="216"/>
      <c r="BV299" s="216"/>
      <c r="BW299" s="217"/>
    </row>
    <row r="300" spans="8:8" ht="16.5">
      <c r="A300" s="201"/>
      <c r="L300" s="201"/>
      <c r="M300" s="201"/>
      <c r="N300" s="201"/>
      <c r="O300" s="201"/>
      <c r="P300" s="201"/>
      <c r="Q300" s="201"/>
      <c r="R300" s="201"/>
      <c r="S300" s="201"/>
      <c r="T300" s="201"/>
      <c r="U300" s="201"/>
      <c r="V300" s="201"/>
      <c r="W300" s="201"/>
      <c r="X300" s="244" t="s">
        <v>7306</v>
      </c>
      <c r="Y300" s="244"/>
      <c r="Z300" s="244"/>
      <c r="AA300" s="244"/>
      <c r="AB300" s="244"/>
      <c r="AC300" s="244" t="s">
        <v>7307</v>
      </c>
      <c r="AD300" s="244"/>
      <c r="AE300" s="244"/>
      <c r="AF300" s="244"/>
      <c r="AG300" s="244"/>
      <c r="AH300" s="201"/>
      <c r="AJ300" s="201"/>
      <c r="AK300" s="201"/>
      <c r="AL300" s="201"/>
      <c r="AM300" s="201"/>
      <c r="AN300" s="201"/>
      <c r="AO300" s="201"/>
      <c r="AP300" s="201"/>
      <c r="AW300" s="215" t="s">
        <v>7304</v>
      </c>
      <c r="AX300" s="216"/>
      <c r="AY300" s="216"/>
      <c r="AZ300" s="216"/>
      <c r="BA300" s="216"/>
      <c r="BB300" s="216" t="s">
        <v>7305</v>
      </c>
      <c r="BC300" s="216"/>
      <c r="BD300" s="216"/>
      <c r="BE300" s="216"/>
      <c r="BF300" s="216"/>
      <c r="BG300" s="216"/>
      <c r="BH300" s="216"/>
      <c r="BI300" s="216"/>
      <c r="BJ300" s="216"/>
      <c r="BK300" s="216"/>
      <c r="BL300" s="216"/>
      <c r="BM300" s="216"/>
      <c r="BN300" s="216"/>
      <c r="BO300" s="216"/>
      <c r="BP300" s="216"/>
      <c r="BQ300" s="216"/>
      <c r="BR300" s="216"/>
      <c r="BS300" s="216"/>
      <c r="BT300" s="216"/>
      <c r="BU300" s="216"/>
      <c r="BV300" s="216"/>
      <c r="BW300" s="217"/>
    </row>
    <row r="301" spans="8:8" ht="16.5">
      <c r="A301" s="201"/>
      <c r="L301" s="201"/>
      <c r="M301" s="201"/>
      <c r="N301" s="201"/>
      <c r="O301" s="201"/>
      <c r="P301" s="201"/>
      <c r="Q301" s="201"/>
      <c r="R301" s="201"/>
      <c r="S301" s="201"/>
      <c r="T301" s="201"/>
      <c r="U301" s="201"/>
      <c r="V301" s="201"/>
      <c r="W301" s="201"/>
      <c r="X301" s="244" t="s">
        <v>7310</v>
      </c>
      <c r="Y301" s="244"/>
      <c r="Z301" s="244"/>
      <c r="AA301" s="244"/>
      <c r="AB301" s="244"/>
      <c r="AC301" s="244" t="s">
        <v>7311</v>
      </c>
      <c r="AD301" s="244"/>
      <c r="AE301" s="244"/>
      <c r="AF301" s="244"/>
      <c r="AG301" s="244"/>
      <c r="AH301" s="201"/>
      <c r="AJ301" s="201"/>
      <c r="AK301" s="201"/>
      <c r="AL301" s="201"/>
      <c r="AM301" s="201"/>
      <c r="AN301" s="201"/>
      <c r="AO301" s="201"/>
      <c r="AP301" s="201"/>
      <c r="AW301" s="215" t="s">
        <v>7308</v>
      </c>
      <c r="AX301" s="216"/>
      <c r="AY301" s="216"/>
      <c r="AZ301" s="216"/>
      <c r="BA301" s="216"/>
      <c r="BB301" s="216" t="s">
        <v>7309</v>
      </c>
      <c r="BC301" s="216"/>
      <c r="BD301" s="216"/>
      <c r="BE301" s="216"/>
      <c r="BF301" s="216"/>
      <c r="BG301" s="216"/>
      <c r="BH301" s="216"/>
      <c r="BI301" s="216"/>
      <c r="BJ301" s="216"/>
      <c r="BK301" s="216"/>
      <c r="BL301" s="216"/>
      <c r="BM301" s="216"/>
      <c r="BN301" s="216"/>
      <c r="BO301" s="216"/>
      <c r="BP301" s="216"/>
      <c r="BQ301" s="216"/>
      <c r="BR301" s="216"/>
      <c r="BS301" s="216"/>
      <c r="BT301" s="216"/>
      <c r="BU301" s="216"/>
      <c r="BV301" s="216"/>
      <c r="BW301" s="217"/>
    </row>
    <row r="302" spans="8:8" ht="16.5">
      <c r="A302" s="201"/>
      <c r="L302" s="201"/>
      <c r="M302" s="201"/>
      <c r="N302" s="201"/>
      <c r="O302" s="201"/>
      <c r="P302" s="201"/>
      <c r="Q302" s="201"/>
      <c r="R302" s="201"/>
      <c r="S302" s="201"/>
      <c r="T302" s="201"/>
      <c r="U302" s="201"/>
      <c r="V302" s="201"/>
      <c r="W302" s="201"/>
      <c r="X302" s="244" t="s">
        <v>7314</v>
      </c>
      <c r="Y302" s="244"/>
      <c r="Z302" s="244"/>
      <c r="AA302" s="244"/>
      <c r="AB302" s="244"/>
      <c r="AC302" s="244" t="s">
        <v>7315</v>
      </c>
      <c r="AD302" s="244"/>
      <c r="AE302" s="244"/>
      <c r="AF302" s="244"/>
      <c r="AG302" s="244"/>
      <c r="AH302" s="201"/>
      <c r="AJ302" s="201"/>
      <c r="AK302" s="201"/>
      <c r="AL302" s="201"/>
      <c r="AM302" s="201"/>
      <c r="AN302" s="201"/>
      <c r="AO302" s="201"/>
      <c r="AP302" s="201"/>
      <c r="AW302" s="215" t="s">
        <v>7312</v>
      </c>
      <c r="AX302" s="216"/>
      <c r="AY302" s="216"/>
      <c r="AZ302" s="216"/>
      <c r="BA302" s="216"/>
      <c r="BB302" s="216" t="s">
        <v>7313</v>
      </c>
      <c r="BC302" s="216"/>
      <c r="BD302" s="216"/>
      <c r="BE302" s="216"/>
      <c r="BF302" s="216"/>
      <c r="BG302" s="216"/>
      <c r="BH302" s="216"/>
      <c r="BI302" s="216"/>
      <c r="BJ302" s="216"/>
      <c r="BK302" s="216"/>
      <c r="BL302" s="216"/>
      <c r="BM302" s="216"/>
      <c r="BN302" s="216"/>
      <c r="BO302" s="216"/>
      <c r="BP302" s="216"/>
      <c r="BQ302" s="216"/>
      <c r="BR302" s="216"/>
      <c r="BS302" s="216"/>
      <c r="BT302" s="216"/>
      <c r="BU302" s="216"/>
      <c r="BV302" s="216"/>
      <c r="BW302" s="217"/>
    </row>
    <row r="303" spans="8:8" ht="16.5">
      <c r="A303" s="201"/>
      <c r="L303" s="201"/>
      <c r="M303" s="201"/>
      <c r="N303" s="201"/>
      <c r="O303" s="201"/>
      <c r="P303" s="201"/>
      <c r="Q303" s="201"/>
      <c r="R303" s="201"/>
      <c r="S303" s="201"/>
      <c r="T303" s="201"/>
      <c r="U303" s="201"/>
      <c r="V303" s="201"/>
      <c r="W303" s="201"/>
      <c r="X303" s="242" t="s">
        <v>7318</v>
      </c>
      <c r="Y303" s="242"/>
      <c r="Z303" s="242"/>
      <c r="AA303" s="242"/>
      <c r="AB303" s="242"/>
      <c r="AC303" s="242"/>
      <c r="AD303" s="242"/>
      <c r="AE303" s="242"/>
      <c r="AF303" s="242"/>
      <c r="AG303" s="242"/>
      <c r="AH303" s="201"/>
      <c r="AJ303" s="201"/>
      <c r="AK303" s="201"/>
      <c r="AL303" s="201"/>
      <c r="AM303" s="201"/>
      <c r="AN303" s="201"/>
      <c r="AO303" s="201"/>
      <c r="AP303" s="201"/>
      <c r="AW303" s="215" t="s">
        <v>7316</v>
      </c>
      <c r="AX303" s="216"/>
      <c r="AY303" s="216"/>
      <c r="AZ303" s="216"/>
      <c r="BA303" s="216"/>
      <c r="BB303" s="216" t="s">
        <v>7317</v>
      </c>
      <c r="BC303" s="216"/>
      <c r="BD303" s="216"/>
      <c r="BE303" s="216"/>
      <c r="BF303" s="216"/>
      <c r="BG303" s="216"/>
      <c r="BH303" s="216"/>
      <c r="BI303" s="216"/>
      <c r="BJ303" s="216"/>
      <c r="BK303" s="216"/>
      <c r="BL303" s="216"/>
      <c r="BM303" s="216"/>
      <c r="BN303" s="216"/>
      <c r="BO303" s="216"/>
      <c r="BP303" s="216"/>
      <c r="BQ303" s="216"/>
      <c r="BR303" s="216"/>
      <c r="BS303" s="216"/>
      <c r="BT303" s="216"/>
      <c r="BU303" s="216"/>
      <c r="BV303" s="216"/>
      <c r="BW303" s="217"/>
    </row>
    <row r="304" spans="8:8" ht="18.0">
      <c r="A304" s="201"/>
      <c r="L304" s="201"/>
      <c r="M304" s="201"/>
      <c r="N304" s="201"/>
      <c r="O304" s="201"/>
      <c r="P304" s="201"/>
      <c r="Q304" s="201"/>
      <c r="R304" s="201"/>
      <c r="S304" s="201"/>
      <c r="T304" s="201"/>
      <c r="U304" s="201"/>
      <c r="V304" s="201"/>
      <c r="W304" s="201"/>
      <c r="X304" s="244" t="s">
        <v>7321</v>
      </c>
      <c r="Y304" s="244"/>
      <c r="Z304" s="244"/>
      <c r="AA304" s="244"/>
      <c r="AB304" s="244"/>
      <c r="AC304" s="244" t="s">
        <v>7322</v>
      </c>
      <c r="AD304" s="244"/>
      <c r="AE304" s="244"/>
      <c r="AF304" s="244"/>
      <c r="AG304" s="244"/>
      <c r="AH304" s="201"/>
      <c r="AJ304" s="201"/>
      <c r="AK304" s="201"/>
      <c r="AL304" s="201"/>
      <c r="AM304" s="201"/>
      <c r="AN304" s="201"/>
      <c r="AO304" s="201"/>
      <c r="AP304" s="201"/>
      <c r="AW304" s="215" t="s">
        <v>7319</v>
      </c>
      <c r="AX304" s="216"/>
      <c r="AY304" s="216"/>
      <c r="AZ304" s="216"/>
      <c r="BA304" s="216"/>
      <c r="BB304" s="216" t="s">
        <v>7320</v>
      </c>
      <c r="BC304" s="216"/>
      <c r="BD304" s="216"/>
      <c r="BE304" s="216"/>
      <c r="BF304" s="216"/>
      <c r="BG304" s="216"/>
      <c r="BH304" s="216"/>
      <c r="BI304" s="216"/>
      <c r="BJ304" s="216"/>
      <c r="BK304" s="216"/>
      <c r="BL304" s="216"/>
      <c r="BM304" s="216"/>
      <c r="BN304" s="216"/>
      <c r="BO304" s="216"/>
      <c r="BP304" s="216"/>
      <c r="BQ304" s="216"/>
      <c r="BR304" s="216"/>
      <c r="BS304" s="216"/>
      <c r="BT304" s="216"/>
      <c r="BU304" s="216"/>
      <c r="BV304" s="216"/>
      <c r="BW304" s="217"/>
    </row>
    <row r="305" spans="8:8" ht="16.5">
      <c r="A305" s="201"/>
      <c r="L305" s="201"/>
      <c r="M305" s="201"/>
      <c r="N305" s="201"/>
      <c r="O305" s="201"/>
      <c r="P305" s="201"/>
      <c r="Q305" s="201"/>
      <c r="R305" s="201"/>
      <c r="S305" s="201"/>
      <c r="T305" s="201"/>
      <c r="U305" s="201"/>
      <c r="V305" s="201"/>
      <c r="W305" s="201"/>
      <c r="X305" s="242" t="s">
        <v>7325</v>
      </c>
      <c r="Y305" s="242"/>
      <c r="Z305" s="242"/>
      <c r="AA305" s="242"/>
      <c r="AB305" s="242"/>
      <c r="AC305" s="242"/>
      <c r="AD305" s="242"/>
      <c r="AE305" s="242"/>
      <c r="AF305" s="242"/>
      <c r="AG305" s="242"/>
      <c r="AH305" s="201"/>
      <c r="AJ305" s="201"/>
      <c r="AK305" s="201"/>
      <c r="AL305" s="201"/>
      <c r="AM305" s="201"/>
      <c r="AN305" s="201"/>
      <c r="AO305" s="201"/>
      <c r="AP305" s="201"/>
      <c r="AW305" s="215" t="s">
        <v>7323</v>
      </c>
      <c r="AX305" s="216"/>
      <c r="AY305" s="216"/>
      <c r="AZ305" s="216"/>
      <c r="BA305" s="216"/>
      <c r="BB305" s="216" t="s">
        <v>7324</v>
      </c>
      <c r="BC305" s="216"/>
      <c r="BD305" s="216"/>
      <c r="BE305" s="216"/>
      <c r="BF305" s="216"/>
      <c r="BG305" s="216"/>
      <c r="BH305" s="216"/>
      <c r="BI305" s="216"/>
      <c r="BJ305" s="216"/>
      <c r="BK305" s="216"/>
      <c r="BL305" s="216"/>
      <c r="BM305" s="216"/>
      <c r="BN305" s="216"/>
      <c r="BO305" s="216"/>
      <c r="BP305" s="216"/>
      <c r="BQ305" s="216"/>
      <c r="BR305" s="216"/>
      <c r="BS305" s="216"/>
      <c r="BT305" s="216"/>
      <c r="BU305" s="216"/>
      <c r="BV305" s="216"/>
      <c r="BW305" s="217"/>
    </row>
    <row r="306" spans="8:8" ht="18.0">
      <c r="A306" s="201"/>
      <c r="L306" s="201"/>
      <c r="M306" s="201"/>
      <c r="N306" s="201"/>
      <c r="O306" s="201"/>
      <c r="P306" s="201"/>
      <c r="Q306" s="201"/>
      <c r="R306" s="201"/>
      <c r="S306" s="201"/>
      <c r="T306" s="201"/>
      <c r="U306" s="201"/>
      <c r="V306" s="201"/>
      <c r="W306" s="201"/>
      <c r="X306" s="244" t="s">
        <v>7328</v>
      </c>
      <c r="Y306" s="244"/>
      <c r="Z306" s="244"/>
      <c r="AA306" s="244"/>
      <c r="AB306" s="244"/>
      <c r="AC306" s="244" t="s">
        <v>7329</v>
      </c>
      <c r="AD306" s="244"/>
      <c r="AE306" s="244"/>
      <c r="AF306" s="244"/>
      <c r="AG306" s="244"/>
      <c r="AH306" s="201"/>
      <c r="AJ306" s="201"/>
      <c r="AK306" s="201"/>
      <c r="AL306" s="201"/>
      <c r="AM306" s="201"/>
      <c r="AN306" s="201"/>
      <c r="AO306" s="201"/>
      <c r="AP306" s="201"/>
      <c r="AW306" s="215" t="s">
        <v>7326</v>
      </c>
      <c r="AX306" s="216"/>
      <c r="AY306" s="216"/>
      <c r="AZ306" s="216"/>
      <c r="BA306" s="216"/>
      <c r="BB306" s="216" t="s">
        <v>7327</v>
      </c>
      <c r="BC306" s="216"/>
      <c r="BD306" s="216"/>
      <c r="BE306" s="216"/>
      <c r="BF306" s="216"/>
      <c r="BG306" s="216"/>
      <c r="BH306" s="216"/>
      <c r="BI306" s="216"/>
      <c r="BJ306" s="216"/>
      <c r="BK306" s="216"/>
      <c r="BL306" s="216"/>
      <c r="BM306" s="216"/>
      <c r="BN306" s="216"/>
      <c r="BO306" s="216"/>
      <c r="BP306" s="216"/>
      <c r="BQ306" s="216"/>
      <c r="BR306" s="216"/>
      <c r="BS306" s="216"/>
      <c r="BT306" s="216"/>
      <c r="BU306" s="216"/>
      <c r="BV306" s="216"/>
      <c r="BW306" s="217"/>
    </row>
    <row r="307" spans="8:8" ht="16.5">
      <c r="A307" s="201"/>
      <c r="L307" s="201"/>
      <c r="M307" s="201"/>
      <c r="N307" s="201"/>
      <c r="O307" s="201"/>
      <c r="P307" s="201"/>
      <c r="Q307" s="201"/>
      <c r="R307" s="201"/>
      <c r="S307" s="201"/>
      <c r="T307" s="201"/>
      <c r="U307" s="201"/>
      <c r="V307" s="201"/>
      <c r="W307" s="201"/>
      <c r="X307" s="244" t="s">
        <v>7331</v>
      </c>
      <c r="Y307" s="244"/>
      <c r="Z307" s="244"/>
      <c r="AA307" s="244"/>
      <c r="AB307" s="244"/>
      <c r="AC307" s="244" t="s">
        <v>7332</v>
      </c>
      <c r="AD307" s="244"/>
      <c r="AE307" s="244"/>
      <c r="AF307" s="244"/>
      <c r="AG307" s="244"/>
      <c r="AH307" s="201"/>
      <c r="AJ307" s="201"/>
      <c r="AK307" s="201"/>
      <c r="AL307" s="201"/>
      <c r="AM307" s="201"/>
      <c r="AN307" s="201"/>
      <c r="AO307" s="201"/>
      <c r="AP307" s="201"/>
      <c r="AW307" s="215" t="s">
        <v>7330</v>
      </c>
      <c r="AX307" s="216"/>
      <c r="AY307" s="216"/>
      <c r="AZ307" s="216"/>
      <c r="BA307" s="216"/>
      <c r="BB307" s="216" t="s">
        <v>4392</v>
      </c>
      <c r="BC307" s="216"/>
      <c r="BD307" s="216"/>
      <c r="BE307" s="216"/>
      <c r="BF307" s="216"/>
      <c r="BG307" s="216"/>
      <c r="BH307" s="216"/>
      <c r="BI307" s="216"/>
      <c r="BJ307" s="216"/>
      <c r="BK307" s="216"/>
      <c r="BL307" s="216"/>
      <c r="BM307" s="216"/>
      <c r="BN307" s="216"/>
      <c r="BO307" s="216"/>
      <c r="BP307" s="216"/>
      <c r="BQ307" s="216"/>
      <c r="BR307" s="216"/>
      <c r="BS307" s="216"/>
      <c r="BT307" s="216"/>
      <c r="BU307" s="216"/>
      <c r="BV307" s="216"/>
      <c r="BW307" s="217"/>
    </row>
    <row r="308" spans="8:8" ht="16.5">
      <c r="A308" s="201"/>
      <c r="L308" s="201"/>
      <c r="M308" s="201"/>
      <c r="N308" s="201"/>
      <c r="O308" s="201"/>
      <c r="P308" s="201"/>
      <c r="Q308" s="201"/>
      <c r="R308" s="201"/>
      <c r="S308" s="201"/>
      <c r="T308" s="201"/>
      <c r="U308" s="201"/>
      <c r="V308" s="201"/>
      <c r="W308" s="201"/>
      <c r="X308" s="244" t="s">
        <v>7335</v>
      </c>
      <c r="Y308" s="244"/>
      <c r="Z308" s="244"/>
      <c r="AA308" s="244"/>
      <c r="AB308" s="244"/>
      <c r="AC308" s="244" t="s">
        <v>7336</v>
      </c>
      <c r="AD308" s="244"/>
      <c r="AE308" s="244"/>
      <c r="AF308" s="244"/>
      <c r="AG308" s="244"/>
      <c r="AH308" s="201"/>
      <c r="AJ308" s="201"/>
      <c r="AK308" s="201"/>
      <c r="AL308" s="201"/>
      <c r="AM308" s="201"/>
      <c r="AN308" s="201"/>
      <c r="AO308" s="201"/>
      <c r="AP308" s="201"/>
      <c r="AW308" s="215" t="s">
        <v>7333</v>
      </c>
      <c r="AX308" s="216"/>
      <c r="AY308" s="216"/>
      <c r="AZ308" s="216"/>
      <c r="BA308" s="216"/>
      <c r="BB308" s="216" t="s">
        <v>7334</v>
      </c>
      <c r="BC308" s="216"/>
      <c r="BD308" s="216"/>
      <c r="BE308" s="216"/>
      <c r="BF308" s="216"/>
      <c r="BG308" s="216"/>
      <c r="BH308" s="216"/>
      <c r="BI308" s="216"/>
      <c r="BJ308" s="216"/>
      <c r="BK308" s="216"/>
      <c r="BL308" s="216"/>
      <c r="BM308" s="216"/>
      <c r="BN308" s="216"/>
      <c r="BO308" s="216"/>
      <c r="BP308" s="216"/>
      <c r="BQ308" s="216"/>
      <c r="BR308" s="216"/>
      <c r="BS308" s="216"/>
      <c r="BT308" s="216"/>
      <c r="BU308" s="216"/>
      <c r="BV308" s="216"/>
      <c r="BW308" s="217"/>
    </row>
    <row r="309" spans="8:8" ht="16.5">
      <c r="A309" s="201"/>
      <c r="L309" s="201"/>
      <c r="M309" s="201"/>
      <c r="N309" s="201"/>
      <c r="O309" s="201"/>
      <c r="P309" s="201"/>
      <c r="Q309" s="201"/>
      <c r="R309" s="201"/>
      <c r="S309" s="201"/>
      <c r="T309" s="201"/>
      <c r="U309" s="201"/>
      <c r="V309" s="201"/>
      <c r="W309" s="201"/>
      <c r="X309" s="244" t="s">
        <v>7339</v>
      </c>
      <c r="Y309" s="244"/>
      <c r="Z309" s="244"/>
      <c r="AA309" s="244"/>
      <c r="AB309" s="244"/>
      <c r="AC309" s="244" t="s">
        <v>7340</v>
      </c>
      <c r="AD309" s="244"/>
      <c r="AE309" s="244"/>
      <c r="AF309" s="244"/>
      <c r="AG309" s="244"/>
      <c r="AH309" s="201"/>
      <c r="AJ309" s="201"/>
      <c r="AK309" s="201"/>
      <c r="AL309" s="201"/>
      <c r="AM309" s="201"/>
      <c r="AN309" s="201"/>
      <c r="AO309" s="201"/>
      <c r="AP309" s="201"/>
      <c r="AW309" s="215" t="s">
        <v>7337</v>
      </c>
      <c r="AX309" s="216"/>
      <c r="AY309" s="216"/>
      <c r="AZ309" s="216"/>
      <c r="BA309" s="216"/>
      <c r="BB309" s="216" t="s">
        <v>7338</v>
      </c>
      <c r="BC309" s="216"/>
      <c r="BD309" s="216"/>
      <c r="BE309" s="216"/>
      <c r="BF309" s="216"/>
      <c r="BG309" s="216"/>
      <c r="BH309" s="216"/>
      <c r="BI309" s="216"/>
      <c r="BJ309" s="216"/>
      <c r="BK309" s="216"/>
      <c r="BL309" s="216"/>
      <c r="BM309" s="216"/>
      <c r="BN309" s="216"/>
      <c r="BO309" s="216"/>
      <c r="BP309" s="216"/>
      <c r="BQ309" s="216"/>
      <c r="BR309" s="216"/>
      <c r="BS309" s="216"/>
      <c r="BT309" s="216"/>
      <c r="BU309" s="216"/>
      <c r="BV309" s="216"/>
      <c r="BW309" s="217"/>
    </row>
    <row r="310" spans="8:8" ht="16.5">
      <c r="A310" s="201"/>
      <c r="L310" s="201"/>
      <c r="M310" s="201"/>
      <c r="N310" s="201"/>
      <c r="O310" s="201"/>
      <c r="P310" s="201"/>
      <c r="Q310" s="201"/>
      <c r="R310" s="201"/>
      <c r="S310" s="201"/>
      <c r="T310" s="201"/>
      <c r="U310" s="201"/>
      <c r="V310" s="201"/>
      <c r="W310" s="201"/>
      <c r="X310" s="244" t="s">
        <v>7343</v>
      </c>
      <c r="Y310" s="244"/>
      <c r="Z310" s="244"/>
      <c r="AA310" s="244"/>
      <c r="AB310" s="244"/>
      <c r="AC310" s="244" t="s">
        <v>7344</v>
      </c>
      <c r="AD310" s="244"/>
      <c r="AE310" s="244"/>
      <c r="AF310" s="244"/>
      <c r="AG310" s="244"/>
      <c r="AH310" s="201"/>
      <c r="AJ310" s="201"/>
      <c r="AK310" s="201"/>
      <c r="AL310" s="201"/>
      <c r="AM310" s="201"/>
      <c r="AN310" s="201"/>
      <c r="AO310" s="201"/>
      <c r="AP310" s="201"/>
      <c r="AW310" s="215" t="s">
        <v>7341</v>
      </c>
      <c r="AX310" s="216"/>
      <c r="AY310" s="216"/>
      <c r="AZ310" s="216"/>
      <c r="BA310" s="216"/>
      <c r="BB310" s="216" t="s">
        <v>7342</v>
      </c>
      <c r="BC310" s="216"/>
      <c r="BD310" s="216"/>
      <c r="BE310" s="216"/>
      <c r="BF310" s="216"/>
      <c r="BG310" s="216"/>
      <c r="BH310" s="216"/>
      <c r="BI310" s="216"/>
      <c r="BJ310" s="216"/>
      <c r="BK310" s="216"/>
      <c r="BL310" s="216"/>
      <c r="BM310" s="216"/>
      <c r="BN310" s="216"/>
      <c r="BO310" s="216"/>
      <c r="BP310" s="216"/>
      <c r="BQ310" s="216"/>
      <c r="BR310" s="216"/>
      <c r="BS310" s="216"/>
      <c r="BT310" s="216"/>
      <c r="BU310" s="216"/>
      <c r="BV310" s="216"/>
      <c r="BW310" s="217"/>
    </row>
    <row r="311" spans="8:8" ht="16.5">
      <c r="A311" s="201"/>
      <c r="L311" s="201"/>
      <c r="M311" s="201"/>
      <c r="N311" s="201"/>
      <c r="O311" s="201"/>
      <c r="P311" s="201"/>
      <c r="Q311" s="201"/>
      <c r="R311" s="201"/>
      <c r="S311" s="201"/>
      <c r="T311" s="201"/>
      <c r="U311" s="201"/>
      <c r="V311" s="201"/>
      <c r="W311" s="201"/>
      <c r="X311" s="244" t="s">
        <v>7346</v>
      </c>
      <c r="Y311" s="244"/>
      <c r="Z311" s="244"/>
      <c r="AA311" s="244"/>
      <c r="AB311" s="244"/>
      <c r="AC311" s="244" t="s">
        <v>7347</v>
      </c>
      <c r="AD311" s="244"/>
      <c r="AE311" s="244"/>
      <c r="AF311" s="244"/>
      <c r="AG311" s="244"/>
      <c r="AH311" s="201"/>
      <c r="AJ311" s="201"/>
      <c r="AK311" s="201"/>
      <c r="AL311" s="201"/>
      <c r="AM311" s="201"/>
      <c r="AN311" s="201"/>
      <c r="AO311" s="201"/>
      <c r="AP311" s="201"/>
      <c r="AW311" s="215" t="s">
        <v>7345</v>
      </c>
      <c r="AX311" s="216"/>
      <c r="AY311" s="216"/>
      <c r="AZ311" s="216"/>
      <c r="BA311" s="216"/>
      <c r="BB311" s="216" t="s">
        <v>5523</v>
      </c>
      <c r="BC311" s="216"/>
      <c r="BD311" s="216"/>
      <c r="BE311" s="216"/>
      <c r="BF311" s="216"/>
      <c r="BG311" s="216"/>
      <c r="BH311" s="216"/>
      <c r="BI311" s="216"/>
      <c r="BJ311" s="216"/>
      <c r="BK311" s="216"/>
      <c r="BL311" s="216"/>
      <c r="BM311" s="216"/>
      <c r="BN311" s="216"/>
      <c r="BO311" s="216"/>
      <c r="BP311" s="216"/>
      <c r="BQ311" s="216"/>
      <c r="BR311" s="216"/>
      <c r="BS311" s="216"/>
      <c r="BT311" s="216"/>
      <c r="BU311" s="216"/>
      <c r="BV311" s="216"/>
      <c r="BW311" s="217"/>
    </row>
    <row r="312" spans="8:8" ht="16.5">
      <c r="A312" s="201"/>
      <c r="L312" s="201"/>
      <c r="M312" s="201"/>
      <c r="N312" s="201"/>
      <c r="O312" s="201"/>
      <c r="P312" s="201"/>
      <c r="Q312" s="201"/>
      <c r="R312" s="201"/>
      <c r="S312" s="201"/>
      <c r="T312" s="201"/>
      <c r="U312" s="201"/>
      <c r="V312" s="201"/>
      <c r="W312" s="201"/>
      <c r="X312" s="244" t="s">
        <v>7350</v>
      </c>
      <c r="Y312" s="244"/>
      <c r="Z312" s="244"/>
      <c r="AA312" s="244"/>
      <c r="AB312" s="244"/>
      <c r="AC312" s="244" t="s">
        <v>7351</v>
      </c>
      <c r="AD312" s="244"/>
      <c r="AE312" s="244"/>
      <c r="AF312" s="244"/>
      <c r="AG312" s="244"/>
      <c r="AH312" s="201"/>
      <c r="AJ312" s="201"/>
      <c r="AK312" s="201"/>
      <c r="AL312" s="201"/>
      <c r="AM312" s="201"/>
      <c r="AN312" s="201"/>
      <c r="AO312" s="201"/>
      <c r="AP312" s="201"/>
      <c r="AW312" s="215" t="s">
        <v>7348</v>
      </c>
      <c r="AX312" s="216"/>
      <c r="AY312" s="216"/>
      <c r="AZ312" s="216"/>
      <c r="BA312" s="216"/>
      <c r="BB312" s="216" t="s">
        <v>7349</v>
      </c>
      <c r="BC312" s="216"/>
      <c r="BD312" s="216"/>
      <c r="BE312" s="216"/>
      <c r="BF312" s="216"/>
      <c r="BG312" s="216"/>
      <c r="BH312" s="216"/>
      <c r="BI312" s="216"/>
      <c r="BJ312" s="216"/>
      <c r="BK312" s="216"/>
      <c r="BL312" s="216"/>
      <c r="BM312" s="216"/>
      <c r="BN312" s="216"/>
      <c r="BO312" s="216"/>
      <c r="BP312" s="216"/>
      <c r="BQ312" s="216"/>
      <c r="BR312" s="216"/>
      <c r="BS312" s="216"/>
      <c r="BT312" s="216"/>
      <c r="BU312" s="216"/>
      <c r="BV312" s="216"/>
      <c r="BW312" s="217"/>
    </row>
    <row r="313" spans="8:8" ht="16.5">
      <c r="A313" s="201"/>
      <c r="L313" s="201"/>
      <c r="M313" s="201"/>
      <c r="N313" s="201"/>
      <c r="O313" s="201"/>
      <c r="P313" s="201"/>
      <c r="Q313" s="201"/>
      <c r="R313" s="201"/>
      <c r="S313" s="201"/>
      <c r="T313" s="201"/>
      <c r="U313" s="201"/>
      <c r="V313" s="201"/>
      <c r="W313" s="201"/>
      <c r="X313" s="201"/>
      <c r="Y313" s="201"/>
      <c r="Z313" s="201"/>
      <c r="AA313" s="201"/>
      <c r="AB313" s="201"/>
      <c r="AC313" s="201"/>
      <c r="AD313" s="201"/>
      <c r="AE313" s="201"/>
      <c r="AF313" s="201"/>
      <c r="AG313" s="201"/>
      <c r="AH313" s="201"/>
      <c r="AJ313" s="201"/>
      <c r="AK313" s="201"/>
      <c r="AL313" s="201"/>
      <c r="AM313" s="201"/>
      <c r="AN313" s="201"/>
      <c r="AO313" s="201"/>
      <c r="AP313" s="201"/>
      <c r="AW313" s="215" t="s">
        <v>7352</v>
      </c>
      <c r="AX313" s="216"/>
      <c r="AY313" s="216"/>
      <c r="AZ313" s="216"/>
      <c r="BA313" s="216"/>
      <c r="BB313" s="216" t="s">
        <v>7353</v>
      </c>
      <c r="BC313" s="216"/>
      <c r="BD313" s="216"/>
      <c r="BE313" s="216"/>
      <c r="BF313" s="216"/>
      <c r="BG313" s="216"/>
      <c r="BH313" s="216"/>
      <c r="BI313" s="216"/>
      <c r="BJ313" s="216"/>
      <c r="BK313" s="216"/>
      <c r="BL313" s="216"/>
      <c r="BM313" s="216"/>
      <c r="BN313" s="216"/>
      <c r="BO313" s="216"/>
      <c r="BP313" s="216"/>
      <c r="BQ313" s="216"/>
      <c r="BR313" s="216"/>
      <c r="BS313" s="216"/>
      <c r="BT313" s="216"/>
      <c r="BU313" s="216"/>
      <c r="BV313" s="216"/>
      <c r="BW313" s="217"/>
    </row>
    <row r="314" spans="8:8">
      <c r="A314" s="201"/>
      <c r="L314" s="201"/>
      <c r="M314" s="201"/>
      <c r="N314" s="201"/>
      <c r="O314" s="201"/>
      <c r="P314" s="201"/>
      <c r="Q314" s="201"/>
      <c r="R314" s="201"/>
      <c r="S314" s="201"/>
      <c r="T314" s="201"/>
      <c r="U314" s="201"/>
      <c r="V314" s="201"/>
      <c r="W314" s="201"/>
      <c r="AH314" s="201"/>
      <c r="AJ314" s="201"/>
      <c r="AK314" s="201"/>
      <c r="AL314" s="201"/>
      <c r="AM314" s="201"/>
      <c r="AN314" s="201"/>
      <c r="AO314" s="201"/>
      <c r="AP314" s="201"/>
      <c r="AW314" s="215" t="s">
        <v>7354</v>
      </c>
      <c r="AX314" s="216"/>
      <c r="AY314" s="216"/>
      <c r="AZ314" s="216"/>
      <c r="BA314" s="216"/>
      <c r="BB314" s="216" t="s">
        <v>7355</v>
      </c>
      <c r="BC314" s="216"/>
      <c r="BD314" s="216"/>
      <c r="BE314" s="216"/>
      <c r="BF314" s="216"/>
      <c r="BG314" s="216"/>
      <c r="BH314" s="216"/>
      <c r="BI314" s="216"/>
      <c r="BJ314" s="216"/>
      <c r="BK314" s="216"/>
      <c r="BL314" s="216"/>
      <c r="BM314" s="216"/>
      <c r="BN314" s="216"/>
      <c r="BO314" s="216"/>
      <c r="BP314" s="216"/>
      <c r="BQ314" s="216"/>
      <c r="BR314" s="216"/>
      <c r="BS314" s="216"/>
      <c r="BT314" s="216"/>
      <c r="BU314" s="216"/>
      <c r="BV314" s="216"/>
      <c r="BW314" s="217"/>
    </row>
    <row r="315" spans="8:8">
      <c r="A315" s="201"/>
      <c r="L315" s="201"/>
      <c r="M315" s="201"/>
      <c r="N315" s="201"/>
      <c r="O315" s="201"/>
      <c r="P315" s="201"/>
      <c r="Q315" s="201"/>
      <c r="R315" s="201"/>
      <c r="S315" s="201"/>
      <c r="T315" s="201"/>
      <c r="U315" s="201"/>
      <c r="V315" s="201"/>
      <c r="W315" s="201"/>
      <c r="AH315" s="201"/>
      <c r="AJ315" s="201"/>
      <c r="AK315" s="201"/>
      <c r="AL315" s="201"/>
      <c r="AM315" s="201"/>
      <c r="AN315" s="201"/>
      <c r="AO315" s="201"/>
      <c r="AP315" s="201"/>
      <c r="AW315" s="215" t="s">
        <v>7356</v>
      </c>
      <c r="AX315" s="216"/>
      <c r="AY315" s="216"/>
      <c r="AZ315" s="216"/>
      <c r="BA315" s="216"/>
      <c r="BB315" s="216" t="s">
        <v>7357</v>
      </c>
      <c r="BC315" s="216"/>
      <c r="BD315" s="216"/>
      <c r="BE315" s="216"/>
      <c r="BF315" s="216"/>
      <c r="BG315" s="216"/>
      <c r="BH315" s="216"/>
      <c r="BI315" s="216"/>
      <c r="BJ315" s="216"/>
      <c r="BK315" s="216"/>
      <c r="BL315" s="216"/>
      <c r="BM315" s="216"/>
      <c r="BN315" s="216"/>
      <c r="BO315" s="216"/>
      <c r="BP315" s="216"/>
      <c r="BQ315" s="216"/>
      <c r="BR315" s="216"/>
      <c r="BS315" s="216"/>
      <c r="BT315" s="216"/>
      <c r="BU315" s="216"/>
      <c r="BV315" s="216"/>
      <c r="BW315" s="217"/>
    </row>
    <row r="316" spans="8:8">
      <c r="A316" s="201"/>
      <c r="L316" s="201"/>
      <c r="M316" s="201"/>
      <c r="N316" s="201"/>
      <c r="O316" s="201"/>
      <c r="P316" s="201"/>
      <c r="Q316" s="201"/>
      <c r="R316" s="201"/>
      <c r="S316" s="201"/>
      <c r="T316" s="201"/>
      <c r="U316" s="201"/>
      <c r="V316" s="201"/>
      <c r="W316" s="201"/>
      <c r="AH316" s="201"/>
      <c r="AJ316" s="201"/>
      <c r="AK316" s="201"/>
      <c r="AL316" s="201"/>
      <c r="AM316" s="201"/>
      <c r="AN316" s="201"/>
      <c r="AO316" s="201"/>
      <c r="AP316" s="201"/>
      <c r="AW316" s="215" t="s">
        <v>7358</v>
      </c>
      <c r="AX316" s="216"/>
      <c r="AY316" s="216"/>
      <c r="AZ316" s="216"/>
      <c r="BA316" s="216"/>
      <c r="BB316" s="216" t="s">
        <v>7359</v>
      </c>
      <c r="BC316" s="216"/>
      <c r="BD316" s="216"/>
      <c r="BE316" s="216"/>
      <c r="BF316" s="216"/>
      <c r="BG316" s="216"/>
      <c r="BH316" s="216"/>
      <c r="BI316" s="216"/>
      <c r="BJ316" s="216"/>
      <c r="BK316" s="216"/>
      <c r="BL316" s="216"/>
      <c r="BM316" s="216"/>
      <c r="BN316" s="216"/>
      <c r="BO316" s="216"/>
      <c r="BP316" s="216"/>
      <c r="BQ316" s="216"/>
      <c r="BR316" s="216"/>
      <c r="BS316" s="216"/>
      <c r="BT316" s="216"/>
      <c r="BU316" s="216"/>
      <c r="BV316" s="216"/>
      <c r="BW316" s="217"/>
    </row>
    <row r="317" spans="8:8">
      <c r="A317" s="201"/>
      <c r="L317" s="201"/>
      <c r="M317" s="201"/>
      <c r="N317" s="201"/>
      <c r="O317" s="201"/>
      <c r="P317" s="201"/>
      <c r="Q317" s="201"/>
      <c r="R317" s="201"/>
      <c r="S317" s="201"/>
      <c r="T317" s="201"/>
      <c r="U317" s="201"/>
      <c r="V317" s="201"/>
      <c r="W317" s="201"/>
      <c r="AH317" s="201"/>
      <c r="AJ317" s="201"/>
      <c r="AK317" s="201"/>
      <c r="AL317" s="201"/>
      <c r="AM317" s="201"/>
      <c r="AN317" s="201"/>
      <c r="AO317" s="201"/>
      <c r="AP317" s="201"/>
      <c r="AW317" s="215" t="s">
        <v>7360</v>
      </c>
      <c r="AX317" s="216"/>
      <c r="AY317" s="216"/>
      <c r="AZ317" s="216"/>
      <c r="BA317" s="216"/>
      <c r="BB317" s="216" t="s">
        <v>7361</v>
      </c>
      <c r="BC317" s="216"/>
      <c r="BD317" s="216"/>
      <c r="BE317" s="216"/>
      <c r="BF317" s="216"/>
      <c r="BG317" s="216"/>
      <c r="BH317" s="216"/>
      <c r="BI317" s="216"/>
      <c r="BJ317" s="216"/>
      <c r="BK317" s="216"/>
      <c r="BL317" s="216"/>
      <c r="BM317" s="216"/>
      <c r="BN317" s="216"/>
      <c r="BO317" s="216"/>
      <c r="BP317" s="216"/>
      <c r="BQ317" s="216"/>
      <c r="BR317" s="216"/>
      <c r="BS317" s="216"/>
      <c r="BT317" s="216"/>
      <c r="BU317" s="216"/>
      <c r="BV317" s="216"/>
      <c r="BW317" s="217"/>
    </row>
    <row r="318" spans="8:8">
      <c r="A318" s="201"/>
      <c r="L318" s="201"/>
      <c r="M318" s="201"/>
      <c r="N318" s="201"/>
      <c r="O318" s="201"/>
      <c r="P318" s="201"/>
      <c r="Q318" s="201"/>
      <c r="R318" s="201"/>
      <c r="S318" s="201"/>
      <c r="T318" s="201"/>
      <c r="U318" s="201"/>
      <c r="V318" s="201"/>
      <c r="W318" s="201"/>
      <c r="AH318" s="201"/>
      <c r="AJ318" s="201"/>
      <c r="AK318" s="201"/>
      <c r="AL318" s="201"/>
      <c r="AM318" s="201"/>
      <c r="AN318" s="201"/>
      <c r="AO318" s="201"/>
      <c r="AP318" s="201"/>
      <c r="AW318" s="215" t="s">
        <v>7362</v>
      </c>
      <c r="AX318" s="216"/>
      <c r="AY318" s="216"/>
      <c r="AZ318" s="216"/>
      <c r="BA318" s="216"/>
      <c r="BB318" s="216" t="s">
        <v>7363</v>
      </c>
      <c r="BC318" s="216"/>
      <c r="BD318" s="216"/>
      <c r="BE318" s="216"/>
      <c r="BF318" s="216"/>
      <c r="BG318" s="216"/>
      <c r="BH318" s="216"/>
      <c r="BI318" s="216"/>
      <c r="BJ318" s="216"/>
      <c r="BK318" s="216"/>
      <c r="BL318" s="216"/>
      <c r="BM318" s="216"/>
      <c r="BN318" s="216"/>
      <c r="BO318" s="216"/>
      <c r="BP318" s="216"/>
      <c r="BQ318" s="216"/>
      <c r="BR318" s="216"/>
      <c r="BS318" s="216"/>
      <c r="BT318" s="216"/>
      <c r="BU318" s="216"/>
      <c r="BV318" s="216"/>
      <c r="BW318" s="217"/>
    </row>
    <row r="319" spans="8:8">
      <c r="A319" s="201"/>
      <c r="L319" s="201"/>
      <c r="M319" s="201"/>
      <c r="N319" s="201"/>
      <c r="O319" s="201"/>
      <c r="P319" s="201"/>
      <c r="Q319" s="201"/>
      <c r="R319" s="201"/>
      <c r="S319" s="201"/>
      <c r="T319" s="201"/>
      <c r="U319" s="201"/>
      <c r="V319" s="201"/>
      <c r="W319" s="201"/>
      <c r="AH319" s="201"/>
      <c r="AJ319" s="201"/>
      <c r="AK319" s="201"/>
      <c r="AL319" s="201"/>
      <c r="AM319" s="201"/>
      <c r="AN319" s="201"/>
      <c r="AO319" s="201"/>
      <c r="AP319" s="201"/>
      <c r="AW319" s="215" t="s">
        <v>7364</v>
      </c>
      <c r="AX319" s="216"/>
      <c r="AY319" s="216"/>
      <c r="AZ319" s="216"/>
      <c r="BA319" s="216"/>
      <c r="BB319" s="216" t="s">
        <v>7365</v>
      </c>
      <c r="BC319" s="216"/>
      <c r="BD319" s="216"/>
      <c r="BE319" s="216"/>
      <c r="BF319" s="216"/>
      <c r="BG319" s="216"/>
      <c r="BH319" s="216"/>
      <c r="BI319" s="216"/>
      <c r="BJ319" s="216"/>
      <c r="BK319" s="216"/>
      <c r="BL319" s="216"/>
      <c r="BM319" s="216"/>
      <c r="BN319" s="216"/>
      <c r="BO319" s="216"/>
      <c r="BP319" s="216"/>
      <c r="BQ319" s="216"/>
      <c r="BR319" s="216"/>
      <c r="BS319" s="216"/>
      <c r="BT319" s="216"/>
      <c r="BU319" s="216"/>
      <c r="BV319" s="216"/>
      <c r="BW319" s="217"/>
    </row>
    <row r="320" spans="8:8">
      <c r="A320" s="201"/>
      <c r="L320" s="201"/>
      <c r="M320" s="201"/>
      <c r="N320" s="201"/>
      <c r="O320" s="201"/>
      <c r="P320" s="201"/>
      <c r="Q320" s="201"/>
      <c r="R320" s="201"/>
      <c r="S320" s="201"/>
      <c r="T320" s="201"/>
      <c r="U320" s="201"/>
      <c r="V320" s="201"/>
      <c r="W320" s="201"/>
      <c r="AH320" s="201"/>
      <c r="AJ320" s="201"/>
      <c r="AK320" s="201"/>
      <c r="AL320" s="201"/>
      <c r="AM320" s="201"/>
      <c r="AN320" s="201"/>
      <c r="AO320" s="201"/>
      <c r="AP320" s="201"/>
      <c r="AW320" s="215" t="s">
        <v>7366</v>
      </c>
      <c r="AX320" s="216"/>
      <c r="AY320" s="216"/>
      <c r="AZ320" s="216"/>
      <c r="BA320" s="216"/>
      <c r="BB320" s="216" t="s">
        <v>7367</v>
      </c>
      <c r="BC320" s="216"/>
      <c r="BD320" s="216"/>
      <c r="BE320" s="216"/>
      <c r="BF320" s="216"/>
      <c r="BG320" s="216"/>
      <c r="BH320" s="216"/>
      <c r="BI320" s="216"/>
      <c r="BJ320" s="216"/>
      <c r="BK320" s="216"/>
      <c r="BL320" s="216"/>
      <c r="BM320" s="216"/>
      <c r="BN320" s="216"/>
      <c r="BO320" s="216"/>
      <c r="BP320" s="216"/>
      <c r="BQ320" s="216"/>
      <c r="BR320" s="216"/>
      <c r="BS320" s="216"/>
      <c r="BT320" s="216"/>
      <c r="BU320" s="216"/>
      <c r="BV320" s="216"/>
      <c r="BW320" s="217"/>
    </row>
    <row r="321" spans="8:8">
      <c r="A321" s="201"/>
      <c r="L321" s="201"/>
      <c r="M321" s="201"/>
      <c r="N321" s="201"/>
      <c r="O321" s="201"/>
      <c r="P321" s="201"/>
      <c r="Q321" s="201"/>
      <c r="R321" s="201"/>
      <c r="S321" s="201"/>
      <c r="T321" s="201"/>
      <c r="U321" s="201"/>
      <c r="V321" s="201"/>
      <c r="W321" s="201"/>
      <c r="AH321" s="201"/>
      <c r="AJ321" s="201"/>
      <c r="AK321" s="201"/>
      <c r="AL321" s="201"/>
      <c r="AM321" s="201"/>
      <c r="AN321" s="201"/>
      <c r="AO321" s="201"/>
      <c r="AP321" s="201"/>
      <c r="AW321" s="215" t="s">
        <v>7368</v>
      </c>
      <c r="AX321" s="216"/>
      <c r="AY321" s="216"/>
      <c r="AZ321" s="216"/>
      <c r="BA321" s="216"/>
      <c r="BB321" s="216" t="s">
        <v>7369</v>
      </c>
      <c r="BC321" s="216"/>
      <c r="BD321" s="216"/>
      <c r="BE321" s="216"/>
      <c r="BF321" s="216"/>
      <c r="BG321" s="216"/>
      <c r="BH321" s="216"/>
      <c r="BI321" s="216"/>
      <c r="BJ321" s="216"/>
      <c r="BK321" s="216"/>
      <c r="BL321" s="216"/>
      <c r="BM321" s="216"/>
      <c r="BN321" s="216"/>
      <c r="BO321" s="216"/>
      <c r="BP321" s="216"/>
      <c r="BQ321" s="216"/>
      <c r="BR321" s="216"/>
      <c r="BS321" s="216"/>
      <c r="BT321" s="216"/>
      <c r="BU321" s="216"/>
      <c r="BV321" s="216"/>
      <c r="BW321" s="217"/>
    </row>
    <row r="322" spans="8:8">
      <c r="A322" s="201"/>
      <c r="L322" s="201"/>
      <c r="M322" s="201"/>
      <c r="N322" s="201"/>
      <c r="O322" s="201"/>
      <c r="P322" s="201"/>
      <c r="Q322" s="201"/>
      <c r="R322" s="201"/>
      <c r="S322" s="201"/>
      <c r="T322" s="201"/>
      <c r="U322" s="201"/>
      <c r="V322" s="201"/>
      <c r="W322" s="201"/>
      <c r="AH322" s="201"/>
      <c r="AJ322" s="201"/>
      <c r="AK322" s="201"/>
      <c r="AL322" s="201"/>
      <c r="AM322" s="201"/>
      <c r="AN322" s="201"/>
      <c r="AO322" s="201"/>
      <c r="AP322" s="201"/>
      <c r="AW322" s="215" t="s">
        <v>7370</v>
      </c>
      <c r="AX322" s="216"/>
      <c r="AY322" s="216"/>
      <c r="AZ322" s="216"/>
      <c r="BA322" s="216"/>
      <c r="BB322" s="216" t="s">
        <v>7371</v>
      </c>
      <c r="BC322" s="216"/>
      <c r="BD322" s="216"/>
      <c r="BE322" s="216"/>
      <c r="BF322" s="216"/>
      <c r="BG322" s="216"/>
      <c r="BH322" s="216"/>
      <c r="BI322" s="216"/>
      <c r="BJ322" s="216"/>
      <c r="BK322" s="216"/>
      <c r="BL322" s="216"/>
      <c r="BM322" s="216"/>
      <c r="BN322" s="216"/>
      <c r="BO322" s="216"/>
      <c r="BP322" s="216"/>
      <c r="BQ322" s="216"/>
      <c r="BR322" s="216"/>
      <c r="BS322" s="216"/>
      <c r="BT322" s="216"/>
      <c r="BU322" s="216"/>
      <c r="BV322" s="216"/>
      <c r="BW322" s="217"/>
    </row>
    <row r="323" spans="8:8">
      <c r="A323" s="201"/>
      <c r="L323" s="201"/>
      <c r="M323" s="201"/>
      <c r="N323" s="201"/>
      <c r="O323" s="201"/>
      <c r="P323" s="201"/>
      <c r="Q323" s="201"/>
      <c r="R323" s="201"/>
      <c r="S323" s="201"/>
      <c r="T323" s="201"/>
      <c r="U323" s="201"/>
      <c r="V323" s="201"/>
      <c r="W323" s="201"/>
      <c r="AH323" s="201"/>
      <c r="AJ323" s="201"/>
      <c r="AK323" s="201"/>
      <c r="AL323" s="201"/>
      <c r="AM323" s="201"/>
      <c r="AN323" s="201"/>
      <c r="AO323" s="201"/>
      <c r="AP323" s="201"/>
      <c r="AW323" s="215" t="s">
        <v>7372</v>
      </c>
      <c r="AX323" s="216"/>
      <c r="AY323" s="216"/>
      <c r="AZ323" s="216"/>
      <c r="BA323" s="216"/>
      <c r="BB323" s="216" t="s">
        <v>7373</v>
      </c>
      <c r="BC323" s="216"/>
      <c r="BD323" s="216"/>
      <c r="BE323" s="216"/>
      <c r="BF323" s="216"/>
      <c r="BG323" s="216"/>
      <c r="BH323" s="216"/>
      <c r="BI323" s="216"/>
      <c r="BJ323" s="216"/>
      <c r="BK323" s="216"/>
      <c r="BL323" s="216"/>
      <c r="BM323" s="216"/>
      <c r="BN323" s="216"/>
      <c r="BO323" s="216"/>
      <c r="BP323" s="216"/>
      <c r="BQ323" s="216"/>
      <c r="BR323" s="216"/>
      <c r="BS323" s="216"/>
      <c r="BT323" s="216"/>
      <c r="BU323" s="216"/>
      <c r="BV323" s="216"/>
      <c r="BW323" s="217"/>
    </row>
    <row r="324" spans="8:8">
      <c r="A324" s="201"/>
      <c r="L324" s="201"/>
      <c r="M324" s="201"/>
      <c r="N324" s="201"/>
      <c r="O324" s="201"/>
      <c r="P324" s="201"/>
      <c r="Q324" s="201"/>
      <c r="R324" s="201"/>
      <c r="S324" s="201"/>
      <c r="T324" s="201"/>
      <c r="U324" s="201"/>
      <c r="V324" s="201"/>
      <c r="W324" s="201"/>
      <c r="X324" s="201"/>
      <c r="Y324" s="201"/>
      <c r="Z324" s="201"/>
      <c r="AA324" s="201"/>
      <c r="AB324" s="201"/>
      <c r="AC324" s="201"/>
      <c r="AD324" s="201"/>
      <c r="AE324" s="201"/>
      <c r="AF324" s="201"/>
      <c r="AG324" s="201"/>
      <c r="AH324" s="201"/>
      <c r="AJ324" s="201"/>
      <c r="AK324" s="201"/>
      <c r="AL324" s="201"/>
      <c r="AM324" s="201"/>
      <c r="AN324" s="201"/>
      <c r="AO324" s="201"/>
      <c r="AP324" s="201"/>
      <c r="AW324" s="215" t="s">
        <v>7374</v>
      </c>
      <c r="AX324" s="216"/>
      <c r="AY324" s="216"/>
      <c r="AZ324" s="216"/>
      <c r="BA324" s="216"/>
      <c r="BB324" s="216" t="s">
        <v>7375</v>
      </c>
      <c r="BC324" s="216"/>
      <c r="BD324" s="216"/>
      <c r="BE324" s="216"/>
      <c r="BF324" s="216"/>
      <c r="BG324" s="216"/>
      <c r="BH324" s="216"/>
      <c r="BI324" s="216"/>
      <c r="BJ324" s="216"/>
      <c r="BK324" s="216"/>
      <c r="BL324" s="216"/>
      <c r="BM324" s="216"/>
      <c r="BN324" s="216"/>
      <c r="BO324" s="216"/>
      <c r="BP324" s="216"/>
      <c r="BQ324" s="216"/>
      <c r="BR324" s="216"/>
      <c r="BS324" s="216"/>
      <c r="BT324" s="216"/>
      <c r="BU324" s="216"/>
      <c r="BV324" s="216"/>
      <c r="BW324" s="217"/>
    </row>
    <row r="325" spans="8:8">
      <c r="A325" s="201"/>
      <c r="L325" s="201"/>
      <c r="M325" s="201"/>
      <c r="N325" s="201"/>
      <c r="O325" s="201"/>
      <c r="P325" s="201"/>
      <c r="Q325" s="201"/>
      <c r="R325" s="201"/>
      <c r="S325" s="201"/>
      <c r="T325" s="201"/>
      <c r="U325" s="201"/>
      <c r="V325" s="201"/>
      <c r="W325" s="201"/>
      <c r="X325" s="201"/>
      <c r="Y325" s="201"/>
      <c r="Z325" s="201"/>
      <c r="AA325" s="201"/>
      <c r="AB325" s="201"/>
      <c r="AC325" s="201"/>
      <c r="AD325" s="201"/>
      <c r="AE325" s="201"/>
      <c r="AF325" s="201"/>
      <c r="AG325" s="201"/>
      <c r="AH325" s="201"/>
      <c r="AJ325" s="201"/>
      <c r="AK325" s="201"/>
      <c r="AL325" s="201"/>
      <c r="AM325" s="201"/>
      <c r="AN325" s="201"/>
      <c r="AO325" s="201"/>
      <c r="AP325" s="201"/>
      <c r="AW325" s="215" t="s">
        <v>7376</v>
      </c>
      <c r="AX325" s="216"/>
      <c r="AY325" s="216"/>
      <c r="AZ325" s="216"/>
      <c r="BA325" s="216"/>
      <c r="BB325" s="216" t="s">
        <v>7377</v>
      </c>
      <c r="BC325" s="216"/>
      <c r="BD325" s="216"/>
      <c r="BE325" s="216"/>
      <c r="BF325" s="216"/>
      <c r="BG325" s="216"/>
      <c r="BH325" s="216"/>
      <c r="BI325" s="216"/>
      <c r="BJ325" s="216"/>
      <c r="BK325" s="216"/>
      <c r="BL325" s="216"/>
      <c r="BM325" s="216"/>
      <c r="BN325" s="216"/>
      <c r="BO325" s="216"/>
      <c r="BP325" s="216"/>
      <c r="BQ325" s="216"/>
      <c r="BR325" s="216"/>
      <c r="BS325" s="216"/>
      <c r="BT325" s="216"/>
      <c r="BU325" s="216"/>
      <c r="BV325" s="216"/>
      <c r="BW325" s="217"/>
    </row>
    <row r="326" spans="8:8">
      <c r="A326" s="201"/>
      <c r="L326" s="201"/>
      <c r="M326" s="201"/>
      <c r="N326" s="201"/>
      <c r="O326" s="201"/>
      <c r="P326" s="201"/>
      <c r="Q326" s="201"/>
      <c r="R326" s="201"/>
      <c r="S326" s="201"/>
      <c r="T326" s="201"/>
      <c r="U326" s="201"/>
      <c r="V326" s="201"/>
      <c r="W326" s="201"/>
      <c r="AJ326" s="201"/>
      <c r="AK326" s="201"/>
      <c r="AL326" s="201"/>
      <c r="AM326" s="201"/>
      <c r="AN326" s="201"/>
      <c r="AO326" s="201"/>
      <c r="AP326" s="201"/>
      <c r="AW326" s="215" t="s">
        <v>7378</v>
      </c>
      <c r="AX326" s="216"/>
      <c r="AY326" s="216"/>
      <c r="AZ326" s="216"/>
      <c r="BA326" s="216"/>
      <c r="BB326" s="216" t="s">
        <v>7379</v>
      </c>
      <c r="BC326" s="216"/>
      <c r="BD326" s="216"/>
      <c r="BE326" s="216"/>
      <c r="BF326" s="216"/>
      <c r="BG326" s="216"/>
      <c r="BH326" s="216"/>
      <c r="BI326" s="216"/>
      <c r="BJ326" s="216"/>
      <c r="BK326" s="216"/>
      <c r="BL326" s="216"/>
      <c r="BM326" s="216"/>
      <c r="BN326" s="216"/>
      <c r="BO326" s="216"/>
      <c r="BP326" s="216"/>
      <c r="BQ326" s="216"/>
      <c r="BR326" s="216"/>
      <c r="BS326" s="216"/>
      <c r="BT326" s="216"/>
      <c r="BU326" s="216"/>
      <c r="BV326" s="216"/>
      <c r="BW326" s="217"/>
    </row>
    <row r="327" spans="8:8">
      <c r="AJ327" s="201"/>
      <c r="AK327" s="201"/>
      <c r="AL327" s="201"/>
      <c r="AM327" s="201"/>
      <c r="AN327" s="201"/>
      <c r="AO327" s="201"/>
      <c r="AP327" s="201"/>
      <c r="AW327" s="215" t="s">
        <v>7380</v>
      </c>
      <c r="AX327" s="216"/>
      <c r="AY327" s="216"/>
      <c r="AZ327" s="216"/>
      <c r="BA327" s="216"/>
      <c r="BB327" s="216" t="s">
        <v>7381</v>
      </c>
      <c r="BC327" s="216"/>
      <c r="BD327" s="216"/>
      <c r="BE327" s="216"/>
      <c r="BF327" s="216"/>
      <c r="BG327" s="216"/>
      <c r="BH327" s="216"/>
      <c r="BI327" s="216"/>
      <c r="BJ327" s="216"/>
      <c r="BK327" s="216"/>
      <c r="BL327" s="216"/>
      <c r="BM327" s="216"/>
      <c r="BN327" s="216"/>
      <c r="BO327" s="216"/>
      <c r="BP327" s="216"/>
      <c r="BQ327" s="216"/>
      <c r="BR327" s="216"/>
      <c r="BS327" s="216"/>
      <c r="BT327" s="216"/>
      <c r="BU327" s="216"/>
      <c r="BV327" s="216"/>
      <c r="BW327" s="217"/>
    </row>
    <row r="328" spans="8:8">
      <c r="AJ328" s="201"/>
      <c r="AK328" s="201"/>
      <c r="AL328" s="201"/>
      <c r="AM328" s="201"/>
      <c r="AN328" s="201"/>
      <c r="AO328" s="201"/>
      <c r="AP328" s="201"/>
      <c r="AW328" s="215" t="s">
        <v>7382</v>
      </c>
      <c r="AX328" s="216"/>
      <c r="AY328" s="216"/>
      <c r="AZ328" s="216"/>
      <c r="BA328" s="216"/>
      <c r="BB328" s="216" t="s">
        <v>7383</v>
      </c>
      <c r="BC328" s="216"/>
      <c r="BD328" s="216"/>
      <c r="BE328" s="216"/>
      <c r="BF328" s="216"/>
      <c r="BG328" s="216"/>
      <c r="BH328" s="216"/>
      <c r="BI328" s="216"/>
      <c r="BJ328" s="216"/>
      <c r="BK328" s="216"/>
      <c r="BL328" s="216"/>
      <c r="BM328" s="216"/>
      <c r="BN328" s="216"/>
      <c r="BO328" s="216"/>
      <c r="BP328" s="216"/>
      <c r="BQ328" s="216"/>
      <c r="BR328" s="216"/>
      <c r="BS328" s="216"/>
      <c r="BT328" s="216"/>
      <c r="BU328" s="216"/>
      <c r="BV328" s="216"/>
      <c r="BW328" s="217"/>
    </row>
    <row r="329" spans="8:8">
      <c r="AJ329" s="201"/>
      <c r="AK329" s="201"/>
      <c r="AL329" s="201"/>
      <c r="AM329" s="201"/>
      <c r="AN329" s="201"/>
      <c r="AO329" s="201"/>
      <c r="AW329" s="215" t="s">
        <v>7384</v>
      </c>
      <c r="AX329" s="216"/>
      <c r="AY329" s="216"/>
      <c r="AZ329" s="216"/>
      <c r="BA329" s="216"/>
      <c r="BB329" s="216" t="s">
        <v>7385</v>
      </c>
      <c r="BC329" s="216"/>
      <c r="BD329" s="216"/>
      <c r="BE329" s="216"/>
      <c r="BF329" s="216"/>
      <c r="BG329" s="216"/>
      <c r="BH329" s="216"/>
      <c r="BI329" s="216"/>
      <c r="BJ329" s="216"/>
      <c r="BK329" s="216"/>
      <c r="BL329" s="216"/>
      <c r="BM329" s="216"/>
      <c r="BN329" s="216"/>
      <c r="BO329" s="216"/>
      <c r="BP329" s="216"/>
      <c r="BQ329" s="216"/>
      <c r="BR329" s="216"/>
      <c r="BS329" s="216"/>
      <c r="BT329" s="216"/>
      <c r="BU329" s="216"/>
      <c r="BV329" s="216"/>
      <c r="BW329" s="217"/>
    </row>
    <row r="330" spans="8:8">
      <c r="AW330" s="215" t="s">
        <v>7386</v>
      </c>
      <c r="AX330" s="216"/>
      <c r="AY330" s="216"/>
      <c r="AZ330" s="216"/>
      <c r="BA330" s="216"/>
      <c r="BB330" s="216" t="s">
        <v>7387</v>
      </c>
      <c r="BC330" s="216"/>
      <c r="BD330" s="216"/>
      <c r="BE330" s="216"/>
      <c r="BF330" s="216"/>
      <c r="BG330" s="216"/>
      <c r="BH330" s="216"/>
      <c r="BI330" s="216"/>
      <c r="BJ330" s="216"/>
      <c r="BK330" s="216"/>
      <c r="BL330" s="216"/>
      <c r="BM330" s="216"/>
      <c r="BN330" s="216"/>
      <c r="BO330" s="216"/>
      <c r="BP330" s="216"/>
      <c r="BQ330" s="216"/>
      <c r="BR330" s="216"/>
      <c r="BS330" s="216"/>
      <c r="BT330" s="216"/>
      <c r="BU330" s="216"/>
      <c r="BV330" s="216"/>
      <c r="BW330" s="217"/>
    </row>
    <row r="331" spans="8:8">
      <c r="AW331" s="215" t="s">
        <v>7388</v>
      </c>
      <c r="AX331" s="216"/>
      <c r="AY331" s="216"/>
      <c r="AZ331" s="216"/>
      <c r="BA331" s="216"/>
      <c r="BB331" s="216" t="s">
        <v>7389</v>
      </c>
      <c r="BC331" s="216"/>
      <c r="BD331" s="216"/>
      <c r="BE331" s="216"/>
      <c r="BF331" s="216"/>
      <c r="BG331" s="216"/>
      <c r="BH331" s="216"/>
      <c r="BI331" s="216"/>
      <c r="BJ331" s="216"/>
      <c r="BK331" s="216"/>
      <c r="BL331" s="216"/>
      <c r="BM331" s="216"/>
      <c r="BN331" s="216"/>
      <c r="BO331" s="216"/>
      <c r="BP331" s="216"/>
      <c r="BQ331" s="216"/>
      <c r="BR331" s="216"/>
      <c r="BS331" s="216"/>
      <c r="BT331" s="216"/>
      <c r="BU331" s="216"/>
      <c r="BV331" s="216"/>
      <c r="BW331" s="217"/>
    </row>
    <row r="332" spans="8:8">
      <c r="AW332" s="215" t="s">
        <v>7390</v>
      </c>
      <c r="AX332" s="216"/>
      <c r="AY332" s="216"/>
      <c r="AZ332" s="216"/>
      <c r="BA332" s="216"/>
      <c r="BB332" s="216" t="s">
        <v>7391</v>
      </c>
      <c r="BC332" s="216"/>
      <c r="BD332" s="216"/>
      <c r="BE332" s="216"/>
      <c r="BF332" s="216"/>
      <c r="BG332" s="216"/>
      <c r="BH332" s="216"/>
      <c r="BI332" s="216"/>
      <c r="BJ332" s="216"/>
      <c r="BK332" s="216"/>
      <c r="BL332" s="216"/>
      <c r="BM332" s="216"/>
      <c r="BN332" s="216"/>
      <c r="BO332" s="216"/>
      <c r="BP332" s="216"/>
      <c r="BQ332" s="216"/>
      <c r="BR332" s="216"/>
      <c r="BS332" s="216"/>
      <c r="BT332" s="216"/>
      <c r="BU332" s="216"/>
      <c r="BV332" s="216"/>
      <c r="BW332" s="217"/>
    </row>
    <row r="333" spans="8:8">
      <c r="AW333" s="215" t="s">
        <v>7392</v>
      </c>
      <c r="AX333" s="216"/>
      <c r="AY333" s="216"/>
      <c r="AZ333" s="216"/>
      <c r="BA333" s="216"/>
      <c r="BB333" s="216" t="s">
        <v>7393</v>
      </c>
      <c r="BC333" s="216"/>
      <c r="BD333" s="216"/>
      <c r="BE333" s="216"/>
      <c r="BF333" s="216"/>
      <c r="BG333" s="216"/>
      <c r="BH333" s="216"/>
      <c r="BI333" s="216"/>
      <c r="BJ333" s="216"/>
      <c r="BK333" s="216"/>
      <c r="BL333" s="216"/>
      <c r="BM333" s="216"/>
      <c r="BN333" s="216"/>
      <c r="BO333" s="216"/>
      <c r="BP333" s="216"/>
      <c r="BQ333" s="216"/>
      <c r="BR333" s="216"/>
      <c r="BS333" s="216"/>
      <c r="BT333" s="216"/>
      <c r="BU333" s="216"/>
      <c r="BV333" s="216"/>
      <c r="BW333" s="217"/>
    </row>
    <row r="334" spans="8:8">
      <c r="AW334" s="215" t="s">
        <v>7394</v>
      </c>
      <c r="AX334" s="216"/>
      <c r="AY334" s="216"/>
      <c r="AZ334" s="216"/>
      <c r="BA334" s="216"/>
      <c r="BB334" s="216" t="s">
        <v>7395</v>
      </c>
      <c r="BC334" s="216"/>
      <c r="BD334" s="216"/>
      <c r="BE334" s="216"/>
      <c r="BF334" s="216"/>
      <c r="BG334" s="216"/>
      <c r="BH334" s="216"/>
      <c r="BI334" s="216"/>
      <c r="BJ334" s="216"/>
      <c r="BK334" s="216"/>
      <c r="BL334" s="216"/>
      <c r="BM334" s="216"/>
      <c r="BN334" s="216"/>
      <c r="BO334" s="216"/>
      <c r="BP334" s="216"/>
      <c r="BQ334" s="216"/>
      <c r="BR334" s="216"/>
      <c r="BS334" s="216"/>
      <c r="BT334" s="216"/>
      <c r="BU334" s="216"/>
      <c r="BV334" s="216"/>
      <c r="BW334" s="217"/>
    </row>
    <row r="335" spans="8:8">
      <c r="AW335" s="215" t="s">
        <v>7396</v>
      </c>
      <c r="AX335" s="216"/>
      <c r="AY335" s="216"/>
      <c r="AZ335" s="216"/>
      <c r="BA335" s="216"/>
      <c r="BB335" s="216" t="s">
        <v>7397</v>
      </c>
      <c r="BC335" s="216"/>
      <c r="BD335" s="216"/>
      <c r="BE335" s="216"/>
      <c r="BF335" s="216"/>
      <c r="BG335" s="216"/>
      <c r="BH335" s="216"/>
      <c r="BI335" s="216"/>
      <c r="BJ335" s="216"/>
      <c r="BK335" s="216"/>
      <c r="BL335" s="216"/>
      <c r="BM335" s="216"/>
      <c r="BN335" s="216"/>
      <c r="BO335" s="216"/>
      <c r="BP335" s="216"/>
      <c r="BQ335" s="216"/>
      <c r="BR335" s="216"/>
      <c r="BS335" s="216"/>
      <c r="BT335" s="216"/>
      <c r="BU335" s="216"/>
      <c r="BV335" s="216"/>
      <c r="BW335" s="217"/>
    </row>
    <row r="336" spans="8:8">
      <c r="AW336" s="215" t="s">
        <v>7398</v>
      </c>
      <c r="AX336" s="216"/>
      <c r="AY336" s="216"/>
      <c r="AZ336" s="216"/>
      <c r="BA336" s="216"/>
      <c r="BB336" s="216" t="s">
        <v>7399</v>
      </c>
      <c r="BC336" s="216"/>
      <c r="BD336" s="216"/>
      <c r="BE336" s="216"/>
      <c r="BF336" s="216"/>
      <c r="BG336" s="216"/>
      <c r="BH336" s="216"/>
      <c r="BI336" s="216"/>
      <c r="BJ336" s="216"/>
      <c r="BK336" s="216"/>
      <c r="BL336" s="216"/>
      <c r="BM336" s="216"/>
      <c r="BN336" s="216"/>
      <c r="BO336" s="216"/>
      <c r="BP336" s="216"/>
      <c r="BQ336" s="216"/>
      <c r="BR336" s="216"/>
      <c r="BS336" s="216"/>
      <c r="BT336" s="216"/>
      <c r="BU336" s="216"/>
      <c r="BV336" s="216"/>
      <c r="BW336" s="217"/>
    </row>
    <row r="337" spans="8:8">
      <c r="AW337" s="215" t="s">
        <v>7400</v>
      </c>
      <c r="AX337" s="216"/>
      <c r="AY337" s="216"/>
      <c r="AZ337" s="216"/>
      <c r="BA337" s="216"/>
      <c r="BB337" s="216" t="s">
        <v>7401</v>
      </c>
      <c r="BC337" s="216"/>
      <c r="BD337" s="216"/>
      <c r="BE337" s="216"/>
      <c r="BF337" s="216"/>
      <c r="BG337" s="216"/>
      <c r="BH337" s="216"/>
      <c r="BI337" s="216"/>
      <c r="BJ337" s="216"/>
      <c r="BK337" s="216"/>
      <c r="BL337" s="216"/>
      <c r="BM337" s="216"/>
      <c r="BN337" s="216"/>
      <c r="BO337" s="216"/>
      <c r="BP337" s="216"/>
      <c r="BQ337" s="216"/>
      <c r="BR337" s="216"/>
      <c r="BS337" s="216"/>
      <c r="BT337" s="216"/>
      <c r="BU337" s="216"/>
      <c r="BV337" s="216"/>
      <c r="BW337" s="217"/>
    </row>
    <row r="338" spans="8:8">
      <c r="AW338" s="215" t="s">
        <v>7402</v>
      </c>
      <c r="AX338" s="216"/>
      <c r="AY338" s="216"/>
      <c r="AZ338" s="216"/>
      <c r="BA338" s="216"/>
      <c r="BB338" s="216" t="s">
        <v>7403</v>
      </c>
      <c r="BC338" s="216"/>
      <c r="BD338" s="216"/>
      <c r="BE338" s="216"/>
      <c r="BF338" s="216"/>
      <c r="BG338" s="216"/>
      <c r="BH338" s="216"/>
      <c r="BI338" s="216"/>
      <c r="BJ338" s="216"/>
      <c r="BK338" s="216"/>
      <c r="BL338" s="216"/>
      <c r="BM338" s="216"/>
      <c r="BN338" s="216"/>
      <c r="BO338" s="216"/>
      <c r="BP338" s="216"/>
      <c r="BQ338" s="216"/>
      <c r="BR338" s="216"/>
      <c r="BS338" s="216"/>
      <c r="BT338" s="216"/>
      <c r="BU338" s="216"/>
      <c r="BV338" s="216"/>
      <c r="BW338" s="217"/>
    </row>
    <row r="339" spans="8:8">
      <c r="AW339" s="215" t="s">
        <v>7404</v>
      </c>
      <c r="AX339" s="216"/>
      <c r="AY339" s="216"/>
      <c r="AZ339" s="216"/>
      <c r="BA339" s="216"/>
      <c r="BB339" s="216" t="s">
        <v>7405</v>
      </c>
      <c r="BC339" s="216"/>
      <c r="BD339" s="216"/>
      <c r="BE339" s="216"/>
      <c r="BF339" s="216"/>
      <c r="BG339" s="216"/>
      <c r="BH339" s="216"/>
      <c r="BI339" s="216"/>
      <c r="BJ339" s="216"/>
      <c r="BK339" s="216"/>
      <c r="BL339" s="216"/>
      <c r="BM339" s="216"/>
      <c r="BN339" s="216"/>
      <c r="BO339" s="216"/>
      <c r="BP339" s="216"/>
      <c r="BQ339" s="216"/>
      <c r="BR339" s="216"/>
      <c r="BS339" s="216"/>
      <c r="BT339" s="216"/>
      <c r="BU339" s="216"/>
      <c r="BV339" s="216"/>
      <c r="BW339" s="217"/>
    </row>
    <row r="340" spans="8:8">
      <c r="AW340" s="215" t="s">
        <v>7406</v>
      </c>
      <c r="AX340" s="216"/>
      <c r="AY340" s="216"/>
      <c r="AZ340" s="216"/>
      <c r="BA340" s="216"/>
      <c r="BB340" s="216" t="s">
        <v>7407</v>
      </c>
      <c r="BC340" s="216"/>
      <c r="BD340" s="216"/>
      <c r="BE340" s="216"/>
      <c r="BF340" s="216"/>
      <c r="BG340" s="216"/>
      <c r="BH340" s="216"/>
      <c r="BI340" s="216"/>
      <c r="BJ340" s="216"/>
      <c r="BK340" s="216"/>
      <c r="BL340" s="216"/>
      <c r="BM340" s="216"/>
      <c r="BN340" s="216"/>
      <c r="BO340" s="216"/>
      <c r="BP340" s="216"/>
      <c r="BQ340" s="216"/>
      <c r="BR340" s="216"/>
      <c r="BS340" s="216"/>
      <c r="BT340" s="216"/>
      <c r="BU340" s="216"/>
      <c r="BV340" s="216"/>
      <c r="BW340" s="217"/>
    </row>
    <row r="341" spans="8:8">
      <c r="AW341" s="215" t="s">
        <v>7408</v>
      </c>
      <c r="AX341" s="216"/>
      <c r="AY341" s="216"/>
      <c r="AZ341" s="216"/>
      <c r="BA341" s="216"/>
      <c r="BB341" s="216" t="s">
        <v>7409</v>
      </c>
      <c r="BC341" s="216"/>
      <c r="BD341" s="216"/>
      <c r="BE341" s="216"/>
      <c r="BF341" s="216"/>
      <c r="BG341" s="216"/>
      <c r="BH341" s="216"/>
      <c r="BI341" s="216"/>
      <c r="BJ341" s="216"/>
      <c r="BK341" s="216"/>
      <c r="BL341" s="216"/>
      <c r="BM341" s="216"/>
      <c r="BN341" s="216"/>
      <c r="BO341" s="216"/>
      <c r="BP341" s="216"/>
      <c r="BQ341" s="216"/>
      <c r="BR341" s="216"/>
      <c r="BS341" s="216"/>
      <c r="BT341" s="216"/>
      <c r="BU341" s="216"/>
      <c r="BV341" s="216"/>
      <c r="BW341" s="217"/>
    </row>
    <row r="342" spans="8:8">
      <c r="AW342" s="215" t="s">
        <v>7410</v>
      </c>
      <c r="AX342" s="216"/>
      <c r="AY342" s="216"/>
      <c r="AZ342" s="216"/>
      <c r="BA342" s="216"/>
      <c r="BB342" s="216" t="s">
        <v>7411</v>
      </c>
      <c r="BC342" s="216"/>
      <c r="BD342" s="216"/>
      <c r="BE342" s="216"/>
      <c r="BF342" s="216"/>
      <c r="BG342" s="216"/>
      <c r="BH342" s="216"/>
      <c r="BI342" s="216"/>
      <c r="BJ342" s="216"/>
      <c r="BK342" s="216"/>
      <c r="BL342" s="216"/>
      <c r="BM342" s="216"/>
      <c r="BN342" s="216"/>
      <c r="BO342" s="216"/>
      <c r="BP342" s="216"/>
      <c r="BQ342" s="216"/>
      <c r="BR342" s="216"/>
      <c r="BS342" s="216"/>
      <c r="BT342" s="216"/>
      <c r="BU342" s="216"/>
      <c r="BV342" s="216"/>
      <c r="BW342" s="217"/>
    </row>
    <row r="343" spans="8:8">
      <c r="AW343" s="215" t="s">
        <v>7412</v>
      </c>
      <c r="AX343" s="216"/>
      <c r="AY343" s="216"/>
      <c r="AZ343" s="216"/>
      <c r="BA343" s="216"/>
      <c r="BB343" s="216" t="s">
        <v>7413</v>
      </c>
      <c r="BC343" s="216"/>
      <c r="BD343" s="216"/>
      <c r="BE343" s="216"/>
      <c r="BF343" s="216"/>
      <c r="BG343" s="216"/>
      <c r="BH343" s="216"/>
      <c r="BI343" s="216"/>
      <c r="BJ343" s="216"/>
      <c r="BK343" s="216"/>
      <c r="BL343" s="216"/>
      <c r="BM343" s="216"/>
      <c r="BN343" s="216"/>
      <c r="BO343" s="216"/>
      <c r="BP343" s="216"/>
      <c r="BQ343" s="216"/>
      <c r="BR343" s="216"/>
      <c r="BS343" s="216"/>
      <c r="BT343" s="216"/>
      <c r="BU343" s="216"/>
      <c r="BV343" s="216"/>
      <c r="BW343" s="217"/>
    </row>
    <row r="344" spans="8:8">
      <c r="AW344" s="215" t="s">
        <v>7414</v>
      </c>
      <c r="AX344" s="216"/>
      <c r="AY344" s="216"/>
      <c r="AZ344" s="216"/>
      <c r="BA344" s="216"/>
      <c r="BB344" s="216" t="s">
        <v>7415</v>
      </c>
      <c r="BC344" s="216"/>
      <c r="BD344" s="216"/>
      <c r="BE344" s="216"/>
      <c r="BF344" s="216"/>
      <c r="BG344" s="216"/>
      <c r="BH344" s="216"/>
      <c r="BI344" s="216"/>
      <c r="BJ344" s="216"/>
      <c r="BK344" s="216"/>
      <c r="BL344" s="216"/>
      <c r="BM344" s="216"/>
      <c r="BN344" s="216"/>
      <c r="BO344" s="216"/>
      <c r="BP344" s="216"/>
      <c r="BQ344" s="216"/>
      <c r="BR344" s="216"/>
      <c r="BS344" s="216"/>
      <c r="BT344" s="216"/>
      <c r="BU344" s="216"/>
      <c r="BV344" s="216"/>
      <c r="BW344" s="217"/>
    </row>
    <row r="345" spans="8:8">
      <c r="AW345" s="215" t="s">
        <v>7416</v>
      </c>
      <c r="AX345" s="216"/>
      <c r="AY345" s="216"/>
      <c r="AZ345" s="216"/>
      <c r="BA345" s="216"/>
      <c r="BB345" s="216" t="s">
        <v>7417</v>
      </c>
      <c r="BC345" s="216"/>
      <c r="BD345" s="216"/>
      <c r="BE345" s="216"/>
      <c r="BF345" s="216"/>
      <c r="BG345" s="216"/>
      <c r="BH345" s="216"/>
      <c r="BI345" s="216"/>
      <c r="BJ345" s="216"/>
      <c r="BK345" s="216"/>
      <c r="BL345" s="216"/>
      <c r="BM345" s="216"/>
      <c r="BN345" s="216"/>
      <c r="BO345" s="216"/>
      <c r="BP345" s="216"/>
      <c r="BQ345" s="216"/>
      <c r="BR345" s="216"/>
      <c r="BS345" s="216"/>
      <c r="BT345" s="216"/>
      <c r="BU345" s="216"/>
      <c r="BV345" s="216"/>
      <c r="BW345" s="217"/>
    </row>
    <row r="346" spans="8:8">
      <c r="AW346" s="215" t="s">
        <v>7418</v>
      </c>
      <c r="AX346" s="216"/>
      <c r="AY346" s="216"/>
      <c r="AZ346" s="216"/>
      <c r="BA346" s="216"/>
      <c r="BB346" s="216" t="s">
        <v>7419</v>
      </c>
      <c r="BC346" s="216"/>
      <c r="BD346" s="216"/>
      <c r="BE346" s="216"/>
      <c r="BF346" s="216"/>
      <c r="BG346" s="216"/>
      <c r="BH346" s="216"/>
      <c r="BI346" s="216"/>
      <c r="BJ346" s="216"/>
      <c r="BK346" s="216"/>
      <c r="BL346" s="216"/>
      <c r="BM346" s="216"/>
      <c r="BN346" s="216"/>
      <c r="BO346" s="216"/>
      <c r="BP346" s="216"/>
      <c r="BQ346" s="216"/>
      <c r="BR346" s="216"/>
      <c r="BS346" s="216"/>
      <c r="BT346" s="216"/>
      <c r="BU346" s="216"/>
      <c r="BV346" s="216"/>
      <c r="BW346" s="217"/>
    </row>
    <row r="347" spans="8:8">
      <c r="AW347" s="215" t="s">
        <v>7420</v>
      </c>
      <c r="AX347" s="216"/>
      <c r="AY347" s="216"/>
      <c r="AZ347" s="216"/>
      <c r="BA347" s="216"/>
      <c r="BB347" s="216" t="s">
        <v>7421</v>
      </c>
      <c r="BC347" s="216"/>
      <c r="BD347" s="216"/>
      <c r="BE347" s="216"/>
      <c r="BF347" s="216"/>
      <c r="BG347" s="216"/>
      <c r="BH347" s="216"/>
      <c r="BI347" s="216"/>
      <c r="BJ347" s="216"/>
      <c r="BK347" s="216"/>
      <c r="BL347" s="216"/>
      <c r="BM347" s="216"/>
      <c r="BN347" s="216"/>
      <c r="BO347" s="216"/>
      <c r="BP347" s="216"/>
      <c r="BQ347" s="216"/>
      <c r="BR347" s="216"/>
      <c r="BS347" s="216"/>
      <c r="BT347" s="216"/>
      <c r="BU347" s="216"/>
      <c r="BV347" s="216"/>
      <c r="BW347" s="217"/>
    </row>
    <row r="348" spans="8:8">
      <c r="AW348" s="215" t="s">
        <v>7422</v>
      </c>
      <c r="AX348" s="216"/>
      <c r="AY348" s="216"/>
      <c r="AZ348" s="216"/>
      <c r="BA348" s="216"/>
      <c r="BB348" s="216" t="s">
        <v>7423</v>
      </c>
      <c r="BC348" s="216"/>
      <c r="BD348" s="216"/>
      <c r="BE348" s="216"/>
      <c r="BF348" s="216"/>
      <c r="BG348" s="216"/>
      <c r="BH348" s="216"/>
      <c r="BI348" s="216"/>
      <c r="BJ348" s="216"/>
      <c r="BK348" s="216"/>
      <c r="BL348" s="216"/>
      <c r="BM348" s="216"/>
      <c r="BN348" s="216"/>
      <c r="BO348" s="216"/>
      <c r="BP348" s="216"/>
      <c r="BQ348" s="216"/>
      <c r="BR348" s="216"/>
      <c r="BS348" s="216"/>
      <c r="BT348" s="216"/>
      <c r="BU348" s="216"/>
      <c r="BV348" s="216"/>
      <c r="BW348" s="217"/>
    </row>
    <row r="349" spans="8:8">
      <c r="AW349" s="215" t="s">
        <v>7424</v>
      </c>
      <c r="AX349" s="216"/>
      <c r="AY349" s="216"/>
      <c r="AZ349" s="216"/>
      <c r="BA349" s="216"/>
      <c r="BB349" s="216" t="s">
        <v>7425</v>
      </c>
      <c r="BC349" s="216"/>
      <c r="BD349" s="216"/>
      <c r="BE349" s="216"/>
      <c r="BF349" s="216"/>
      <c r="BG349" s="216"/>
      <c r="BH349" s="216"/>
      <c r="BI349" s="216"/>
      <c r="BJ349" s="216"/>
      <c r="BK349" s="216"/>
      <c r="BL349" s="216"/>
      <c r="BM349" s="216"/>
      <c r="BN349" s="216"/>
      <c r="BO349" s="216"/>
      <c r="BP349" s="216"/>
      <c r="BQ349" s="216"/>
      <c r="BR349" s="216"/>
      <c r="BS349" s="216"/>
      <c r="BT349" s="216"/>
      <c r="BU349" s="216"/>
      <c r="BV349" s="216"/>
      <c r="BW349" s="217"/>
    </row>
    <row r="350" spans="8:8">
      <c r="AW350" s="215" t="s">
        <v>7426</v>
      </c>
      <c r="AX350" s="216"/>
      <c r="AY350" s="216"/>
      <c r="AZ350" s="216"/>
      <c r="BA350" s="216"/>
      <c r="BB350" s="216" t="s">
        <v>7427</v>
      </c>
      <c r="BC350" s="216"/>
      <c r="BD350" s="216"/>
      <c r="BE350" s="216"/>
      <c r="BF350" s="216"/>
      <c r="BG350" s="216"/>
      <c r="BH350" s="216"/>
      <c r="BI350" s="216"/>
      <c r="BJ350" s="216"/>
      <c r="BK350" s="216"/>
      <c r="BL350" s="216"/>
      <c r="BM350" s="216"/>
      <c r="BN350" s="216"/>
      <c r="BO350" s="216"/>
      <c r="BP350" s="216"/>
      <c r="BQ350" s="216"/>
      <c r="BR350" s="216"/>
      <c r="BS350" s="216"/>
      <c r="BT350" s="216"/>
      <c r="BU350" s="216"/>
      <c r="BV350" s="216"/>
      <c r="BW350" s="217"/>
    </row>
    <row r="351" spans="8:8">
      <c r="AW351" s="215" t="s">
        <v>7428</v>
      </c>
      <c r="AX351" s="216"/>
      <c r="AY351" s="216"/>
      <c r="AZ351" s="216"/>
      <c r="BA351" s="216"/>
      <c r="BB351" s="216" t="s">
        <v>7429</v>
      </c>
      <c r="BC351" s="216"/>
      <c r="BD351" s="216"/>
      <c r="BE351" s="216"/>
      <c r="BF351" s="216"/>
      <c r="BG351" s="216"/>
      <c r="BH351" s="216"/>
      <c r="BI351" s="216"/>
      <c r="BJ351" s="216"/>
      <c r="BK351" s="216"/>
      <c r="BL351" s="216"/>
      <c r="BM351" s="216"/>
      <c r="BN351" s="216"/>
      <c r="BO351" s="216"/>
      <c r="BP351" s="216"/>
      <c r="BQ351" s="216"/>
      <c r="BR351" s="216"/>
      <c r="BS351" s="216"/>
      <c r="BT351" s="216"/>
      <c r="BU351" s="216"/>
      <c r="BV351" s="216"/>
      <c r="BW351" s="217"/>
    </row>
    <row r="352" spans="8:8">
      <c r="AW352" s="215" t="s">
        <v>7430</v>
      </c>
      <c r="AX352" s="216"/>
      <c r="AY352" s="216"/>
      <c r="AZ352" s="216"/>
      <c r="BA352" s="216"/>
      <c r="BB352" s="216" t="s">
        <v>7431</v>
      </c>
      <c r="BC352" s="216"/>
      <c r="BD352" s="216"/>
      <c r="BE352" s="216"/>
      <c r="BF352" s="216"/>
      <c r="BG352" s="216"/>
      <c r="BH352" s="216"/>
      <c r="BI352" s="216"/>
      <c r="BJ352" s="216"/>
      <c r="BK352" s="216"/>
      <c r="BL352" s="216"/>
      <c r="BM352" s="216"/>
      <c r="BN352" s="216"/>
      <c r="BO352" s="216"/>
      <c r="BP352" s="216"/>
      <c r="BQ352" s="216"/>
      <c r="BR352" s="216"/>
      <c r="BS352" s="216"/>
      <c r="BT352" s="216"/>
      <c r="BU352" s="216"/>
      <c r="BV352" s="216"/>
      <c r="BW352" s="217"/>
    </row>
    <row r="353" spans="8:8">
      <c r="AW353" s="215" t="s">
        <v>7432</v>
      </c>
      <c r="AX353" s="216"/>
      <c r="AY353" s="216"/>
      <c r="AZ353" s="216"/>
      <c r="BA353" s="216"/>
      <c r="BB353" s="216" t="s">
        <v>7433</v>
      </c>
      <c r="BC353" s="216"/>
      <c r="BD353" s="216"/>
      <c r="BE353" s="216"/>
      <c r="BF353" s="216"/>
      <c r="BG353" s="216"/>
      <c r="BH353" s="216"/>
      <c r="BI353" s="216"/>
      <c r="BJ353" s="216"/>
      <c r="BK353" s="216"/>
      <c r="BL353" s="216"/>
      <c r="BM353" s="216"/>
      <c r="BN353" s="216"/>
      <c r="BO353" s="216"/>
      <c r="BP353" s="216"/>
      <c r="BQ353" s="216"/>
      <c r="BR353" s="216"/>
      <c r="BS353" s="216"/>
      <c r="BT353" s="216"/>
      <c r="BU353" s="216"/>
      <c r="BV353" s="216"/>
      <c r="BW353" s="217"/>
    </row>
    <row r="354" spans="8:8">
      <c r="AW354" s="215" t="s">
        <v>7434</v>
      </c>
      <c r="AX354" s="216"/>
      <c r="AY354" s="216"/>
      <c r="AZ354" s="216"/>
      <c r="BA354" s="216"/>
      <c r="BB354" s="216" t="s">
        <v>7435</v>
      </c>
      <c r="BC354" s="216"/>
      <c r="BD354" s="216"/>
      <c r="BE354" s="216"/>
      <c r="BF354" s="216"/>
      <c r="BG354" s="216"/>
      <c r="BH354" s="216"/>
      <c r="BI354" s="216"/>
      <c r="BJ354" s="216"/>
      <c r="BK354" s="216"/>
      <c r="BL354" s="216"/>
      <c r="BM354" s="216"/>
      <c r="BN354" s="216"/>
      <c r="BO354" s="216"/>
      <c r="BP354" s="216"/>
      <c r="BQ354" s="216"/>
      <c r="BR354" s="216"/>
      <c r="BS354" s="216"/>
      <c r="BT354" s="216"/>
      <c r="BU354" s="216"/>
      <c r="BV354" s="216"/>
      <c r="BW354" s="217"/>
    </row>
    <row r="355" spans="8:8">
      <c r="AW355" s="215" t="s">
        <v>7436</v>
      </c>
      <c r="AX355" s="216"/>
      <c r="AY355" s="216"/>
      <c r="AZ355" s="216"/>
      <c r="BA355" s="216"/>
      <c r="BB355" s="216" t="s">
        <v>7437</v>
      </c>
      <c r="BC355" s="216"/>
      <c r="BD355" s="216"/>
      <c r="BE355" s="216"/>
      <c r="BF355" s="216"/>
      <c r="BG355" s="216"/>
      <c r="BH355" s="216"/>
      <c r="BI355" s="216"/>
      <c r="BJ355" s="216"/>
      <c r="BK355" s="216"/>
      <c r="BL355" s="216"/>
      <c r="BM355" s="216"/>
      <c r="BN355" s="216"/>
      <c r="BO355" s="216"/>
      <c r="BP355" s="216"/>
      <c r="BQ355" s="216"/>
      <c r="BR355" s="216"/>
      <c r="BS355" s="216"/>
      <c r="BT355" s="216"/>
      <c r="BU355" s="216"/>
      <c r="BV355" s="216"/>
      <c r="BW355" s="217"/>
    </row>
    <row r="356" spans="8:8">
      <c r="AW356" s="215" t="s">
        <v>7438</v>
      </c>
      <c r="AX356" s="216"/>
      <c r="AY356" s="216"/>
      <c r="AZ356" s="216"/>
      <c r="BA356" s="216"/>
      <c r="BB356" s="216" t="s">
        <v>7439</v>
      </c>
      <c r="BC356" s="216"/>
      <c r="BD356" s="216"/>
      <c r="BE356" s="216"/>
      <c r="BF356" s="216"/>
      <c r="BG356" s="216"/>
      <c r="BH356" s="216"/>
      <c r="BI356" s="216"/>
      <c r="BJ356" s="216"/>
      <c r="BK356" s="216"/>
      <c r="BL356" s="216"/>
      <c r="BM356" s="216"/>
      <c r="BN356" s="216"/>
      <c r="BO356" s="216"/>
      <c r="BP356" s="216"/>
      <c r="BQ356" s="216"/>
      <c r="BR356" s="216"/>
      <c r="BS356" s="216"/>
      <c r="BT356" s="216"/>
      <c r="BU356" s="216"/>
      <c r="BV356" s="216"/>
      <c r="BW356" s="217"/>
    </row>
    <row r="357" spans="8:8">
      <c r="AW357" s="215" t="s">
        <v>7440</v>
      </c>
      <c r="AX357" s="216"/>
      <c r="AY357" s="216"/>
      <c r="AZ357" s="216"/>
      <c r="BA357" s="216"/>
      <c r="BB357" s="216" t="s">
        <v>7441</v>
      </c>
      <c r="BC357" s="216"/>
      <c r="BD357" s="216"/>
      <c r="BE357" s="216"/>
      <c r="BF357" s="216"/>
      <c r="BG357" s="216"/>
      <c r="BH357" s="216"/>
      <c r="BI357" s="216"/>
      <c r="BJ357" s="216"/>
      <c r="BK357" s="216"/>
      <c r="BL357" s="216"/>
      <c r="BM357" s="216"/>
      <c r="BN357" s="216"/>
      <c r="BO357" s="216"/>
      <c r="BP357" s="216"/>
      <c r="BQ357" s="216"/>
      <c r="BR357" s="216"/>
      <c r="BS357" s="216"/>
      <c r="BT357" s="216"/>
      <c r="BU357" s="216"/>
      <c r="BV357" s="216"/>
      <c r="BW357" s="217"/>
    </row>
    <row r="358" spans="8:8">
      <c r="AW358" s="215" t="s">
        <v>7442</v>
      </c>
      <c r="AX358" s="216"/>
      <c r="AY358" s="216"/>
      <c r="AZ358" s="216"/>
      <c r="BA358" s="216"/>
      <c r="BB358" s="216" t="s">
        <v>7443</v>
      </c>
      <c r="BC358" s="216"/>
      <c r="BD358" s="216"/>
      <c r="BE358" s="216"/>
      <c r="BF358" s="216"/>
      <c r="BG358" s="216"/>
      <c r="BH358" s="216"/>
      <c r="BI358" s="216"/>
      <c r="BJ358" s="216"/>
      <c r="BK358" s="216"/>
      <c r="BL358" s="216"/>
      <c r="BM358" s="216"/>
      <c r="BN358" s="216"/>
      <c r="BO358" s="216"/>
      <c r="BP358" s="216"/>
      <c r="BQ358" s="216"/>
      <c r="BR358" s="216"/>
      <c r="BS358" s="216"/>
      <c r="BT358" s="216"/>
      <c r="BU358" s="216"/>
      <c r="BV358" s="216"/>
      <c r="BW358" s="217"/>
    </row>
    <row r="359" spans="8:8">
      <c r="AW359" s="215" t="s">
        <v>7444</v>
      </c>
      <c r="AX359" s="216"/>
      <c r="AY359" s="216"/>
      <c r="AZ359" s="216"/>
      <c r="BA359" s="216"/>
      <c r="BB359" s="216" t="s">
        <v>7445</v>
      </c>
      <c r="BC359" s="216"/>
      <c r="BD359" s="216"/>
      <c r="BE359" s="216"/>
      <c r="BF359" s="216"/>
      <c r="BG359" s="216"/>
      <c r="BH359" s="216"/>
      <c r="BI359" s="216"/>
      <c r="BJ359" s="216"/>
      <c r="BK359" s="216"/>
      <c r="BL359" s="216"/>
      <c r="BM359" s="216"/>
      <c r="BN359" s="216"/>
      <c r="BO359" s="216"/>
      <c r="BP359" s="216"/>
      <c r="BQ359" s="216"/>
      <c r="BR359" s="216"/>
      <c r="BS359" s="216"/>
      <c r="BT359" s="216"/>
      <c r="BU359" s="216"/>
      <c r="BV359" s="216"/>
      <c r="BW359" s="217"/>
    </row>
    <row r="360" spans="8:8">
      <c r="AW360" s="215" t="s">
        <v>7446</v>
      </c>
      <c r="AX360" s="216"/>
      <c r="AY360" s="216"/>
      <c r="AZ360" s="216"/>
      <c r="BA360" s="216"/>
      <c r="BB360" s="216" t="s">
        <v>7447</v>
      </c>
      <c r="BC360" s="216"/>
      <c r="BD360" s="216"/>
      <c r="BE360" s="216"/>
      <c r="BF360" s="216"/>
      <c r="BG360" s="216"/>
      <c r="BH360" s="216"/>
      <c r="BI360" s="216"/>
      <c r="BJ360" s="216"/>
      <c r="BK360" s="216"/>
      <c r="BL360" s="216"/>
      <c r="BM360" s="216"/>
      <c r="BN360" s="216"/>
      <c r="BO360" s="216"/>
      <c r="BP360" s="216"/>
      <c r="BQ360" s="216"/>
      <c r="BR360" s="216"/>
      <c r="BS360" s="216"/>
      <c r="BT360" s="216"/>
      <c r="BU360" s="216"/>
      <c r="BV360" s="216"/>
      <c r="BW360" s="217"/>
    </row>
    <row r="361" spans="8:8">
      <c r="AW361" s="215" t="s">
        <v>7448</v>
      </c>
      <c r="AX361" s="216"/>
      <c r="AY361" s="216"/>
      <c r="AZ361" s="216"/>
      <c r="BA361" s="216"/>
      <c r="BB361" s="216" t="s">
        <v>7449</v>
      </c>
      <c r="BC361" s="216"/>
      <c r="BD361" s="216"/>
      <c r="BE361" s="216"/>
      <c r="BF361" s="216"/>
      <c r="BG361" s="216"/>
      <c r="BH361" s="216"/>
      <c r="BI361" s="216"/>
      <c r="BJ361" s="216"/>
      <c r="BK361" s="216"/>
      <c r="BL361" s="216"/>
      <c r="BM361" s="216"/>
      <c r="BN361" s="216"/>
      <c r="BO361" s="216"/>
      <c r="BP361" s="216"/>
      <c r="BQ361" s="216"/>
      <c r="BR361" s="216"/>
      <c r="BS361" s="216"/>
      <c r="BT361" s="216"/>
      <c r="BU361" s="216"/>
      <c r="BV361" s="216"/>
      <c r="BW361" s="217"/>
    </row>
    <row r="362" spans="8:8">
      <c r="AW362" s="215" t="s">
        <v>7450</v>
      </c>
      <c r="AX362" s="216"/>
      <c r="AY362" s="216"/>
      <c r="AZ362" s="216"/>
      <c r="BA362" s="216"/>
      <c r="BB362" s="216" t="s">
        <v>7451</v>
      </c>
      <c r="BC362" s="216"/>
      <c r="BD362" s="216"/>
      <c r="BE362" s="216"/>
      <c r="BF362" s="216"/>
      <c r="BG362" s="216"/>
      <c r="BH362" s="216"/>
      <c r="BI362" s="216"/>
      <c r="BJ362" s="216"/>
      <c r="BK362" s="216"/>
      <c r="BL362" s="216"/>
      <c r="BM362" s="216"/>
      <c r="BN362" s="216"/>
      <c r="BO362" s="216"/>
      <c r="BP362" s="216"/>
      <c r="BQ362" s="216"/>
      <c r="BR362" s="216"/>
      <c r="BS362" s="216"/>
      <c r="BT362" s="216"/>
      <c r="BU362" s="216"/>
      <c r="BV362" s="216"/>
      <c r="BW362" s="217"/>
    </row>
    <row r="363" spans="8:8">
      <c r="AW363" s="215" t="s">
        <v>7452</v>
      </c>
      <c r="AX363" s="216"/>
      <c r="AY363" s="216"/>
      <c r="AZ363" s="216"/>
      <c r="BA363" s="216"/>
      <c r="BB363" s="216" t="s">
        <v>7453</v>
      </c>
      <c r="BC363" s="216"/>
      <c r="BD363" s="216"/>
      <c r="BE363" s="216"/>
      <c r="BF363" s="216"/>
      <c r="BG363" s="216"/>
      <c r="BH363" s="216"/>
      <c r="BI363" s="216"/>
      <c r="BJ363" s="216"/>
      <c r="BK363" s="216"/>
      <c r="BL363" s="216"/>
      <c r="BM363" s="216"/>
      <c r="BN363" s="216"/>
      <c r="BO363" s="216"/>
      <c r="BP363" s="216"/>
      <c r="BQ363" s="216"/>
      <c r="BR363" s="216"/>
      <c r="BS363" s="216"/>
      <c r="BT363" s="216"/>
      <c r="BU363" s="216"/>
      <c r="BV363" s="216"/>
      <c r="BW363" s="217"/>
    </row>
    <row r="364" spans="8:8">
      <c r="AW364" s="215" t="s">
        <v>7454</v>
      </c>
      <c r="AX364" s="216"/>
      <c r="AY364" s="216"/>
      <c r="AZ364" s="216"/>
      <c r="BA364" s="216"/>
      <c r="BB364" s="216" t="s">
        <v>7455</v>
      </c>
      <c r="BC364" s="216"/>
      <c r="BD364" s="216"/>
      <c r="BE364" s="216"/>
      <c r="BF364" s="216"/>
      <c r="BG364" s="216"/>
      <c r="BH364" s="216"/>
      <c r="BI364" s="216"/>
      <c r="BJ364" s="216"/>
      <c r="BK364" s="216"/>
      <c r="BL364" s="216"/>
      <c r="BM364" s="216"/>
      <c r="BN364" s="216"/>
      <c r="BO364" s="216"/>
      <c r="BP364" s="216"/>
      <c r="BQ364" s="216"/>
      <c r="BR364" s="216"/>
      <c r="BS364" s="216"/>
      <c r="BT364" s="216"/>
      <c r="BU364" s="216"/>
      <c r="BV364" s="216"/>
      <c r="BW364" s="217"/>
    </row>
    <row r="365" spans="8:8">
      <c r="AW365" s="215" t="s">
        <v>7456</v>
      </c>
      <c r="AX365" s="216"/>
      <c r="AY365" s="216"/>
      <c r="AZ365" s="216"/>
      <c r="BA365" s="216"/>
      <c r="BB365" s="216" t="s">
        <v>7457</v>
      </c>
      <c r="BC365" s="216"/>
      <c r="BD365" s="216"/>
      <c r="BE365" s="216"/>
      <c r="BF365" s="216"/>
      <c r="BG365" s="216"/>
      <c r="BH365" s="216"/>
      <c r="BI365" s="216"/>
      <c r="BJ365" s="216"/>
      <c r="BK365" s="216"/>
      <c r="BL365" s="216"/>
      <c r="BM365" s="216"/>
      <c r="BN365" s="216"/>
      <c r="BO365" s="216"/>
      <c r="BP365" s="216"/>
      <c r="BQ365" s="216"/>
      <c r="BR365" s="216"/>
      <c r="BS365" s="216"/>
      <c r="BT365" s="216"/>
      <c r="BU365" s="216"/>
      <c r="BV365" s="216"/>
      <c r="BW365" s="217"/>
    </row>
    <row r="366" spans="8:8">
      <c r="AW366" s="215" t="s">
        <v>7458</v>
      </c>
      <c r="AX366" s="216"/>
      <c r="AY366" s="216"/>
      <c r="AZ366" s="216"/>
      <c r="BA366" s="216"/>
      <c r="BB366" s="216" t="s">
        <v>7459</v>
      </c>
      <c r="BC366" s="216"/>
      <c r="BD366" s="216"/>
      <c r="BE366" s="216"/>
      <c r="BF366" s="216"/>
      <c r="BG366" s="216"/>
      <c r="BH366" s="216"/>
      <c r="BI366" s="216"/>
      <c r="BJ366" s="216"/>
      <c r="BK366" s="216"/>
      <c r="BL366" s="216"/>
      <c r="BM366" s="216"/>
      <c r="BN366" s="216"/>
      <c r="BO366" s="216"/>
      <c r="BP366" s="216"/>
      <c r="BQ366" s="216"/>
      <c r="BR366" s="216"/>
      <c r="BS366" s="216"/>
      <c r="BT366" s="216"/>
      <c r="BU366" s="216"/>
      <c r="BV366" s="216"/>
      <c r="BW366" s="217"/>
    </row>
    <row r="367" spans="8:8">
      <c r="AW367" s="215" t="s">
        <v>7460</v>
      </c>
      <c r="AX367" s="216"/>
      <c r="AY367" s="216"/>
      <c r="AZ367" s="216"/>
      <c r="BA367" s="216"/>
      <c r="BB367" s="216" t="s">
        <v>7461</v>
      </c>
      <c r="BC367" s="216"/>
      <c r="BD367" s="216"/>
      <c r="BE367" s="216"/>
      <c r="BF367" s="216"/>
      <c r="BG367" s="216"/>
      <c r="BH367" s="216"/>
      <c r="BI367" s="216"/>
      <c r="BJ367" s="216"/>
      <c r="BK367" s="216"/>
      <c r="BL367" s="216"/>
      <c r="BM367" s="216"/>
      <c r="BN367" s="216"/>
      <c r="BO367" s="216"/>
      <c r="BP367" s="216"/>
      <c r="BQ367" s="216"/>
      <c r="BR367" s="216"/>
      <c r="BS367" s="216"/>
      <c r="BT367" s="216"/>
      <c r="BU367" s="216"/>
      <c r="BV367" s="216"/>
      <c r="BW367" s="217"/>
    </row>
    <row r="368" spans="8:8">
      <c r="AW368" s="215" t="s">
        <v>7462</v>
      </c>
      <c r="AX368" s="216"/>
      <c r="AY368" s="216"/>
      <c r="AZ368" s="216"/>
      <c r="BA368" s="216"/>
      <c r="BB368" s="216" t="s">
        <v>7463</v>
      </c>
      <c r="BC368" s="216"/>
      <c r="BD368" s="216"/>
      <c r="BE368" s="216"/>
      <c r="BF368" s="216"/>
      <c r="BG368" s="216"/>
      <c r="BH368" s="216"/>
      <c r="BI368" s="216"/>
      <c r="BJ368" s="216"/>
      <c r="BK368" s="216"/>
      <c r="BL368" s="216"/>
      <c r="BM368" s="216"/>
      <c r="BN368" s="216"/>
      <c r="BO368" s="216"/>
      <c r="BP368" s="216"/>
      <c r="BQ368" s="216"/>
      <c r="BR368" s="216"/>
      <c r="BS368" s="216"/>
      <c r="BT368" s="216"/>
      <c r="BU368" s="216"/>
      <c r="BV368" s="216"/>
      <c r="BW368" s="217"/>
    </row>
    <row r="369" spans="8:8">
      <c r="AW369" s="215" t="s">
        <v>7464</v>
      </c>
      <c r="AX369" s="216"/>
      <c r="AY369" s="216"/>
      <c r="AZ369" s="216"/>
      <c r="BA369" s="216"/>
      <c r="BB369" s="216" t="s">
        <v>7465</v>
      </c>
      <c r="BC369" s="216"/>
      <c r="BD369" s="216"/>
      <c r="BE369" s="216"/>
      <c r="BF369" s="216"/>
      <c r="BG369" s="216"/>
      <c r="BH369" s="216"/>
      <c r="BI369" s="216"/>
      <c r="BJ369" s="216"/>
      <c r="BK369" s="216"/>
      <c r="BL369" s="216"/>
      <c r="BM369" s="216"/>
      <c r="BN369" s="216"/>
      <c r="BO369" s="216"/>
      <c r="BP369" s="216"/>
      <c r="BQ369" s="216"/>
      <c r="BR369" s="216"/>
      <c r="BS369" s="216"/>
      <c r="BT369" s="216"/>
      <c r="BU369" s="216"/>
      <c r="BV369" s="216"/>
      <c r="BW369" s="217"/>
    </row>
    <row r="370" spans="8:8">
      <c r="AW370" s="215" t="s">
        <v>7466</v>
      </c>
      <c r="AX370" s="216"/>
      <c r="AY370" s="216"/>
      <c r="AZ370" s="216"/>
      <c r="BA370" s="216"/>
      <c r="BB370" s="216" t="s">
        <v>7467</v>
      </c>
      <c r="BC370" s="216"/>
      <c r="BD370" s="216"/>
      <c r="BE370" s="216"/>
      <c r="BF370" s="216"/>
      <c r="BG370" s="216"/>
      <c r="BH370" s="216"/>
      <c r="BI370" s="216"/>
      <c r="BJ370" s="216"/>
      <c r="BK370" s="216"/>
      <c r="BL370" s="216"/>
      <c r="BM370" s="216"/>
      <c r="BN370" s="216"/>
      <c r="BO370" s="216"/>
      <c r="BP370" s="216"/>
      <c r="BQ370" s="216"/>
      <c r="BR370" s="216"/>
      <c r="BS370" s="216"/>
      <c r="BT370" s="216"/>
      <c r="BU370" s="216"/>
      <c r="BV370" s="216"/>
      <c r="BW370" s="217"/>
    </row>
    <row r="371" spans="8:8">
      <c r="AW371" s="215" t="s">
        <v>7468</v>
      </c>
      <c r="AX371" s="216"/>
      <c r="AY371" s="216"/>
      <c r="AZ371" s="216"/>
      <c r="BA371" s="216"/>
      <c r="BB371" s="216" t="s">
        <v>7469</v>
      </c>
      <c r="BC371" s="216"/>
      <c r="BD371" s="216"/>
      <c r="BE371" s="216"/>
      <c r="BF371" s="216"/>
      <c r="BG371" s="216"/>
      <c r="BH371" s="216"/>
      <c r="BI371" s="216"/>
      <c r="BJ371" s="216"/>
      <c r="BK371" s="216"/>
      <c r="BL371" s="216"/>
      <c r="BM371" s="216"/>
      <c r="BN371" s="216"/>
      <c r="BO371" s="216"/>
      <c r="BP371" s="216"/>
      <c r="BQ371" s="216"/>
      <c r="BR371" s="216"/>
      <c r="BS371" s="216"/>
      <c r="BT371" s="216"/>
      <c r="BU371" s="216"/>
      <c r="BV371" s="216"/>
      <c r="BW371" s="217"/>
    </row>
    <row r="372" spans="8:8">
      <c r="AW372" s="215" t="s">
        <v>7470</v>
      </c>
      <c r="AX372" s="216"/>
      <c r="AY372" s="216"/>
      <c r="AZ372" s="216"/>
      <c r="BA372" s="216"/>
      <c r="BB372" s="216" t="s">
        <v>7471</v>
      </c>
      <c r="BC372" s="216"/>
      <c r="BD372" s="216"/>
      <c r="BE372" s="216"/>
      <c r="BF372" s="216"/>
      <c r="BG372" s="216"/>
      <c r="BH372" s="216"/>
      <c r="BI372" s="216"/>
      <c r="BJ372" s="216"/>
      <c r="BK372" s="216"/>
      <c r="BL372" s="216"/>
      <c r="BM372" s="216"/>
      <c r="BN372" s="216"/>
      <c r="BO372" s="216"/>
      <c r="BP372" s="216"/>
      <c r="BQ372" s="216"/>
      <c r="BR372" s="216"/>
      <c r="BS372" s="216"/>
      <c r="BT372" s="216"/>
      <c r="BU372" s="216"/>
      <c r="BV372" s="216"/>
      <c r="BW372" s="217"/>
    </row>
    <row r="373" spans="8:8">
      <c r="AW373" s="215" t="s">
        <v>7472</v>
      </c>
      <c r="AX373" s="216"/>
      <c r="AY373" s="216"/>
      <c r="AZ373" s="216"/>
      <c r="BA373" s="216"/>
      <c r="BB373" s="216" t="s">
        <v>7473</v>
      </c>
      <c r="BC373" s="216"/>
      <c r="BD373" s="216"/>
      <c r="BE373" s="216"/>
      <c r="BF373" s="216"/>
      <c r="BG373" s="216"/>
      <c r="BH373" s="216"/>
      <c r="BI373" s="216"/>
      <c r="BJ373" s="216"/>
      <c r="BK373" s="216"/>
      <c r="BL373" s="216"/>
      <c r="BM373" s="216"/>
      <c r="BN373" s="216"/>
      <c r="BO373" s="216"/>
      <c r="BP373" s="216"/>
      <c r="BQ373" s="216"/>
      <c r="BR373" s="216"/>
      <c r="BS373" s="216"/>
      <c r="BT373" s="216"/>
      <c r="BU373" s="216"/>
      <c r="BV373" s="216"/>
      <c r="BW373" s="217"/>
    </row>
    <row r="374" spans="8:8">
      <c r="AW374" s="215" t="s">
        <v>7474</v>
      </c>
      <c r="AX374" s="216"/>
      <c r="AY374" s="216"/>
      <c r="AZ374" s="216"/>
      <c r="BA374" s="216"/>
      <c r="BB374" s="216" t="s">
        <v>7475</v>
      </c>
      <c r="BC374" s="216"/>
      <c r="BD374" s="216"/>
      <c r="BE374" s="216"/>
      <c r="BF374" s="216"/>
      <c r="BG374" s="216"/>
      <c r="BH374" s="216"/>
      <c r="BI374" s="216"/>
      <c r="BJ374" s="216"/>
      <c r="BK374" s="216"/>
      <c r="BL374" s="216"/>
      <c r="BM374" s="216"/>
      <c r="BN374" s="216"/>
      <c r="BO374" s="216"/>
      <c r="BP374" s="216"/>
      <c r="BQ374" s="216"/>
      <c r="BR374" s="216"/>
      <c r="BS374" s="216"/>
      <c r="BT374" s="216"/>
      <c r="BU374" s="216"/>
      <c r="BV374" s="216"/>
      <c r="BW374" s="217"/>
    </row>
    <row r="375" spans="8:8">
      <c r="AW375" s="215" t="s">
        <v>7476</v>
      </c>
      <c r="AX375" s="216"/>
      <c r="AY375" s="216"/>
      <c r="AZ375" s="216"/>
      <c r="BA375" s="216"/>
      <c r="BB375" s="216" t="s">
        <v>7477</v>
      </c>
      <c r="BC375" s="216"/>
      <c r="BD375" s="216"/>
      <c r="BE375" s="216"/>
      <c r="BF375" s="216"/>
      <c r="BG375" s="216"/>
      <c r="BH375" s="216"/>
      <c r="BI375" s="216"/>
      <c r="BJ375" s="216"/>
      <c r="BK375" s="216"/>
      <c r="BL375" s="216"/>
      <c r="BM375" s="216"/>
      <c r="BN375" s="216"/>
      <c r="BO375" s="216"/>
      <c r="BP375" s="216"/>
      <c r="BQ375" s="216"/>
      <c r="BR375" s="216"/>
      <c r="BS375" s="216"/>
      <c r="BT375" s="216"/>
      <c r="BU375" s="216"/>
      <c r="BV375" s="216"/>
      <c r="BW375" s="217"/>
    </row>
    <row r="376" spans="8:8">
      <c r="AW376" s="215" t="s">
        <v>7478</v>
      </c>
      <c r="AX376" s="216"/>
      <c r="AY376" s="216"/>
      <c r="AZ376" s="216"/>
      <c r="BA376" s="216"/>
      <c r="BB376" s="216" t="s">
        <v>7479</v>
      </c>
      <c r="BC376" s="216"/>
      <c r="BD376" s="216"/>
      <c r="BE376" s="216"/>
      <c r="BF376" s="216"/>
      <c r="BG376" s="216"/>
      <c r="BH376" s="216"/>
      <c r="BI376" s="216"/>
      <c r="BJ376" s="216"/>
      <c r="BK376" s="216"/>
      <c r="BL376" s="216"/>
      <c r="BM376" s="216"/>
      <c r="BN376" s="216"/>
      <c r="BO376" s="216"/>
      <c r="BP376" s="216"/>
      <c r="BQ376" s="216"/>
      <c r="BR376" s="216"/>
      <c r="BS376" s="216"/>
      <c r="BT376" s="216"/>
      <c r="BU376" s="216"/>
      <c r="BV376" s="216"/>
      <c r="BW376" s="217"/>
    </row>
    <row r="377" spans="8:8">
      <c r="AW377" s="215" t="s">
        <v>7480</v>
      </c>
      <c r="AX377" s="216"/>
      <c r="AY377" s="216"/>
      <c r="AZ377" s="216"/>
      <c r="BA377" s="216"/>
      <c r="BB377" s="216" t="s">
        <v>7481</v>
      </c>
      <c r="BC377" s="216"/>
      <c r="BD377" s="216"/>
      <c r="BE377" s="216"/>
      <c r="BF377" s="216"/>
      <c r="BG377" s="216"/>
      <c r="BH377" s="216"/>
      <c r="BI377" s="216"/>
      <c r="BJ377" s="216"/>
      <c r="BK377" s="216"/>
      <c r="BL377" s="216"/>
      <c r="BM377" s="216"/>
      <c r="BN377" s="216"/>
      <c r="BO377" s="216"/>
      <c r="BP377" s="216"/>
      <c r="BQ377" s="216"/>
      <c r="BR377" s="216"/>
      <c r="BS377" s="216"/>
      <c r="BT377" s="216"/>
      <c r="BU377" s="216"/>
      <c r="BV377" s="216"/>
      <c r="BW377" s="217"/>
    </row>
    <row r="378" spans="8:8">
      <c r="AW378" s="215" t="s">
        <v>7482</v>
      </c>
      <c r="AX378" s="216"/>
      <c r="AY378" s="216"/>
      <c r="AZ378" s="216"/>
      <c r="BA378" s="216"/>
      <c r="BB378" s="216" t="s">
        <v>7483</v>
      </c>
      <c r="BC378" s="216"/>
      <c r="BD378" s="216"/>
      <c r="BE378" s="216"/>
      <c r="BF378" s="216"/>
      <c r="BG378" s="216"/>
      <c r="BH378" s="216"/>
      <c r="BI378" s="216"/>
      <c r="BJ378" s="216"/>
      <c r="BK378" s="216"/>
      <c r="BL378" s="216"/>
      <c r="BM378" s="216"/>
      <c r="BN378" s="216"/>
      <c r="BO378" s="216"/>
      <c r="BP378" s="216"/>
      <c r="BQ378" s="216"/>
      <c r="BR378" s="216"/>
      <c r="BS378" s="216"/>
      <c r="BT378" s="216"/>
      <c r="BU378" s="216"/>
      <c r="BV378" s="216"/>
      <c r="BW378" s="217"/>
    </row>
    <row r="379" spans="8:8">
      <c r="AW379" s="215" t="s">
        <v>7484</v>
      </c>
      <c r="AX379" s="216"/>
      <c r="AY379" s="216"/>
      <c r="AZ379" s="216"/>
      <c r="BA379" s="216"/>
      <c r="BB379" s="216" t="s">
        <v>7485</v>
      </c>
      <c r="BC379" s="216"/>
      <c r="BD379" s="216"/>
      <c r="BE379" s="216"/>
      <c r="BF379" s="216"/>
      <c r="BG379" s="216"/>
      <c r="BH379" s="216"/>
      <c r="BI379" s="216"/>
      <c r="BJ379" s="216"/>
      <c r="BK379" s="216"/>
      <c r="BL379" s="216"/>
      <c r="BM379" s="216"/>
      <c r="BN379" s="216"/>
      <c r="BO379" s="216"/>
      <c r="BP379" s="216"/>
      <c r="BQ379" s="216"/>
      <c r="BR379" s="216"/>
      <c r="BS379" s="216"/>
      <c r="BT379" s="216"/>
      <c r="BU379" s="216"/>
      <c r="BV379" s="216"/>
      <c r="BW379" s="217"/>
    </row>
    <row r="380" spans="8:8">
      <c r="AW380" s="215" t="s">
        <v>7486</v>
      </c>
      <c r="AX380" s="216"/>
      <c r="AY380" s="216"/>
      <c r="AZ380" s="216"/>
      <c r="BA380" s="216"/>
      <c r="BB380" s="216" t="s">
        <v>6759</v>
      </c>
      <c r="BC380" s="216"/>
      <c r="BD380" s="216"/>
      <c r="BE380" s="216"/>
      <c r="BF380" s="216"/>
      <c r="BG380" s="216"/>
      <c r="BH380" s="216"/>
      <c r="BI380" s="216"/>
      <c r="BJ380" s="216"/>
      <c r="BK380" s="216"/>
      <c r="BL380" s="216"/>
      <c r="BM380" s="216"/>
      <c r="BN380" s="216"/>
      <c r="BO380" s="216"/>
      <c r="BP380" s="216"/>
      <c r="BQ380" s="216"/>
      <c r="BR380" s="216"/>
      <c r="BS380" s="216"/>
      <c r="BT380" s="216"/>
      <c r="BU380" s="216"/>
      <c r="BV380" s="216"/>
      <c r="BW380" s="217"/>
    </row>
    <row r="381" spans="8:8">
      <c r="AW381" s="215" t="s">
        <v>7487</v>
      </c>
      <c r="AX381" s="216"/>
      <c r="AY381" s="216"/>
      <c r="AZ381" s="216"/>
      <c r="BA381" s="216"/>
      <c r="BB381" s="216" t="s">
        <v>7488</v>
      </c>
      <c r="BC381" s="216"/>
      <c r="BD381" s="216"/>
      <c r="BE381" s="216"/>
      <c r="BF381" s="216"/>
      <c r="BG381" s="216"/>
      <c r="BH381" s="216"/>
      <c r="BI381" s="216"/>
      <c r="BJ381" s="216"/>
      <c r="BK381" s="216"/>
      <c r="BL381" s="216"/>
      <c r="BM381" s="216"/>
      <c r="BN381" s="216"/>
      <c r="BO381" s="216"/>
      <c r="BP381" s="216"/>
      <c r="BQ381" s="216"/>
      <c r="BR381" s="216"/>
      <c r="BS381" s="216"/>
      <c r="BT381" s="216"/>
      <c r="BU381" s="216"/>
      <c r="BV381" s="216"/>
      <c r="BW381" s="217"/>
    </row>
    <row r="382" spans="8:8">
      <c r="AW382" s="215" t="s">
        <v>7489</v>
      </c>
      <c r="AX382" s="216"/>
      <c r="AY382" s="216"/>
      <c r="AZ382" s="216"/>
      <c r="BA382" s="216"/>
      <c r="BB382" s="216" t="s">
        <v>7490</v>
      </c>
      <c r="BC382" s="216"/>
      <c r="BD382" s="216"/>
      <c r="BE382" s="216"/>
      <c r="BF382" s="216"/>
      <c r="BG382" s="216"/>
      <c r="BH382" s="216"/>
      <c r="BI382" s="216"/>
      <c r="BJ382" s="216"/>
      <c r="BK382" s="216"/>
      <c r="BL382" s="216"/>
      <c r="BM382" s="216"/>
      <c r="BN382" s="216"/>
      <c r="BO382" s="216"/>
      <c r="BP382" s="216"/>
      <c r="BQ382" s="216"/>
      <c r="BR382" s="216"/>
      <c r="BS382" s="216"/>
      <c r="BT382" s="216"/>
      <c r="BU382" s="216"/>
      <c r="BV382" s="216"/>
      <c r="BW382" s="217"/>
    </row>
    <row r="383" spans="8:8">
      <c r="AW383" s="215" t="s">
        <v>7491</v>
      </c>
      <c r="AX383" s="216"/>
      <c r="AY383" s="216"/>
      <c r="AZ383" s="216"/>
      <c r="BA383" s="216"/>
      <c r="BB383" s="216" t="s">
        <v>7492</v>
      </c>
      <c r="BC383" s="216"/>
      <c r="BD383" s="216"/>
      <c r="BE383" s="216"/>
      <c r="BF383" s="216"/>
      <c r="BG383" s="216"/>
      <c r="BH383" s="216"/>
      <c r="BI383" s="216"/>
      <c r="BJ383" s="216"/>
      <c r="BK383" s="216"/>
      <c r="BL383" s="216"/>
      <c r="BM383" s="216"/>
      <c r="BN383" s="216"/>
      <c r="BO383" s="216"/>
      <c r="BP383" s="216"/>
      <c r="BQ383" s="216"/>
      <c r="BR383" s="216"/>
      <c r="BS383" s="216"/>
      <c r="BT383" s="216"/>
      <c r="BU383" s="216"/>
      <c r="BV383" s="216"/>
      <c r="BW383" s="217"/>
    </row>
    <row r="384" spans="8:8">
      <c r="AW384" s="215" t="s">
        <v>7493</v>
      </c>
      <c r="AX384" s="216"/>
      <c r="AY384" s="216"/>
      <c r="AZ384" s="216"/>
      <c r="BA384" s="216"/>
      <c r="BB384" s="216" t="s">
        <v>7494</v>
      </c>
      <c r="BC384" s="216"/>
      <c r="BD384" s="216"/>
      <c r="BE384" s="216"/>
      <c r="BF384" s="216"/>
      <c r="BG384" s="216"/>
      <c r="BH384" s="216"/>
      <c r="BI384" s="216"/>
      <c r="BJ384" s="216"/>
      <c r="BK384" s="216"/>
      <c r="BL384" s="216"/>
      <c r="BM384" s="216"/>
      <c r="BN384" s="216"/>
      <c r="BO384" s="216"/>
      <c r="BP384" s="216"/>
      <c r="BQ384" s="216"/>
      <c r="BR384" s="216"/>
      <c r="BS384" s="216"/>
      <c r="BT384" s="216"/>
      <c r="BU384" s="216"/>
      <c r="BV384" s="216"/>
      <c r="BW384" s="217"/>
    </row>
    <row r="385" spans="8:8">
      <c r="AW385" s="215" t="s">
        <v>7495</v>
      </c>
      <c r="AX385" s="216"/>
      <c r="AY385" s="216"/>
      <c r="AZ385" s="216"/>
      <c r="BA385" s="216"/>
      <c r="BB385" s="216" t="s">
        <v>7496</v>
      </c>
      <c r="BC385" s="216"/>
      <c r="BD385" s="216"/>
      <c r="BE385" s="216"/>
      <c r="BF385" s="216"/>
      <c r="BG385" s="216"/>
      <c r="BH385" s="216"/>
      <c r="BI385" s="216"/>
      <c r="BJ385" s="216"/>
      <c r="BK385" s="216"/>
      <c r="BL385" s="216"/>
      <c r="BM385" s="216"/>
      <c r="BN385" s="216"/>
      <c r="BO385" s="216"/>
      <c r="BP385" s="216"/>
      <c r="BQ385" s="216"/>
      <c r="BR385" s="216"/>
      <c r="BS385" s="216"/>
      <c r="BT385" s="216"/>
      <c r="BU385" s="216"/>
      <c r="BV385" s="216"/>
      <c r="BW385" s="217"/>
    </row>
    <row r="386" spans="8:8">
      <c r="AW386" s="215" t="s">
        <v>7497</v>
      </c>
      <c r="AX386" s="216"/>
      <c r="AY386" s="216"/>
      <c r="AZ386" s="216"/>
      <c r="BA386" s="216"/>
      <c r="BB386" s="216" t="s">
        <v>7498</v>
      </c>
      <c r="BC386" s="216"/>
      <c r="BD386" s="216"/>
      <c r="BE386" s="216"/>
      <c r="BF386" s="216"/>
      <c r="BG386" s="216"/>
      <c r="BH386" s="216"/>
      <c r="BI386" s="216"/>
      <c r="BJ386" s="216"/>
      <c r="BK386" s="216"/>
      <c r="BL386" s="216"/>
      <c r="BM386" s="216"/>
      <c r="BN386" s="216"/>
      <c r="BO386" s="216"/>
      <c r="BP386" s="216"/>
      <c r="BQ386" s="216"/>
      <c r="BR386" s="216"/>
      <c r="BS386" s="216"/>
      <c r="BT386" s="216"/>
      <c r="BU386" s="216"/>
      <c r="BV386" s="216"/>
      <c r="BW386" s="217"/>
    </row>
    <row r="387" spans="8:8">
      <c r="AW387" s="215" t="s">
        <v>7499</v>
      </c>
      <c r="AX387" s="216"/>
      <c r="AY387" s="216"/>
      <c r="AZ387" s="216"/>
      <c r="BA387" s="216"/>
      <c r="BB387" s="216" t="s">
        <v>7500</v>
      </c>
      <c r="BC387" s="216"/>
      <c r="BD387" s="216"/>
      <c r="BE387" s="216"/>
      <c r="BF387" s="216"/>
      <c r="BG387" s="216"/>
      <c r="BH387" s="216"/>
      <c r="BI387" s="216"/>
      <c r="BJ387" s="216"/>
      <c r="BK387" s="216"/>
      <c r="BL387" s="216"/>
      <c r="BM387" s="216"/>
      <c r="BN387" s="216"/>
      <c r="BO387" s="216"/>
      <c r="BP387" s="216"/>
      <c r="BQ387" s="216"/>
      <c r="BR387" s="216"/>
      <c r="BS387" s="216"/>
      <c r="BT387" s="216"/>
      <c r="BU387" s="216"/>
      <c r="BV387" s="216"/>
      <c r="BW387" s="217"/>
    </row>
    <row r="388" spans="8:8">
      <c r="AW388" s="215" t="s">
        <v>7501</v>
      </c>
      <c r="AX388" s="216"/>
      <c r="AY388" s="216"/>
      <c r="AZ388" s="216"/>
      <c r="BA388" s="216"/>
      <c r="BB388" s="216" t="s">
        <v>7502</v>
      </c>
      <c r="BC388" s="216"/>
      <c r="BD388" s="216"/>
      <c r="BE388" s="216"/>
      <c r="BF388" s="216"/>
      <c r="BG388" s="216"/>
      <c r="BH388" s="216"/>
      <c r="BI388" s="216"/>
      <c r="BJ388" s="216"/>
      <c r="BK388" s="216"/>
      <c r="BL388" s="216"/>
      <c r="BM388" s="216"/>
      <c r="BN388" s="216"/>
      <c r="BO388" s="216"/>
      <c r="BP388" s="216"/>
      <c r="BQ388" s="216"/>
      <c r="BR388" s="216"/>
      <c r="BS388" s="216"/>
      <c r="BT388" s="216"/>
      <c r="BU388" s="216"/>
      <c r="BV388" s="216"/>
      <c r="BW388" s="217"/>
    </row>
    <row r="389" spans="8:8">
      <c r="AW389" s="215" t="s">
        <v>7503</v>
      </c>
      <c r="AX389" s="216"/>
      <c r="AY389" s="216"/>
      <c r="AZ389" s="216"/>
      <c r="BA389" s="216"/>
      <c r="BB389" s="216" t="s">
        <v>7504</v>
      </c>
      <c r="BC389" s="216"/>
      <c r="BD389" s="216"/>
      <c r="BE389" s="216"/>
      <c r="BF389" s="216"/>
      <c r="BG389" s="216"/>
      <c r="BH389" s="216"/>
      <c r="BI389" s="216"/>
      <c r="BJ389" s="216"/>
      <c r="BK389" s="216"/>
      <c r="BL389" s="216"/>
      <c r="BM389" s="216"/>
      <c r="BN389" s="216"/>
      <c r="BO389" s="216"/>
      <c r="BP389" s="216"/>
      <c r="BQ389" s="216"/>
      <c r="BR389" s="216"/>
      <c r="BS389" s="216"/>
      <c r="BT389" s="216"/>
      <c r="BU389" s="216"/>
      <c r="BV389" s="216"/>
      <c r="BW389" s="217"/>
    </row>
    <row r="390" spans="8:8">
      <c r="AW390" s="215" t="s">
        <v>7505</v>
      </c>
      <c r="AX390" s="216"/>
      <c r="AY390" s="216"/>
      <c r="AZ390" s="216"/>
      <c r="BA390" s="216"/>
      <c r="BB390" s="216" t="s">
        <v>7506</v>
      </c>
      <c r="BC390" s="216"/>
      <c r="BD390" s="216"/>
      <c r="BE390" s="216"/>
      <c r="BF390" s="216"/>
      <c r="BG390" s="216"/>
      <c r="BH390" s="216"/>
      <c r="BI390" s="216"/>
      <c r="BJ390" s="216"/>
      <c r="BK390" s="216"/>
      <c r="BL390" s="216"/>
      <c r="BM390" s="216"/>
      <c r="BN390" s="216"/>
      <c r="BO390" s="216"/>
      <c r="BP390" s="216"/>
      <c r="BQ390" s="216"/>
      <c r="BR390" s="216"/>
      <c r="BS390" s="216"/>
      <c r="BT390" s="216"/>
      <c r="BU390" s="216"/>
      <c r="BV390" s="216"/>
      <c r="BW390" s="217"/>
    </row>
    <row r="391" spans="8:8">
      <c r="AW391" s="215" t="s">
        <v>7507</v>
      </c>
      <c r="AX391" s="216"/>
      <c r="AY391" s="216"/>
      <c r="AZ391" s="216"/>
      <c r="BA391" s="216"/>
      <c r="BB391" s="216" t="s">
        <v>7508</v>
      </c>
      <c r="BC391" s="216"/>
      <c r="BD391" s="216"/>
      <c r="BE391" s="216"/>
      <c r="BF391" s="216"/>
      <c r="BG391" s="216"/>
      <c r="BH391" s="216"/>
      <c r="BI391" s="216"/>
      <c r="BJ391" s="216"/>
      <c r="BK391" s="216"/>
      <c r="BL391" s="216"/>
      <c r="BM391" s="216"/>
      <c r="BN391" s="216"/>
      <c r="BO391" s="216"/>
      <c r="BP391" s="216"/>
      <c r="BQ391" s="216"/>
      <c r="BR391" s="216"/>
      <c r="BS391" s="216"/>
      <c r="BT391" s="216"/>
      <c r="BU391" s="216"/>
      <c r="BV391" s="216"/>
      <c r="BW391" s="217"/>
    </row>
    <row r="392" spans="8:8">
      <c r="AW392" s="215" t="s">
        <v>7509</v>
      </c>
      <c r="AX392" s="216"/>
      <c r="AY392" s="216"/>
      <c r="AZ392" s="216"/>
      <c r="BA392" s="216"/>
      <c r="BB392" s="216" t="s">
        <v>7510</v>
      </c>
      <c r="BC392" s="216"/>
      <c r="BD392" s="216"/>
      <c r="BE392" s="216"/>
      <c r="BF392" s="216"/>
      <c r="BG392" s="216"/>
      <c r="BH392" s="216"/>
      <c r="BI392" s="216"/>
      <c r="BJ392" s="216"/>
      <c r="BK392" s="216"/>
      <c r="BL392" s="216"/>
      <c r="BM392" s="216"/>
      <c r="BN392" s="216"/>
      <c r="BO392" s="216"/>
      <c r="BP392" s="216"/>
      <c r="BQ392" s="216"/>
      <c r="BR392" s="216"/>
      <c r="BS392" s="216"/>
      <c r="BT392" s="216"/>
      <c r="BU392" s="216"/>
      <c r="BV392" s="216"/>
      <c r="BW392" s="217"/>
    </row>
    <row r="393" spans="8:8">
      <c r="AW393" s="215" t="s">
        <v>7511</v>
      </c>
      <c r="AX393" s="216"/>
      <c r="AY393" s="216"/>
      <c r="AZ393" s="216"/>
      <c r="BA393" s="216"/>
      <c r="BB393" s="216" t="s">
        <v>7512</v>
      </c>
      <c r="BC393" s="216"/>
      <c r="BD393" s="216"/>
      <c r="BE393" s="216"/>
      <c r="BF393" s="216"/>
      <c r="BG393" s="216"/>
      <c r="BH393" s="216"/>
      <c r="BI393" s="216"/>
      <c r="BJ393" s="216"/>
      <c r="BK393" s="216"/>
      <c r="BL393" s="216"/>
      <c r="BM393" s="216"/>
      <c r="BN393" s="216"/>
      <c r="BO393" s="216"/>
      <c r="BP393" s="216"/>
      <c r="BQ393" s="216"/>
      <c r="BR393" s="216"/>
      <c r="BS393" s="216"/>
      <c r="BT393" s="216"/>
      <c r="BU393" s="216"/>
      <c r="BV393" s="216"/>
      <c r="BW393" s="217"/>
    </row>
    <row r="394" spans="8:8">
      <c r="AW394" s="215" t="s">
        <v>7513</v>
      </c>
      <c r="AX394" s="216"/>
      <c r="AY394" s="216"/>
      <c r="AZ394" s="216"/>
      <c r="BA394" s="216"/>
      <c r="BB394" s="216" t="s">
        <v>7514</v>
      </c>
      <c r="BC394" s="216"/>
      <c r="BD394" s="216"/>
      <c r="BE394" s="216"/>
      <c r="BF394" s="216"/>
      <c r="BG394" s="216"/>
      <c r="BH394" s="216"/>
      <c r="BI394" s="216"/>
      <c r="BJ394" s="216"/>
      <c r="BK394" s="216"/>
      <c r="BL394" s="216"/>
      <c r="BM394" s="216"/>
      <c r="BN394" s="216"/>
      <c r="BO394" s="216"/>
      <c r="BP394" s="216"/>
      <c r="BQ394" s="216"/>
      <c r="BR394" s="216"/>
      <c r="BS394" s="216"/>
      <c r="BT394" s="216"/>
      <c r="BU394" s="216"/>
      <c r="BV394" s="216"/>
      <c r="BW394" s="217"/>
    </row>
    <row r="395" spans="8:8">
      <c r="AW395" s="215" t="s">
        <v>7515</v>
      </c>
      <c r="AX395" s="216"/>
      <c r="AY395" s="216"/>
      <c r="AZ395" s="216"/>
      <c r="BA395" s="216"/>
      <c r="BB395" s="216" t="s">
        <v>7516</v>
      </c>
      <c r="BC395" s="216"/>
      <c r="BD395" s="216"/>
      <c r="BE395" s="216"/>
      <c r="BF395" s="216"/>
      <c r="BG395" s="216"/>
      <c r="BH395" s="216"/>
      <c r="BI395" s="216"/>
      <c r="BJ395" s="216"/>
      <c r="BK395" s="216"/>
      <c r="BL395" s="216"/>
      <c r="BM395" s="216"/>
      <c r="BN395" s="216"/>
      <c r="BO395" s="216"/>
      <c r="BP395" s="216"/>
      <c r="BQ395" s="216"/>
      <c r="BR395" s="216"/>
      <c r="BS395" s="216"/>
      <c r="BT395" s="216"/>
      <c r="BU395" s="216"/>
      <c r="BV395" s="216"/>
      <c r="BW395" s="217"/>
    </row>
    <row r="396" spans="8:8">
      <c r="AW396" s="215" t="s">
        <v>7517</v>
      </c>
      <c r="AX396" s="216"/>
      <c r="AY396" s="216"/>
      <c r="AZ396" s="216"/>
      <c r="BA396" s="216"/>
      <c r="BB396" s="216" t="s">
        <v>7518</v>
      </c>
      <c r="BC396" s="216"/>
      <c r="BD396" s="216"/>
      <c r="BE396" s="216"/>
      <c r="BF396" s="216"/>
      <c r="BG396" s="216"/>
      <c r="BH396" s="216"/>
      <c r="BI396" s="216"/>
      <c r="BJ396" s="216"/>
      <c r="BK396" s="216"/>
      <c r="BL396" s="216"/>
      <c r="BM396" s="216"/>
      <c r="BN396" s="216"/>
      <c r="BO396" s="216"/>
      <c r="BP396" s="216"/>
      <c r="BQ396" s="216"/>
      <c r="BR396" s="216"/>
      <c r="BS396" s="216"/>
      <c r="BT396" s="216"/>
      <c r="BU396" s="216"/>
      <c r="BV396" s="216"/>
      <c r="BW396" s="217"/>
    </row>
    <row r="397" spans="8:8">
      <c r="AW397" s="215" t="s">
        <v>7519</v>
      </c>
      <c r="AX397" s="216"/>
      <c r="AY397" s="216"/>
      <c r="AZ397" s="216"/>
      <c r="BA397" s="216"/>
      <c r="BB397" s="216" t="s">
        <v>7520</v>
      </c>
      <c r="BC397" s="216"/>
      <c r="BD397" s="216"/>
      <c r="BE397" s="216"/>
      <c r="BF397" s="216"/>
      <c r="BG397" s="216"/>
      <c r="BH397" s="216"/>
      <c r="BI397" s="216"/>
      <c r="BJ397" s="216"/>
      <c r="BK397" s="216"/>
      <c r="BL397" s="216"/>
      <c r="BM397" s="216"/>
      <c r="BN397" s="216"/>
      <c r="BO397" s="216"/>
      <c r="BP397" s="216"/>
      <c r="BQ397" s="216"/>
      <c r="BR397" s="216"/>
      <c r="BS397" s="216"/>
      <c r="BT397" s="216"/>
      <c r="BU397" s="216"/>
      <c r="BV397" s="216"/>
      <c r="BW397" s="217"/>
    </row>
    <row r="398" spans="8:8">
      <c r="AW398" s="215" t="s">
        <v>7497</v>
      </c>
      <c r="AX398" s="216"/>
      <c r="AY398" s="216"/>
      <c r="AZ398" s="216"/>
      <c r="BA398" s="216"/>
      <c r="BB398" s="216" t="s">
        <v>7498</v>
      </c>
      <c r="BC398" s="216"/>
      <c r="BD398" s="216"/>
      <c r="BE398" s="216"/>
      <c r="BF398" s="216"/>
      <c r="BG398" s="216"/>
      <c r="BH398" s="216"/>
      <c r="BI398" s="216"/>
      <c r="BJ398" s="216"/>
      <c r="BK398" s="216"/>
      <c r="BL398" s="216"/>
      <c r="BM398" s="216"/>
      <c r="BN398" s="216"/>
      <c r="BO398" s="216"/>
      <c r="BP398" s="216"/>
      <c r="BQ398" s="216"/>
      <c r="BR398" s="216"/>
      <c r="BS398" s="216"/>
      <c r="BT398" s="216"/>
      <c r="BU398" s="216"/>
      <c r="BV398" s="216"/>
      <c r="BW398" s="217"/>
    </row>
    <row r="399" spans="8:8">
      <c r="AW399" s="215" t="s">
        <v>7521</v>
      </c>
      <c r="AX399" s="216"/>
      <c r="AY399" s="216"/>
      <c r="AZ399" s="216"/>
      <c r="BA399" s="216"/>
      <c r="BB399" s="216" t="s">
        <v>7522</v>
      </c>
      <c r="BC399" s="216"/>
      <c r="BD399" s="216"/>
      <c r="BE399" s="216"/>
      <c r="BF399" s="216"/>
      <c r="BG399" s="216"/>
      <c r="BH399" s="216"/>
      <c r="BI399" s="216"/>
      <c r="BJ399" s="216"/>
      <c r="BK399" s="216"/>
      <c r="BL399" s="216"/>
      <c r="BM399" s="216"/>
      <c r="BN399" s="216"/>
      <c r="BO399" s="216"/>
      <c r="BP399" s="216"/>
      <c r="BQ399" s="216"/>
      <c r="BR399" s="216"/>
      <c r="BS399" s="216"/>
      <c r="BT399" s="216"/>
      <c r="BU399" s="216"/>
      <c r="BV399" s="216"/>
      <c r="BW399" s="217"/>
    </row>
    <row r="400" spans="8:8">
      <c r="AW400" s="215" t="s">
        <v>7523</v>
      </c>
      <c r="AX400" s="216"/>
      <c r="AY400" s="216"/>
      <c r="AZ400" s="216"/>
      <c r="BA400" s="216"/>
      <c r="BB400" s="216" t="s">
        <v>7524</v>
      </c>
      <c r="BC400" s="216"/>
      <c r="BD400" s="216"/>
      <c r="BE400" s="216"/>
      <c r="BF400" s="216"/>
      <c r="BG400" s="216"/>
      <c r="BH400" s="216"/>
      <c r="BI400" s="216"/>
      <c r="BJ400" s="216"/>
      <c r="BK400" s="216"/>
      <c r="BL400" s="216"/>
      <c r="BM400" s="216"/>
      <c r="BN400" s="216"/>
      <c r="BO400" s="216"/>
      <c r="BP400" s="216"/>
      <c r="BQ400" s="216"/>
      <c r="BR400" s="216"/>
      <c r="BS400" s="216"/>
      <c r="BT400" s="216"/>
      <c r="BU400" s="216"/>
      <c r="BV400" s="216"/>
      <c r="BW400" s="217"/>
    </row>
    <row r="401" spans="8:8">
      <c r="AW401" s="215" t="s">
        <v>7525</v>
      </c>
      <c r="AX401" s="216"/>
      <c r="AY401" s="216"/>
      <c r="AZ401" s="216"/>
      <c r="BA401" s="216"/>
      <c r="BB401" s="216" t="s">
        <v>7526</v>
      </c>
      <c r="BC401" s="216"/>
      <c r="BD401" s="216"/>
      <c r="BE401" s="216"/>
      <c r="BF401" s="216"/>
      <c r="BG401" s="216"/>
      <c r="BH401" s="216"/>
      <c r="BI401" s="216"/>
      <c r="BJ401" s="216"/>
      <c r="BK401" s="216"/>
      <c r="BL401" s="216"/>
      <c r="BM401" s="216"/>
      <c r="BN401" s="216"/>
      <c r="BO401" s="216"/>
      <c r="BP401" s="216"/>
      <c r="BQ401" s="216"/>
      <c r="BR401" s="216"/>
      <c r="BS401" s="216"/>
      <c r="BT401" s="216"/>
      <c r="BU401" s="216"/>
      <c r="BV401" s="216"/>
      <c r="BW401" s="217"/>
    </row>
    <row r="402" spans="8:8">
      <c r="AW402" s="215" t="s">
        <v>7527</v>
      </c>
      <c r="AX402" s="216"/>
      <c r="AY402" s="216"/>
      <c r="AZ402" s="216"/>
      <c r="BA402" s="216"/>
      <c r="BB402" s="216" t="s">
        <v>7528</v>
      </c>
      <c r="BC402" s="216"/>
      <c r="BD402" s="216"/>
      <c r="BE402" s="216"/>
      <c r="BF402" s="216"/>
      <c r="BG402" s="216"/>
      <c r="BH402" s="216"/>
      <c r="BI402" s="216"/>
      <c r="BJ402" s="216"/>
      <c r="BK402" s="216"/>
      <c r="BL402" s="216"/>
      <c r="BM402" s="216"/>
      <c r="BN402" s="216"/>
      <c r="BO402" s="216"/>
      <c r="BP402" s="216"/>
      <c r="BQ402" s="216"/>
      <c r="BR402" s="216"/>
      <c r="BS402" s="216"/>
      <c r="BT402" s="216"/>
      <c r="BU402" s="216"/>
      <c r="BV402" s="216"/>
      <c r="BW402" s="217"/>
    </row>
    <row r="403" spans="8:8">
      <c r="AW403" s="215" t="s">
        <v>7503</v>
      </c>
      <c r="AX403" s="216"/>
      <c r="AY403" s="216"/>
      <c r="AZ403" s="216"/>
      <c r="BA403" s="216"/>
      <c r="BB403" s="216" t="s">
        <v>7529</v>
      </c>
      <c r="BC403" s="216"/>
      <c r="BD403" s="216"/>
      <c r="BE403" s="216"/>
      <c r="BF403" s="216"/>
      <c r="BG403" s="216"/>
      <c r="BH403" s="216"/>
      <c r="BI403" s="216"/>
      <c r="BJ403" s="216"/>
      <c r="BK403" s="216"/>
      <c r="BL403" s="216"/>
      <c r="BM403" s="216"/>
      <c r="BN403" s="216"/>
      <c r="BO403" s="216"/>
      <c r="BP403" s="216"/>
      <c r="BQ403" s="216"/>
      <c r="BR403" s="216"/>
      <c r="BS403" s="216"/>
      <c r="BT403" s="216"/>
      <c r="BU403" s="216"/>
      <c r="BV403" s="216"/>
      <c r="BW403" s="217"/>
    </row>
    <row r="404" spans="8:8">
      <c r="AW404" s="215" t="s">
        <v>7468</v>
      </c>
      <c r="AX404" s="216"/>
      <c r="AY404" s="216"/>
      <c r="AZ404" s="216"/>
      <c r="BA404" s="216"/>
      <c r="BB404" s="216" t="s">
        <v>7530</v>
      </c>
      <c r="BC404" s="216"/>
      <c r="BD404" s="216"/>
      <c r="BE404" s="216"/>
      <c r="BF404" s="216"/>
      <c r="BG404" s="216"/>
      <c r="BH404" s="216"/>
      <c r="BI404" s="216"/>
      <c r="BJ404" s="216"/>
      <c r="BK404" s="216"/>
      <c r="BL404" s="216"/>
      <c r="BM404" s="216"/>
      <c r="BN404" s="216"/>
      <c r="BO404" s="216"/>
      <c r="BP404" s="216"/>
      <c r="BQ404" s="216"/>
      <c r="BR404" s="216"/>
      <c r="BS404" s="216"/>
      <c r="BT404" s="216"/>
      <c r="BU404" s="216"/>
      <c r="BV404" s="216"/>
      <c r="BW404" s="217"/>
    </row>
    <row r="405" spans="8:8">
      <c r="AW405" s="215" t="s">
        <v>7531</v>
      </c>
      <c r="AX405" s="216"/>
      <c r="AY405" s="216"/>
      <c r="AZ405" s="216"/>
      <c r="BA405" s="216"/>
      <c r="BB405" s="216" t="s">
        <v>7532</v>
      </c>
      <c r="BC405" s="216"/>
      <c r="BD405" s="216"/>
      <c r="BE405" s="216"/>
      <c r="BF405" s="216"/>
      <c r="BG405" s="216"/>
      <c r="BH405" s="216"/>
      <c r="BI405" s="216"/>
      <c r="BJ405" s="216"/>
      <c r="BK405" s="216"/>
      <c r="BL405" s="216"/>
      <c r="BM405" s="216"/>
      <c r="BN405" s="216"/>
      <c r="BO405" s="216"/>
      <c r="BP405" s="216"/>
      <c r="BQ405" s="216"/>
      <c r="BR405" s="216"/>
      <c r="BS405" s="216"/>
      <c r="BT405" s="216"/>
      <c r="BU405" s="216"/>
      <c r="BV405" s="216"/>
      <c r="BW405" s="217"/>
    </row>
    <row r="406" spans="8:8">
      <c r="AW406" s="215" t="s">
        <v>7533</v>
      </c>
      <c r="AX406" s="216"/>
      <c r="AY406" s="216"/>
      <c r="AZ406" s="216"/>
      <c r="BA406" s="216"/>
      <c r="BB406" s="216" t="s">
        <v>7534</v>
      </c>
      <c r="BC406" s="216"/>
      <c r="BD406" s="216"/>
      <c r="BE406" s="216"/>
      <c r="BF406" s="216"/>
      <c r="BG406" s="216"/>
      <c r="BH406" s="216"/>
      <c r="BI406" s="216"/>
      <c r="BJ406" s="216"/>
      <c r="BK406" s="216"/>
      <c r="BL406" s="216"/>
      <c r="BM406" s="216"/>
      <c r="BN406" s="216"/>
      <c r="BO406" s="216"/>
      <c r="BP406" s="216"/>
      <c r="BQ406" s="216"/>
      <c r="BR406" s="216"/>
      <c r="BS406" s="216"/>
      <c r="BT406" s="216"/>
      <c r="BU406" s="216"/>
      <c r="BV406" s="216"/>
      <c r="BW406" s="217"/>
    </row>
    <row r="407" spans="8:8">
      <c r="AW407" s="215" t="s">
        <v>7501</v>
      </c>
      <c r="AX407" s="216"/>
      <c r="AY407" s="216"/>
      <c r="AZ407" s="216"/>
      <c r="BA407" s="216"/>
      <c r="BB407" s="216" t="s">
        <v>7535</v>
      </c>
      <c r="BC407" s="216"/>
      <c r="BD407" s="216"/>
      <c r="BE407" s="216"/>
      <c r="BF407" s="216"/>
      <c r="BG407" s="216"/>
      <c r="BH407" s="216"/>
      <c r="BI407" s="216"/>
      <c r="BJ407" s="216"/>
      <c r="BK407" s="216"/>
      <c r="BL407" s="216"/>
      <c r="BM407" s="216"/>
      <c r="BN407" s="216"/>
      <c r="BO407" s="216"/>
      <c r="BP407" s="216"/>
      <c r="BQ407" s="216"/>
      <c r="BR407" s="216"/>
      <c r="BS407" s="216"/>
      <c r="BT407" s="216"/>
      <c r="BU407" s="216"/>
      <c r="BV407" s="216"/>
      <c r="BW407" s="217"/>
    </row>
    <row r="408" spans="8:8">
      <c r="AW408" s="215" t="s">
        <v>7536</v>
      </c>
      <c r="AX408" s="216"/>
      <c r="AY408" s="216"/>
      <c r="AZ408" s="216"/>
      <c r="BA408" s="216"/>
      <c r="BB408" s="216" t="s">
        <v>7537</v>
      </c>
      <c r="BC408" s="216"/>
      <c r="BD408" s="216"/>
      <c r="BE408" s="216"/>
      <c r="BF408" s="216"/>
      <c r="BG408" s="216"/>
      <c r="BH408" s="216"/>
      <c r="BI408" s="216"/>
      <c r="BJ408" s="216"/>
      <c r="BK408" s="216"/>
      <c r="BL408" s="216"/>
      <c r="BM408" s="216"/>
      <c r="BN408" s="216"/>
      <c r="BO408" s="216"/>
      <c r="BP408" s="216"/>
      <c r="BQ408" s="216"/>
      <c r="BR408" s="216"/>
      <c r="BS408" s="216"/>
      <c r="BT408" s="216"/>
      <c r="BU408" s="216"/>
      <c r="BV408" s="216"/>
      <c r="BW408" s="217"/>
    </row>
    <row r="409" spans="8:8">
      <c r="AW409" s="215" t="s">
        <v>7538</v>
      </c>
      <c r="AX409" s="216"/>
      <c r="AY409" s="216"/>
      <c r="AZ409" s="216"/>
      <c r="BA409" s="216"/>
      <c r="BB409" s="216" t="s">
        <v>7539</v>
      </c>
      <c r="BC409" s="216"/>
      <c r="BD409" s="216"/>
      <c r="BE409" s="216"/>
      <c r="BF409" s="216"/>
      <c r="BG409" s="216"/>
      <c r="BH409" s="216"/>
      <c r="BI409" s="216"/>
      <c r="BJ409" s="216"/>
      <c r="BK409" s="216"/>
      <c r="BL409" s="216"/>
      <c r="BM409" s="216"/>
      <c r="BN409" s="216"/>
      <c r="BO409" s="216"/>
      <c r="BP409" s="216"/>
      <c r="BQ409" s="216"/>
      <c r="BR409" s="216"/>
      <c r="BS409" s="216"/>
      <c r="BT409" s="216"/>
      <c r="BU409" s="216"/>
      <c r="BV409" s="216"/>
      <c r="BW409" s="217"/>
    </row>
    <row r="410" spans="8:8">
      <c r="AW410" s="215" t="s">
        <v>7540</v>
      </c>
      <c r="AX410" s="216"/>
      <c r="AY410" s="216"/>
      <c r="AZ410" s="216"/>
      <c r="BA410" s="216"/>
      <c r="BB410" s="216" t="s">
        <v>5759</v>
      </c>
      <c r="BC410" s="216"/>
      <c r="BD410" s="216"/>
      <c r="BE410" s="216"/>
      <c r="BF410" s="216"/>
      <c r="BG410" s="216"/>
      <c r="BH410" s="216"/>
      <c r="BI410" s="216"/>
      <c r="BJ410" s="216"/>
      <c r="BK410" s="216"/>
      <c r="BL410" s="216"/>
      <c r="BM410" s="216"/>
      <c r="BN410" s="216"/>
      <c r="BO410" s="216"/>
      <c r="BP410" s="216"/>
      <c r="BQ410" s="216"/>
      <c r="BR410" s="216"/>
      <c r="BS410" s="216"/>
      <c r="BT410" s="216"/>
      <c r="BU410" s="216"/>
      <c r="BV410" s="216"/>
      <c r="BW410" s="217"/>
    </row>
    <row r="411" spans="8:8">
      <c r="AW411" s="215" t="s">
        <v>7541</v>
      </c>
      <c r="AX411" s="216"/>
      <c r="AY411" s="216"/>
      <c r="AZ411" s="216"/>
      <c r="BA411" s="216"/>
      <c r="BB411" s="216" t="s">
        <v>7542</v>
      </c>
      <c r="BC411" s="216"/>
      <c r="BD411" s="216"/>
      <c r="BE411" s="216"/>
      <c r="BF411" s="216"/>
      <c r="BG411" s="216"/>
      <c r="BH411" s="216"/>
      <c r="BI411" s="216"/>
      <c r="BJ411" s="216"/>
      <c r="BK411" s="216"/>
      <c r="BL411" s="216"/>
      <c r="BM411" s="216"/>
      <c r="BN411" s="216"/>
      <c r="BO411" s="216"/>
      <c r="BP411" s="216"/>
      <c r="BQ411" s="216"/>
      <c r="BR411" s="216"/>
      <c r="BS411" s="216"/>
      <c r="BT411" s="216"/>
      <c r="BU411" s="216"/>
      <c r="BV411" s="216"/>
      <c r="BW411" s="217"/>
    </row>
    <row r="412" spans="8:8">
      <c r="AW412" s="215" t="s">
        <v>7543</v>
      </c>
      <c r="AX412" s="216"/>
      <c r="AY412" s="216"/>
      <c r="AZ412" s="216"/>
      <c r="BA412" s="216"/>
      <c r="BB412" s="216" t="s">
        <v>7544</v>
      </c>
      <c r="BC412" s="216"/>
      <c r="BD412" s="216"/>
      <c r="BE412" s="216"/>
      <c r="BF412" s="216"/>
      <c r="BG412" s="216"/>
      <c r="BH412" s="216"/>
      <c r="BI412" s="216"/>
      <c r="BJ412" s="216"/>
      <c r="BK412" s="216"/>
      <c r="BL412" s="216"/>
      <c r="BM412" s="216"/>
      <c r="BN412" s="216"/>
      <c r="BO412" s="216"/>
      <c r="BP412" s="216"/>
      <c r="BQ412" s="216"/>
      <c r="BR412" s="216"/>
      <c r="BS412" s="216"/>
      <c r="BT412" s="216"/>
      <c r="BU412" s="216"/>
      <c r="BV412" s="216"/>
      <c r="BW412" s="217"/>
    </row>
    <row r="413" spans="8:8">
      <c r="AW413" s="215" t="s">
        <v>7545</v>
      </c>
      <c r="AX413" s="216"/>
      <c r="AY413" s="216"/>
      <c r="AZ413" s="216"/>
      <c r="BA413" s="216"/>
      <c r="BB413" s="216" t="s">
        <v>7546</v>
      </c>
      <c r="BC413" s="216"/>
      <c r="BD413" s="216"/>
      <c r="BE413" s="216"/>
      <c r="BF413" s="216"/>
      <c r="BG413" s="216"/>
      <c r="BH413" s="216"/>
      <c r="BI413" s="216"/>
      <c r="BJ413" s="216"/>
      <c r="BK413" s="216"/>
      <c r="BL413" s="216"/>
      <c r="BM413" s="216"/>
      <c r="BN413" s="216"/>
      <c r="BO413" s="216"/>
      <c r="BP413" s="216"/>
      <c r="BQ413" s="216"/>
      <c r="BR413" s="216"/>
      <c r="BS413" s="216"/>
      <c r="BT413" s="216"/>
      <c r="BU413" s="216"/>
      <c r="BV413" s="216"/>
      <c r="BW413" s="217"/>
    </row>
    <row r="414" spans="8:8">
      <c r="AW414" s="215" t="s">
        <v>7547</v>
      </c>
      <c r="AX414" s="216"/>
      <c r="AY414" s="216"/>
      <c r="AZ414" s="216"/>
      <c r="BA414" s="216"/>
      <c r="BB414" s="216" t="s">
        <v>7548</v>
      </c>
      <c r="BC414" s="216"/>
      <c r="BD414" s="216"/>
      <c r="BE414" s="216"/>
      <c r="BF414" s="216"/>
      <c r="BG414" s="216"/>
      <c r="BH414" s="216"/>
      <c r="BI414" s="216"/>
      <c r="BJ414" s="216"/>
      <c r="BK414" s="216"/>
      <c r="BL414" s="216"/>
      <c r="BM414" s="216"/>
      <c r="BN414" s="216"/>
      <c r="BO414" s="216"/>
      <c r="BP414" s="216"/>
      <c r="BQ414" s="216"/>
      <c r="BR414" s="216"/>
      <c r="BS414" s="216"/>
      <c r="BT414" s="216"/>
      <c r="BU414" s="216"/>
      <c r="BV414" s="216"/>
      <c r="BW414" s="217"/>
    </row>
    <row r="415" spans="8:8">
      <c r="AW415" s="215" t="s">
        <v>7549</v>
      </c>
      <c r="AX415" s="216"/>
      <c r="AY415" s="216"/>
      <c r="AZ415" s="216"/>
      <c r="BA415" s="216"/>
      <c r="BB415" s="216" t="s">
        <v>7550</v>
      </c>
      <c r="BC415" s="216"/>
      <c r="BD415" s="216"/>
      <c r="BE415" s="216"/>
      <c r="BF415" s="216"/>
      <c r="BG415" s="216"/>
      <c r="BH415" s="216"/>
      <c r="BI415" s="216"/>
      <c r="BJ415" s="216"/>
      <c r="BK415" s="216"/>
      <c r="BL415" s="216"/>
      <c r="BM415" s="216"/>
      <c r="BN415" s="216"/>
      <c r="BO415" s="216"/>
      <c r="BP415" s="216"/>
      <c r="BQ415" s="216"/>
      <c r="BR415" s="216"/>
      <c r="BS415" s="216"/>
      <c r="BT415" s="216"/>
      <c r="BU415" s="216"/>
      <c r="BV415" s="216"/>
      <c r="BW415" s="217"/>
    </row>
    <row r="416" spans="8:8">
      <c r="AW416" s="215" t="s">
        <v>7551</v>
      </c>
      <c r="AX416" s="216"/>
      <c r="AY416" s="216"/>
      <c r="AZ416" s="216"/>
      <c r="BA416" s="216"/>
      <c r="BB416" s="216" t="s">
        <v>7552</v>
      </c>
      <c r="BC416" s="216"/>
      <c r="BD416" s="216"/>
      <c r="BE416" s="216"/>
      <c r="BF416" s="216"/>
      <c r="BG416" s="216"/>
      <c r="BH416" s="216"/>
      <c r="BI416" s="216"/>
      <c r="BJ416" s="216"/>
      <c r="BK416" s="216"/>
      <c r="BL416" s="216"/>
      <c r="BM416" s="216"/>
      <c r="BN416" s="216"/>
      <c r="BO416" s="216"/>
      <c r="BP416" s="216"/>
      <c r="BQ416" s="216"/>
      <c r="BR416" s="216"/>
      <c r="BS416" s="216"/>
      <c r="BT416" s="216"/>
      <c r="BU416" s="216"/>
      <c r="BV416" s="216"/>
      <c r="BW416" s="217"/>
    </row>
    <row r="417" spans="8:8">
      <c r="AW417" s="215" t="s">
        <v>7553</v>
      </c>
      <c r="AX417" s="216"/>
      <c r="AY417" s="216"/>
      <c r="AZ417" s="216"/>
      <c r="BA417" s="216"/>
      <c r="BB417" s="216" t="s">
        <v>7554</v>
      </c>
      <c r="BC417" s="216"/>
      <c r="BD417" s="216"/>
      <c r="BE417" s="216"/>
      <c r="BF417" s="216"/>
      <c r="BG417" s="216"/>
      <c r="BH417" s="216"/>
      <c r="BI417" s="216"/>
      <c r="BJ417" s="216"/>
      <c r="BK417" s="216"/>
      <c r="BL417" s="216"/>
      <c r="BM417" s="216"/>
      <c r="BN417" s="216"/>
      <c r="BO417" s="216"/>
      <c r="BP417" s="216"/>
      <c r="BQ417" s="216"/>
      <c r="BR417" s="216"/>
      <c r="BS417" s="216"/>
      <c r="BT417" s="216"/>
      <c r="BU417" s="216"/>
      <c r="BV417" s="216"/>
      <c r="BW417" s="217"/>
    </row>
    <row r="418" spans="8:8">
      <c r="AW418" s="215" t="s">
        <v>7555</v>
      </c>
      <c r="AX418" s="216"/>
      <c r="AY418" s="216"/>
      <c r="AZ418" s="216"/>
      <c r="BA418" s="216"/>
      <c r="BB418" s="216" t="s">
        <v>7556</v>
      </c>
      <c r="BC418" s="216"/>
      <c r="BD418" s="216"/>
      <c r="BE418" s="216"/>
      <c r="BF418" s="216"/>
      <c r="BG418" s="216"/>
      <c r="BH418" s="216"/>
      <c r="BI418" s="216"/>
      <c r="BJ418" s="216"/>
      <c r="BK418" s="216"/>
      <c r="BL418" s="216"/>
      <c r="BM418" s="216"/>
      <c r="BN418" s="216"/>
      <c r="BO418" s="216"/>
      <c r="BP418" s="216"/>
      <c r="BQ418" s="216"/>
      <c r="BR418" s="216"/>
      <c r="BS418" s="216"/>
      <c r="BT418" s="216"/>
      <c r="BU418" s="216"/>
      <c r="BV418" s="216"/>
      <c r="BW418" s="217"/>
    </row>
    <row r="419" spans="8:8">
      <c r="AW419" s="215" t="s">
        <v>7557</v>
      </c>
      <c r="AX419" s="216"/>
      <c r="AY419" s="216"/>
      <c r="AZ419" s="216"/>
      <c r="BA419" s="216"/>
      <c r="BB419" s="216" t="s">
        <v>7558</v>
      </c>
      <c r="BC419" s="216"/>
      <c r="BD419" s="216"/>
      <c r="BE419" s="216"/>
      <c r="BF419" s="216"/>
      <c r="BG419" s="216"/>
      <c r="BH419" s="216"/>
      <c r="BI419" s="216"/>
      <c r="BJ419" s="216"/>
      <c r="BK419" s="216"/>
      <c r="BL419" s="216"/>
      <c r="BM419" s="216"/>
      <c r="BN419" s="216"/>
      <c r="BO419" s="216"/>
      <c r="BP419" s="216"/>
      <c r="BQ419" s="216"/>
      <c r="BR419" s="216"/>
      <c r="BS419" s="216"/>
      <c r="BT419" s="216"/>
      <c r="BU419" s="216"/>
      <c r="BV419" s="216"/>
      <c r="BW419" s="217"/>
    </row>
    <row r="420" spans="8:8">
      <c r="AW420" s="215" t="s">
        <v>7559</v>
      </c>
      <c r="AX420" s="216"/>
      <c r="AY420" s="216"/>
      <c r="AZ420" s="216"/>
      <c r="BA420" s="216"/>
      <c r="BB420" s="216" t="s">
        <v>7560</v>
      </c>
      <c r="BC420" s="216"/>
      <c r="BD420" s="216"/>
      <c r="BE420" s="216"/>
      <c r="BF420" s="216"/>
      <c r="BG420" s="216"/>
      <c r="BH420" s="216"/>
      <c r="BI420" s="216"/>
      <c r="BJ420" s="216"/>
      <c r="BK420" s="216"/>
      <c r="BL420" s="216"/>
      <c r="BM420" s="216"/>
      <c r="BN420" s="216"/>
      <c r="BO420" s="216"/>
      <c r="BP420" s="216"/>
      <c r="BQ420" s="216"/>
      <c r="BR420" s="216"/>
      <c r="BS420" s="216"/>
      <c r="BT420" s="216"/>
      <c r="BU420" s="216"/>
      <c r="BV420" s="216"/>
      <c r="BW420" s="217"/>
    </row>
    <row r="421" spans="8:8">
      <c r="AW421" s="215" t="s">
        <v>7561</v>
      </c>
      <c r="AX421" s="216"/>
      <c r="AY421" s="216"/>
      <c r="AZ421" s="216"/>
      <c r="BA421" s="216"/>
      <c r="BB421" s="216" t="s">
        <v>7558</v>
      </c>
      <c r="BC421" s="216"/>
      <c r="BD421" s="216"/>
      <c r="BE421" s="216"/>
      <c r="BF421" s="216"/>
      <c r="BG421" s="216"/>
      <c r="BH421" s="216"/>
      <c r="BI421" s="216"/>
      <c r="BJ421" s="216"/>
      <c r="BK421" s="216"/>
      <c r="BL421" s="216"/>
      <c r="BM421" s="216"/>
      <c r="BN421" s="216"/>
      <c r="BO421" s="216"/>
      <c r="BP421" s="216"/>
      <c r="BQ421" s="216"/>
      <c r="BR421" s="216"/>
      <c r="BS421" s="216"/>
      <c r="BT421" s="216"/>
      <c r="BU421" s="216"/>
      <c r="BV421" s="216"/>
      <c r="BW421" s="217"/>
    </row>
    <row r="422" spans="8:8">
      <c r="AW422" s="215" t="s">
        <v>7562</v>
      </c>
      <c r="AX422" s="216"/>
      <c r="AY422" s="216"/>
      <c r="AZ422" s="216"/>
      <c r="BA422" s="216"/>
      <c r="BB422" s="216" t="s">
        <v>7563</v>
      </c>
      <c r="BC422" s="216"/>
      <c r="BD422" s="216"/>
      <c r="BE422" s="216"/>
      <c r="BF422" s="216"/>
      <c r="BG422" s="216"/>
      <c r="BH422" s="216"/>
      <c r="BI422" s="216"/>
      <c r="BJ422" s="216"/>
      <c r="BK422" s="216"/>
      <c r="BL422" s="216"/>
      <c r="BM422" s="216"/>
      <c r="BN422" s="216"/>
      <c r="BO422" s="216"/>
      <c r="BP422" s="216"/>
      <c r="BQ422" s="216"/>
      <c r="BR422" s="216"/>
      <c r="BS422" s="216"/>
      <c r="BT422" s="216"/>
      <c r="BU422" s="216"/>
      <c r="BV422" s="216"/>
      <c r="BW422" s="217"/>
    </row>
    <row r="423" spans="8:8">
      <c r="AW423" s="215" t="s">
        <v>7564</v>
      </c>
      <c r="AX423" s="216"/>
      <c r="AY423" s="216"/>
      <c r="AZ423" s="216"/>
      <c r="BA423" s="216"/>
      <c r="BB423" s="216" t="s">
        <v>7565</v>
      </c>
      <c r="BC423" s="216"/>
      <c r="BD423" s="216"/>
      <c r="BE423" s="216"/>
      <c r="BF423" s="216"/>
      <c r="BG423" s="216"/>
      <c r="BH423" s="216"/>
      <c r="BI423" s="216"/>
      <c r="BJ423" s="216"/>
      <c r="BK423" s="216"/>
      <c r="BL423" s="216"/>
      <c r="BM423" s="216"/>
      <c r="BN423" s="216"/>
      <c r="BO423" s="216"/>
      <c r="BP423" s="216"/>
      <c r="BQ423" s="216"/>
      <c r="BR423" s="216"/>
      <c r="BS423" s="216"/>
      <c r="BT423" s="216"/>
      <c r="BU423" s="216"/>
      <c r="BV423" s="216"/>
      <c r="BW423" s="217"/>
    </row>
    <row r="424" spans="8:8">
      <c r="AW424" s="215" t="s">
        <v>7566</v>
      </c>
      <c r="AX424" s="216"/>
      <c r="AY424" s="216"/>
      <c r="AZ424" s="216"/>
      <c r="BA424" s="216"/>
      <c r="BB424" s="216" t="s">
        <v>7567</v>
      </c>
      <c r="BC424" s="216"/>
      <c r="BD424" s="216"/>
      <c r="BE424" s="216"/>
      <c r="BF424" s="216"/>
      <c r="BG424" s="216"/>
      <c r="BH424" s="216"/>
      <c r="BI424" s="216"/>
      <c r="BJ424" s="216"/>
      <c r="BK424" s="216"/>
      <c r="BL424" s="216"/>
      <c r="BM424" s="216"/>
      <c r="BN424" s="216"/>
      <c r="BO424" s="216"/>
      <c r="BP424" s="216"/>
      <c r="BQ424" s="216"/>
      <c r="BR424" s="216"/>
      <c r="BS424" s="216"/>
      <c r="BT424" s="216"/>
      <c r="BU424" s="216"/>
      <c r="BV424" s="216"/>
      <c r="BW424" s="217"/>
    </row>
    <row r="425" spans="8:8">
      <c r="AW425" s="215" t="s">
        <v>7568</v>
      </c>
      <c r="AX425" s="216"/>
      <c r="AY425" s="216"/>
      <c r="AZ425" s="216"/>
      <c r="BA425" s="216"/>
      <c r="BB425" s="216" t="s">
        <v>7114</v>
      </c>
      <c r="BC425" s="216"/>
      <c r="BD425" s="216"/>
      <c r="BE425" s="216"/>
      <c r="BF425" s="216"/>
      <c r="BG425" s="216"/>
      <c r="BH425" s="216"/>
      <c r="BI425" s="216"/>
      <c r="BJ425" s="216"/>
      <c r="BK425" s="216"/>
      <c r="BL425" s="216"/>
      <c r="BM425" s="216"/>
      <c r="BN425" s="216"/>
      <c r="BO425" s="216"/>
      <c r="BP425" s="216"/>
      <c r="BQ425" s="216"/>
      <c r="BR425" s="216"/>
      <c r="BS425" s="216"/>
      <c r="BT425" s="216"/>
      <c r="BU425" s="216"/>
      <c r="BV425" s="216"/>
      <c r="BW425" s="217"/>
    </row>
    <row r="426" spans="8:8">
      <c r="AW426" s="215" t="s">
        <v>7569</v>
      </c>
      <c r="AX426" s="216"/>
      <c r="AY426" s="216"/>
      <c r="AZ426" s="216"/>
      <c r="BA426" s="216"/>
      <c r="BB426" s="216" t="s">
        <v>7570</v>
      </c>
      <c r="BC426" s="216"/>
      <c r="BD426" s="216"/>
      <c r="BE426" s="216"/>
      <c r="BF426" s="216"/>
      <c r="BG426" s="216"/>
      <c r="BH426" s="216"/>
      <c r="BI426" s="216"/>
      <c r="BJ426" s="216"/>
      <c r="BK426" s="216"/>
      <c r="BL426" s="216"/>
      <c r="BM426" s="216"/>
      <c r="BN426" s="216"/>
      <c r="BO426" s="216"/>
      <c r="BP426" s="216"/>
      <c r="BQ426" s="216"/>
      <c r="BR426" s="216"/>
      <c r="BS426" s="216"/>
      <c r="BT426" s="216"/>
      <c r="BU426" s="216"/>
      <c r="BV426" s="216"/>
      <c r="BW426" s="217"/>
    </row>
    <row r="427" spans="8:8">
      <c r="AW427" s="215" t="s">
        <v>7571</v>
      </c>
      <c r="AX427" s="216"/>
      <c r="AY427" s="216"/>
      <c r="AZ427" s="216"/>
      <c r="BA427" s="216"/>
      <c r="BB427" s="216" t="s">
        <v>7572</v>
      </c>
      <c r="BC427" s="216"/>
      <c r="BD427" s="216"/>
      <c r="BE427" s="216"/>
      <c r="BF427" s="216"/>
      <c r="BG427" s="216"/>
      <c r="BH427" s="216"/>
      <c r="BI427" s="216"/>
      <c r="BJ427" s="216"/>
      <c r="BK427" s="216"/>
      <c r="BL427" s="216"/>
      <c r="BM427" s="216"/>
      <c r="BN427" s="216"/>
      <c r="BO427" s="216"/>
      <c r="BP427" s="216"/>
      <c r="BQ427" s="216"/>
      <c r="BR427" s="216"/>
      <c r="BS427" s="216"/>
      <c r="BT427" s="216"/>
      <c r="BU427" s="216"/>
      <c r="BV427" s="216"/>
      <c r="BW427" s="217"/>
    </row>
    <row r="428" spans="8:8">
      <c r="AW428" s="215" t="s">
        <v>7573</v>
      </c>
      <c r="AX428" s="216"/>
      <c r="AY428" s="216"/>
      <c r="AZ428" s="216"/>
      <c r="BA428" s="216"/>
      <c r="BB428" s="216" t="s">
        <v>7574</v>
      </c>
      <c r="BC428" s="216"/>
      <c r="BD428" s="216"/>
      <c r="BE428" s="216"/>
      <c r="BF428" s="216"/>
      <c r="BG428" s="216"/>
      <c r="BH428" s="216"/>
      <c r="BI428" s="216"/>
      <c r="BJ428" s="216"/>
      <c r="BK428" s="216"/>
      <c r="BL428" s="216"/>
      <c r="BM428" s="216"/>
      <c r="BN428" s="216"/>
      <c r="BO428" s="216"/>
      <c r="BP428" s="216"/>
      <c r="BQ428" s="216"/>
      <c r="BR428" s="216"/>
      <c r="BS428" s="216"/>
      <c r="BT428" s="216"/>
      <c r="BU428" s="216"/>
      <c r="BV428" s="216"/>
      <c r="BW428" s="217"/>
    </row>
    <row r="429" spans="8:8">
      <c r="AW429" s="215" t="s">
        <v>7575</v>
      </c>
      <c r="AX429" s="216"/>
      <c r="AY429" s="216"/>
      <c r="AZ429" s="216"/>
      <c r="BA429" s="216"/>
      <c r="BB429" s="216" t="s">
        <v>7576</v>
      </c>
      <c r="BC429" s="216"/>
      <c r="BD429" s="216"/>
      <c r="BE429" s="216"/>
      <c r="BF429" s="216"/>
      <c r="BG429" s="216"/>
      <c r="BH429" s="216"/>
      <c r="BI429" s="216"/>
      <c r="BJ429" s="216"/>
      <c r="BK429" s="216"/>
      <c r="BL429" s="216"/>
      <c r="BM429" s="216"/>
      <c r="BN429" s="216"/>
      <c r="BO429" s="216"/>
      <c r="BP429" s="216"/>
      <c r="BQ429" s="216"/>
      <c r="BR429" s="216"/>
      <c r="BS429" s="216"/>
      <c r="BT429" s="216"/>
      <c r="BU429" s="216"/>
      <c r="BV429" s="216"/>
      <c r="BW429" s="217"/>
    </row>
    <row r="430" spans="8:8">
      <c r="AW430" s="215" t="s">
        <v>7577</v>
      </c>
      <c r="AX430" s="216"/>
      <c r="AY430" s="216"/>
      <c r="AZ430" s="216"/>
      <c r="BA430" s="216"/>
      <c r="BB430" s="216" t="s">
        <v>7578</v>
      </c>
      <c r="BC430" s="216"/>
      <c r="BD430" s="216"/>
      <c r="BE430" s="216"/>
      <c r="BF430" s="216"/>
      <c r="BG430" s="216"/>
      <c r="BH430" s="216"/>
      <c r="BI430" s="216"/>
      <c r="BJ430" s="216"/>
      <c r="BK430" s="216"/>
      <c r="BL430" s="216"/>
      <c r="BM430" s="216"/>
      <c r="BN430" s="216"/>
      <c r="BO430" s="216"/>
      <c r="BP430" s="216"/>
      <c r="BQ430" s="216"/>
      <c r="BR430" s="216"/>
      <c r="BS430" s="216"/>
      <c r="BT430" s="216"/>
      <c r="BU430" s="216"/>
      <c r="BV430" s="216"/>
      <c r="BW430" s="217"/>
    </row>
    <row r="431" spans="8:8">
      <c r="AW431" s="215" t="s">
        <v>7579</v>
      </c>
      <c r="AX431" s="216"/>
      <c r="AY431" s="216"/>
      <c r="AZ431" s="216"/>
      <c r="BA431" s="216"/>
      <c r="BB431" s="216" t="s">
        <v>5480</v>
      </c>
      <c r="BC431" s="216"/>
      <c r="BD431" s="216"/>
      <c r="BE431" s="216"/>
      <c r="BF431" s="216"/>
      <c r="BG431" s="216"/>
      <c r="BH431" s="216"/>
      <c r="BI431" s="216"/>
      <c r="BJ431" s="216"/>
      <c r="BK431" s="216"/>
      <c r="BL431" s="216"/>
      <c r="BM431" s="216"/>
      <c r="BN431" s="216"/>
      <c r="BO431" s="216"/>
      <c r="BP431" s="216"/>
      <c r="BQ431" s="216"/>
      <c r="BR431" s="216"/>
      <c r="BS431" s="216"/>
      <c r="BT431" s="216"/>
      <c r="BU431" s="216"/>
      <c r="BV431" s="216"/>
      <c r="BW431" s="217"/>
    </row>
    <row r="432" spans="8:8">
      <c r="AW432" s="215" t="s">
        <v>7580</v>
      </c>
      <c r="AX432" s="216"/>
      <c r="AY432" s="216"/>
      <c r="AZ432" s="216"/>
      <c r="BA432" s="216"/>
      <c r="BB432" s="216" t="s">
        <v>7581</v>
      </c>
      <c r="BC432" s="216"/>
      <c r="BD432" s="216"/>
      <c r="BE432" s="216"/>
      <c r="BF432" s="216"/>
      <c r="BG432" s="216"/>
      <c r="BH432" s="216"/>
      <c r="BI432" s="216"/>
      <c r="BJ432" s="216"/>
      <c r="BK432" s="216"/>
      <c r="BL432" s="216"/>
      <c r="BM432" s="216"/>
      <c r="BN432" s="216"/>
      <c r="BO432" s="216"/>
      <c r="BP432" s="216"/>
      <c r="BQ432" s="216"/>
      <c r="BR432" s="216"/>
      <c r="BS432" s="216"/>
      <c r="BT432" s="216"/>
      <c r="BU432" s="216"/>
      <c r="BV432" s="216"/>
      <c r="BW432" s="217"/>
    </row>
    <row r="433" spans="8:8">
      <c r="AW433" s="215" t="s">
        <v>7582</v>
      </c>
      <c r="AX433" s="216"/>
      <c r="AY433" s="216"/>
      <c r="AZ433" s="216"/>
      <c r="BA433" s="216"/>
      <c r="BB433" s="216" t="s">
        <v>1200</v>
      </c>
      <c r="BC433" s="216"/>
      <c r="BD433" s="216"/>
      <c r="BE433" s="216"/>
      <c r="BF433" s="216"/>
      <c r="BG433" s="216"/>
      <c r="BH433" s="216"/>
      <c r="BI433" s="216"/>
      <c r="BJ433" s="216"/>
      <c r="BK433" s="216"/>
      <c r="BL433" s="216"/>
      <c r="BM433" s="216"/>
      <c r="BN433" s="216"/>
      <c r="BO433" s="216"/>
      <c r="BP433" s="216"/>
      <c r="BQ433" s="216"/>
      <c r="BR433" s="216"/>
      <c r="BS433" s="216"/>
      <c r="BT433" s="216"/>
      <c r="BU433" s="216"/>
      <c r="BV433" s="216"/>
      <c r="BW433" s="217"/>
    </row>
    <row r="434" spans="8:8">
      <c r="AW434" s="215" t="s">
        <v>7583</v>
      </c>
      <c r="AX434" s="216"/>
      <c r="AY434" s="216"/>
      <c r="AZ434" s="216"/>
      <c r="BA434" s="216"/>
      <c r="BB434" s="216" t="s">
        <v>7584</v>
      </c>
      <c r="BC434" s="216"/>
      <c r="BD434" s="216"/>
      <c r="BE434" s="216"/>
      <c r="BF434" s="216"/>
      <c r="BG434" s="216"/>
      <c r="BH434" s="216"/>
      <c r="BI434" s="216"/>
      <c r="BJ434" s="216"/>
      <c r="BK434" s="216"/>
      <c r="BL434" s="216"/>
      <c r="BM434" s="216"/>
      <c r="BN434" s="216"/>
      <c r="BO434" s="216"/>
      <c r="BP434" s="216"/>
      <c r="BQ434" s="216"/>
      <c r="BR434" s="216"/>
      <c r="BS434" s="216"/>
      <c r="BT434" s="216"/>
      <c r="BU434" s="216"/>
      <c r="BV434" s="216"/>
      <c r="BW434" s="217"/>
    </row>
    <row r="435" spans="8:8">
      <c r="AW435" s="215" t="s">
        <v>7585</v>
      </c>
      <c r="AX435" s="216"/>
      <c r="AY435" s="216"/>
      <c r="AZ435" s="216"/>
      <c r="BA435" s="216"/>
      <c r="BB435" s="216" t="s">
        <v>7586</v>
      </c>
      <c r="BC435" s="216"/>
      <c r="BD435" s="216"/>
      <c r="BE435" s="216"/>
      <c r="BF435" s="216"/>
      <c r="BG435" s="216"/>
      <c r="BH435" s="216"/>
      <c r="BI435" s="216"/>
      <c r="BJ435" s="216"/>
      <c r="BK435" s="216"/>
      <c r="BL435" s="216"/>
      <c r="BM435" s="216"/>
      <c r="BN435" s="216"/>
      <c r="BO435" s="216"/>
      <c r="BP435" s="216"/>
      <c r="BQ435" s="216"/>
      <c r="BR435" s="216"/>
      <c r="BS435" s="216"/>
      <c r="BT435" s="216"/>
      <c r="BU435" s="216"/>
      <c r="BV435" s="216"/>
      <c r="BW435" s="217"/>
    </row>
    <row r="436" spans="8:8">
      <c r="AW436" s="215" t="s">
        <v>7587</v>
      </c>
      <c r="AX436" s="216"/>
      <c r="AY436" s="216"/>
      <c r="AZ436" s="216"/>
      <c r="BA436" s="216"/>
      <c r="BB436" s="216" t="s">
        <v>7588</v>
      </c>
      <c r="BC436" s="216"/>
      <c r="BD436" s="216"/>
      <c r="BE436" s="216"/>
      <c r="BF436" s="216"/>
      <c r="BG436" s="216"/>
      <c r="BH436" s="216"/>
      <c r="BI436" s="216"/>
      <c r="BJ436" s="216"/>
      <c r="BK436" s="216"/>
      <c r="BL436" s="216"/>
      <c r="BM436" s="216"/>
      <c r="BN436" s="216"/>
      <c r="BO436" s="216"/>
      <c r="BP436" s="216"/>
      <c r="BQ436" s="216"/>
      <c r="BR436" s="216"/>
      <c r="BS436" s="216"/>
      <c r="BT436" s="216"/>
      <c r="BU436" s="216"/>
      <c r="BV436" s="216"/>
      <c r="BW436" s="217"/>
    </row>
    <row r="437" spans="8:8">
      <c r="AW437" s="215" t="s">
        <v>7589</v>
      </c>
      <c r="AX437" s="216"/>
      <c r="AY437" s="216"/>
      <c r="AZ437" s="216"/>
      <c r="BA437" s="216"/>
      <c r="BB437" s="216" t="s">
        <v>7590</v>
      </c>
      <c r="BC437" s="216"/>
      <c r="BD437" s="216"/>
      <c r="BE437" s="216"/>
      <c r="BF437" s="216"/>
      <c r="BG437" s="216"/>
      <c r="BH437" s="216"/>
      <c r="BI437" s="216"/>
      <c r="BJ437" s="216"/>
      <c r="BK437" s="216"/>
      <c r="BL437" s="216"/>
      <c r="BM437" s="216"/>
      <c r="BN437" s="216"/>
      <c r="BO437" s="216"/>
      <c r="BP437" s="216"/>
      <c r="BQ437" s="216"/>
      <c r="BR437" s="216"/>
      <c r="BS437" s="216"/>
      <c r="BT437" s="216"/>
      <c r="BU437" s="216"/>
      <c r="BV437" s="216"/>
      <c r="BW437" s="217"/>
    </row>
    <row r="438" spans="8:8">
      <c r="AW438" s="215" t="s">
        <v>7591</v>
      </c>
      <c r="AX438" s="216"/>
      <c r="AY438" s="216"/>
      <c r="AZ438" s="216"/>
      <c r="BA438" s="216"/>
      <c r="BB438" s="216" t="s">
        <v>7588</v>
      </c>
      <c r="BC438" s="216"/>
      <c r="BD438" s="216"/>
      <c r="BE438" s="216"/>
      <c r="BF438" s="216"/>
      <c r="BG438" s="216"/>
      <c r="BH438" s="216"/>
      <c r="BI438" s="216"/>
      <c r="BJ438" s="216"/>
      <c r="BK438" s="216"/>
      <c r="BL438" s="216"/>
      <c r="BM438" s="216"/>
      <c r="BN438" s="216"/>
      <c r="BO438" s="216"/>
      <c r="BP438" s="216"/>
      <c r="BQ438" s="216"/>
      <c r="BR438" s="216"/>
      <c r="BS438" s="216"/>
      <c r="BT438" s="216"/>
      <c r="BU438" s="216"/>
      <c r="BV438" s="216"/>
      <c r="BW438" s="217"/>
    </row>
    <row r="439" spans="8:8">
      <c r="AW439" s="215" t="s">
        <v>7592</v>
      </c>
      <c r="AX439" s="216"/>
      <c r="AY439" s="216"/>
      <c r="AZ439" s="216"/>
      <c r="BA439" s="216"/>
      <c r="BB439" s="216" t="s">
        <v>5412</v>
      </c>
      <c r="BC439" s="216"/>
      <c r="BD439" s="216"/>
      <c r="BE439" s="216"/>
      <c r="BF439" s="216"/>
      <c r="BG439" s="216"/>
      <c r="BH439" s="216"/>
      <c r="BI439" s="216"/>
      <c r="BJ439" s="216"/>
      <c r="BK439" s="216"/>
      <c r="BL439" s="216"/>
      <c r="BM439" s="216"/>
      <c r="BN439" s="216"/>
      <c r="BO439" s="216"/>
      <c r="BP439" s="216"/>
      <c r="BQ439" s="216"/>
      <c r="BR439" s="216"/>
      <c r="BS439" s="216"/>
      <c r="BT439" s="216"/>
      <c r="BU439" s="216"/>
      <c r="BV439" s="216"/>
      <c r="BW439" s="217"/>
    </row>
    <row r="440" spans="8:8">
      <c r="AW440" s="215" t="s">
        <v>7593</v>
      </c>
      <c r="AX440" s="216"/>
      <c r="AY440" s="216"/>
      <c r="AZ440" s="216"/>
      <c r="BA440" s="216"/>
      <c r="BB440" s="216" t="s">
        <v>7594</v>
      </c>
      <c r="BC440" s="216"/>
      <c r="BD440" s="216"/>
      <c r="BE440" s="216"/>
      <c r="BF440" s="216"/>
      <c r="BG440" s="216"/>
      <c r="BH440" s="216"/>
      <c r="BI440" s="216"/>
      <c r="BJ440" s="216"/>
      <c r="BK440" s="216"/>
      <c r="BL440" s="216"/>
      <c r="BM440" s="216"/>
      <c r="BN440" s="216"/>
      <c r="BO440" s="216"/>
      <c r="BP440" s="216"/>
      <c r="BQ440" s="216"/>
      <c r="BR440" s="216"/>
      <c r="BS440" s="216"/>
      <c r="BT440" s="216"/>
      <c r="BU440" s="216"/>
      <c r="BV440" s="216"/>
      <c r="BW440" s="217"/>
    </row>
    <row r="441" spans="8:8">
      <c r="AW441" s="215" t="s">
        <v>7595</v>
      </c>
      <c r="AX441" s="216"/>
      <c r="AY441" s="216"/>
      <c r="AZ441" s="216"/>
      <c r="BA441" s="216"/>
      <c r="BB441" s="216" t="s">
        <v>7596</v>
      </c>
      <c r="BC441" s="216"/>
      <c r="BD441" s="216"/>
      <c r="BE441" s="216"/>
      <c r="BF441" s="216"/>
      <c r="BG441" s="216"/>
      <c r="BH441" s="216"/>
      <c r="BI441" s="216"/>
      <c r="BJ441" s="216"/>
      <c r="BK441" s="216"/>
      <c r="BL441" s="216"/>
      <c r="BM441" s="216"/>
      <c r="BN441" s="216"/>
      <c r="BO441" s="216"/>
      <c r="BP441" s="216"/>
      <c r="BQ441" s="216"/>
      <c r="BR441" s="216"/>
      <c r="BS441" s="216"/>
      <c r="BT441" s="216"/>
      <c r="BU441" s="216"/>
      <c r="BV441" s="216"/>
      <c r="BW441" s="217"/>
    </row>
    <row r="442" spans="8:8">
      <c r="AW442" s="215" t="s">
        <v>7597</v>
      </c>
      <c r="AX442" s="216"/>
      <c r="AY442" s="216"/>
      <c r="AZ442" s="216"/>
      <c r="BA442" s="216"/>
      <c r="BB442" s="216" t="s">
        <v>7598</v>
      </c>
      <c r="BC442" s="216"/>
      <c r="BD442" s="216"/>
      <c r="BE442" s="216"/>
      <c r="BF442" s="216"/>
      <c r="BG442" s="216"/>
      <c r="BH442" s="216"/>
      <c r="BI442" s="216"/>
      <c r="BJ442" s="216"/>
      <c r="BK442" s="216"/>
      <c r="BL442" s="216"/>
      <c r="BM442" s="216"/>
      <c r="BN442" s="216"/>
      <c r="BO442" s="216"/>
      <c r="BP442" s="216"/>
      <c r="BQ442" s="216"/>
      <c r="BR442" s="216"/>
      <c r="BS442" s="216"/>
      <c r="BT442" s="216"/>
      <c r="BU442" s="216"/>
      <c r="BV442" s="216"/>
      <c r="BW442" s="217"/>
    </row>
    <row r="443" spans="8:8">
      <c r="AW443" s="215" t="s">
        <v>7599</v>
      </c>
      <c r="AX443" s="216"/>
      <c r="AY443" s="216"/>
      <c r="AZ443" s="216"/>
      <c r="BA443" s="216"/>
      <c r="BB443" s="216" t="s">
        <v>7600</v>
      </c>
      <c r="BC443" s="216"/>
      <c r="BD443" s="216"/>
      <c r="BE443" s="216"/>
      <c r="BF443" s="216"/>
      <c r="BG443" s="216"/>
      <c r="BH443" s="216"/>
      <c r="BI443" s="216"/>
      <c r="BJ443" s="216"/>
      <c r="BK443" s="216"/>
      <c r="BL443" s="216"/>
      <c r="BM443" s="216"/>
      <c r="BN443" s="216"/>
      <c r="BO443" s="216"/>
      <c r="BP443" s="216"/>
      <c r="BQ443" s="216"/>
      <c r="BR443" s="216"/>
      <c r="BS443" s="216"/>
      <c r="BT443" s="216"/>
      <c r="BU443" s="216"/>
      <c r="BV443" s="216"/>
      <c r="BW443" s="217"/>
    </row>
    <row r="444" spans="8:8">
      <c r="AW444" s="215" t="s">
        <v>7601</v>
      </c>
      <c r="AX444" s="216"/>
      <c r="AY444" s="216"/>
      <c r="AZ444" s="216"/>
      <c r="BA444" s="216"/>
      <c r="BB444" s="216" t="s">
        <v>7602</v>
      </c>
      <c r="BC444" s="216"/>
      <c r="BD444" s="216"/>
      <c r="BE444" s="216"/>
      <c r="BF444" s="216"/>
      <c r="BG444" s="216"/>
      <c r="BH444" s="216"/>
      <c r="BI444" s="216"/>
      <c r="BJ444" s="216"/>
      <c r="BK444" s="216"/>
      <c r="BL444" s="216"/>
      <c r="BM444" s="216"/>
      <c r="BN444" s="216"/>
      <c r="BO444" s="216"/>
      <c r="BP444" s="216"/>
      <c r="BQ444" s="216"/>
      <c r="BR444" s="216"/>
      <c r="BS444" s="216"/>
      <c r="BT444" s="216"/>
      <c r="BU444" s="216"/>
      <c r="BV444" s="216"/>
      <c r="BW444" s="217"/>
    </row>
    <row r="445" spans="8:8">
      <c r="AW445" s="215" t="s">
        <v>7603</v>
      </c>
      <c r="AX445" s="216"/>
      <c r="AY445" s="216"/>
      <c r="AZ445" s="216"/>
      <c r="BA445" s="216"/>
      <c r="BB445" s="216" t="s">
        <v>7155</v>
      </c>
      <c r="BC445" s="216"/>
      <c r="BD445" s="216"/>
      <c r="BE445" s="216"/>
      <c r="BF445" s="216"/>
      <c r="BG445" s="216"/>
      <c r="BH445" s="216"/>
      <c r="BI445" s="216"/>
      <c r="BJ445" s="216"/>
      <c r="BK445" s="216"/>
      <c r="BL445" s="216"/>
      <c r="BM445" s="216"/>
      <c r="BN445" s="216"/>
      <c r="BO445" s="216"/>
      <c r="BP445" s="216"/>
      <c r="BQ445" s="216"/>
      <c r="BR445" s="216"/>
      <c r="BS445" s="216"/>
      <c r="BT445" s="216"/>
      <c r="BU445" s="216"/>
      <c r="BV445" s="216"/>
      <c r="BW445" s="217"/>
    </row>
    <row r="446" spans="8:8">
      <c r="AW446" s="215" t="s">
        <v>7604</v>
      </c>
      <c r="AX446" s="216"/>
      <c r="AY446" s="216"/>
      <c r="AZ446" s="216"/>
      <c r="BA446" s="216"/>
      <c r="BB446" s="216" t="s">
        <v>7605</v>
      </c>
      <c r="BC446" s="216"/>
      <c r="BD446" s="216"/>
      <c r="BE446" s="216"/>
      <c r="BF446" s="216"/>
      <c r="BG446" s="216"/>
      <c r="BH446" s="216"/>
      <c r="BI446" s="216"/>
      <c r="BJ446" s="216"/>
      <c r="BK446" s="216"/>
      <c r="BL446" s="216"/>
      <c r="BM446" s="216"/>
      <c r="BN446" s="216"/>
      <c r="BO446" s="216"/>
      <c r="BP446" s="216"/>
      <c r="BQ446" s="216"/>
      <c r="BR446" s="216"/>
      <c r="BS446" s="216"/>
      <c r="BT446" s="216"/>
      <c r="BU446" s="216"/>
      <c r="BV446" s="216"/>
      <c r="BW446" s="217"/>
    </row>
    <row r="447" spans="8:8">
      <c r="AW447" s="215" t="s">
        <v>7606</v>
      </c>
      <c r="AX447" s="216"/>
      <c r="AY447" s="216"/>
      <c r="AZ447" s="216"/>
      <c r="BA447" s="216"/>
      <c r="BB447" s="216" t="s">
        <v>7607</v>
      </c>
      <c r="BC447" s="216"/>
      <c r="BD447" s="216"/>
      <c r="BE447" s="216"/>
      <c r="BF447" s="216"/>
      <c r="BG447" s="216"/>
      <c r="BH447" s="216"/>
      <c r="BI447" s="216"/>
      <c r="BJ447" s="216"/>
      <c r="BK447" s="216"/>
      <c r="BL447" s="216"/>
      <c r="BM447" s="216"/>
      <c r="BN447" s="216"/>
      <c r="BO447" s="216"/>
      <c r="BP447" s="216"/>
      <c r="BQ447" s="216"/>
      <c r="BR447" s="216"/>
      <c r="BS447" s="216"/>
      <c r="BT447" s="216"/>
      <c r="BU447" s="216"/>
      <c r="BV447" s="216"/>
      <c r="BW447" s="217"/>
    </row>
    <row r="448" spans="8:8">
      <c r="AW448" s="215" t="s">
        <v>7608</v>
      </c>
      <c r="AX448" s="216"/>
      <c r="AY448" s="216"/>
      <c r="AZ448" s="216"/>
      <c r="BA448" s="216"/>
      <c r="BB448" s="216" t="s">
        <v>7609</v>
      </c>
      <c r="BC448" s="216"/>
      <c r="BD448" s="216"/>
      <c r="BE448" s="216"/>
      <c r="BF448" s="216"/>
      <c r="BG448" s="216"/>
      <c r="BH448" s="216"/>
      <c r="BI448" s="216"/>
      <c r="BJ448" s="216"/>
      <c r="BK448" s="216"/>
      <c r="BL448" s="216"/>
      <c r="BM448" s="216"/>
      <c r="BN448" s="216"/>
      <c r="BO448" s="216"/>
      <c r="BP448" s="216"/>
      <c r="BQ448" s="216"/>
      <c r="BR448" s="216"/>
      <c r="BS448" s="216"/>
      <c r="BT448" s="216"/>
      <c r="BU448" s="216"/>
      <c r="BV448" s="216"/>
      <c r="BW448" s="217"/>
    </row>
    <row r="449" spans="8:8">
      <c r="AW449" s="215" t="s">
        <v>7610</v>
      </c>
      <c r="AX449" s="216"/>
      <c r="AY449" s="216"/>
      <c r="AZ449" s="216"/>
      <c r="BA449" s="216"/>
      <c r="BB449" s="216" t="s">
        <v>5381</v>
      </c>
      <c r="BC449" s="216"/>
      <c r="BD449" s="216"/>
      <c r="BE449" s="216"/>
      <c r="BF449" s="216"/>
      <c r="BG449" s="216"/>
      <c r="BH449" s="216"/>
      <c r="BI449" s="216"/>
      <c r="BJ449" s="216"/>
      <c r="BK449" s="216"/>
      <c r="BL449" s="216"/>
      <c r="BM449" s="216"/>
      <c r="BN449" s="216"/>
      <c r="BO449" s="216"/>
      <c r="BP449" s="216"/>
      <c r="BQ449" s="216"/>
      <c r="BR449" s="216"/>
      <c r="BS449" s="216"/>
      <c r="BT449" s="216"/>
      <c r="BU449" s="216"/>
      <c r="BV449" s="216"/>
      <c r="BW449" s="217"/>
    </row>
    <row r="450" spans="8:8">
      <c r="AW450" s="215" t="s">
        <v>7611</v>
      </c>
      <c r="AX450" s="216"/>
      <c r="AY450" s="216"/>
      <c r="AZ450" s="216"/>
      <c r="BA450" s="216"/>
      <c r="BB450" s="216" t="s">
        <v>7612</v>
      </c>
      <c r="BC450" s="216"/>
      <c r="BD450" s="216"/>
      <c r="BE450" s="216"/>
      <c r="BF450" s="216"/>
      <c r="BG450" s="216"/>
      <c r="BH450" s="216"/>
      <c r="BI450" s="216"/>
      <c r="BJ450" s="216"/>
      <c r="BK450" s="216"/>
      <c r="BL450" s="216"/>
      <c r="BM450" s="216"/>
      <c r="BN450" s="216"/>
      <c r="BO450" s="216"/>
      <c r="BP450" s="216"/>
      <c r="BQ450" s="216"/>
      <c r="BR450" s="216"/>
      <c r="BS450" s="216"/>
      <c r="BT450" s="216"/>
      <c r="BU450" s="216"/>
      <c r="BV450" s="216"/>
      <c r="BW450" s="217"/>
    </row>
    <row r="451" spans="8:8">
      <c r="AW451" s="215" t="s">
        <v>7613</v>
      </c>
      <c r="AX451" s="216"/>
      <c r="AY451" s="216"/>
      <c r="AZ451" s="216"/>
      <c r="BA451" s="216"/>
      <c r="BB451" s="216" t="s">
        <v>7614</v>
      </c>
      <c r="BC451" s="216"/>
      <c r="BD451" s="216"/>
      <c r="BE451" s="216"/>
      <c r="BF451" s="216"/>
      <c r="BG451" s="216"/>
      <c r="BH451" s="216"/>
      <c r="BI451" s="216"/>
      <c r="BJ451" s="216"/>
      <c r="BK451" s="216"/>
      <c r="BL451" s="216"/>
      <c r="BM451" s="216"/>
      <c r="BN451" s="216"/>
      <c r="BO451" s="216"/>
      <c r="BP451" s="216"/>
      <c r="BQ451" s="216"/>
      <c r="BR451" s="216"/>
      <c r="BS451" s="216"/>
      <c r="BT451" s="216"/>
      <c r="BU451" s="216"/>
      <c r="BV451" s="216"/>
      <c r="BW451" s="217"/>
    </row>
    <row r="452" spans="8:8">
      <c r="AW452" s="215" t="s">
        <v>7615</v>
      </c>
      <c r="AX452" s="216"/>
      <c r="AY452" s="216"/>
      <c r="AZ452" s="216"/>
      <c r="BA452" s="216"/>
      <c r="BB452" s="216" t="s">
        <v>7616</v>
      </c>
      <c r="BC452" s="216"/>
      <c r="BD452" s="216"/>
      <c r="BE452" s="216"/>
      <c r="BF452" s="216"/>
      <c r="BG452" s="216"/>
      <c r="BH452" s="216"/>
      <c r="BI452" s="216"/>
      <c r="BJ452" s="216"/>
      <c r="BK452" s="216"/>
      <c r="BL452" s="216"/>
      <c r="BM452" s="216"/>
      <c r="BN452" s="216"/>
      <c r="BO452" s="216"/>
      <c r="BP452" s="216"/>
      <c r="BQ452" s="216"/>
      <c r="BR452" s="216"/>
      <c r="BS452" s="216"/>
      <c r="BT452" s="216"/>
      <c r="BU452" s="216"/>
      <c r="BV452" s="216"/>
      <c r="BW452" s="217"/>
    </row>
    <row r="453" spans="8:8">
      <c r="AW453" s="215" t="s">
        <v>7617</v>
      </c>
      <c r="AX453" s="216"/>
      <c r="AY453" s="216"/>
      <c r="AZ453" s="216"/>
      <c r="BA453" s="216"/>
      <c r="BB453" s="216" t="s">
        <v>7618</v>
      </c>
      <c r="BC453" s="216"/>
      <c r="BD453" s="216"/>
      <c r="BE453" s="216"/>
      <c r="BF453" s="216"/>
      <c r="BG453" s="216"/>
      <c r="BH453" s="216"/>
      <c r="BI453" s="216"/>
      <c r="BJ453" s="216"/>
      <c r="BK453" s="216"/>
      <c r="BL453" s="216"/>
      <c r="BM453" s="216"/>
      <c r="BN453" s="216"/>
      <c r="BO453" s="216"/>
      <c r="BP453" s="216"/>
      <c r="BQ453" s="216"/>
      <c r="BR453" s="216"/>
      <c r="BS453" s="216"/>
      <c r="BT453" s="216"/>
      <c r="BU453" s="216"/>
      <c r="BV453" s="216"/>
      <c r="BW453" s="217"/>
    </row>
    <row r="454" spans="8:8">
      <c r="AW454" s="215" t="s">
        <v>7619</v>
      </c>
      <c r="AX454" s="216"/>
      <c r="AY454" s="216"/>
      <c r="AZ454" s="216"/>
      <c r="BA454" s="216"/>
      <c r="BB454" s="216" t="s">
        <v>7616</v>
      </c>
      <c r="BC454" s="216"/>
      <c r="BD454" s="216"/>
      <c r="BE454" s="216"/>
      <c r="BF454" s="216"/>
      <c r="BG454" s="216"/>
      <c r="BH454" s="216"/>
      <c r="BI454" s="216"/>
      <c r="BJ454" s="216"/>
      <c r="BK454" s="216"/>
      <c r="BL454" s="216"/>
      <c r="BM454" s="216"/>
      <c r="BN454" s="216"/>
      <c r="BO454" s="216"/>
      <c r="BP454" s="216"/>
      <c r="BQ454" s="216"/>
      <c r="BR454" s="216"/>
      <c r="BS454" s="216"/>
      <c r="BT454" s="216"/>
      <c r="BU454" s="216"/>
      <c r="BV454" s="216"/>
      <c r="BW454" s="217"/>
    </row>
    <row r="455" spans="8:8">
      <c r="AW455" s="215" t="s">
        <v>7620</v>
      </c>
      <c r="AX455" s="216"/>
      <c r="AY455" s="216"/>
      <c r="AZ455" s="216"/>
      <c r="BA455" s="216"/>
      <c r="BB455" s="216" t="s">
        <v>7189</v>
      </c>
      <c r="BC455" s="216"/>
      <c r="BD455" s="216"/>
      <c r="BE455" s="216"/>
      <c r="BF455" s="216"/>
      <c r="BG455" s="216"/>
      <c r="BH455" s="216"/>
      <c r="BI455" s="216"/>
      <c r="BJ455" s="216"/>
      <c r="BK455" s="216"/>
      <c r="BL455" s="216"/>
      <c r="BM455" s="216"/>
      <c r="BN455" s="216"/>
      <c r="BO455" s="216"/>
      <c r="BP455" s="216"/>
      <c r="BQ455" s="216"/>
      <c r="BR455" s="216"/>
      <c r="BS455" s="216"/>
      <c r="BT455" s="216"/>
      <c r="BU455" s="216"/>
      <c r="BV455" s="216"/>
      <c r="BW455" s="217"/>
    </row>
    <row r="456" spans="8:8">
      <c r="AW456" s="215" t="s">
        <v>7621</v>
      </c>
      <c r="AX456" s="216"/>
      <c r="AY456" s="216"/>
      <c r="AZ456" s="216"/>
      <c r="BA456" s="216"/>
      <c r="BB456" s="216" t="s">
        <v>7622</v>
      </c>
      <c r="BC456" s="216"/>
      <c r="BD456" s="216"/>
      <c r="BE456" s="216"/>
      <c r="BF456" s="216"/>
      <c r="BG456" s="216"/>
      <c r="BH456" s="216"/>
      <c r="BI456" s="216"/>
      <c r="BJ456" s="216"/>
      <c r="BK456" s="216"/>
      <c r="BL456" s="216"/>
      <c r="BM456" s="216"/>
      <c r="BN456" s="216"/>
      <c r="BO456" s="216"/>
      <c r="BP456" s="216"/>
      <c r="BQ456" s="216"/>
      <c r="BR456" s="216"/>
      <c r="BS456" s="216"/>
      <c r="BT456" s="216"/>
      <c r="BU456" s="216"/>
      <c r="BV456" s="216"/>
      <c r="BW456" s="217"/>
    </row>
    <row r="457" spans="8:8">
      <c r="AW457" s="215" t="s">
        <v>7623</v>
      </c>
      <c r="AX457" s="216"/>
      <c r="AY457" s="216"/>
      <c r="AZ457" s="216"/>
      <c r="BA457" s="216"/>
      <c r="BB457" s="216" t="s">
        <v>5454</v>
      </c>
      <c r="BC457" s="216"/>
      <c r="BD457" s="216"/>
      <c r="BE457" s="216"/>
      <c r="BF457" s="216"/>
      <c r="BG457" s="216"/>
      <c r="BH457" s="216"/>
      <c r="BI457" s="216"/>
      <c r="BJ457" s="216"/>
      <c r="BK457" s="216"/>
      <c r="BL457" s="216"/>
      <c r="BM457" s="216"/>
      <c r="BN457" s="216"/>
      <c r="BO457" s="216"/>
      <c r="BP457" s="216"/>
      <c r="BQ457" s="216"/>
      <c r="BR457" s="216"/>
      <c r="BS457" s="216"/>
      <c r="BT457" s="216"/>
      <c r="BU457" s="216"/>
      <c r="BV457" s="216"/>
      <c r="BW457" s="217"/>
    </row>
    <row r="458" spans="8:8">
      <c r="AW458" s="215" t="s">
        <v>7624</v>
      </c>
      <c r="AX458" s="216"/>
      <c r="AY458" s="216"/>
      <c r="AZ458" s="216"/>
      <c r="BA458" s="216"/>
      <c r="BB458" s="216" t="s">
        <v>7625</v>
      </c>
      <c r="BC458" s="216"/>
      <c r="BD458" s="216"/>
      <c r="BE458" s="216"/>
      <c r="BF458" s="216"/>
      <c r="BG458" s="216"/>
      <c r="BH458" s="216"/>
      <c r="BI458" s="216"/>
      <c r="BJ458" s="216"/>
      <c r="BK458" s="216"/>
      <c r="BL458" s="216"/>
      <c r="BM458" s="216"/>
      <c r="BN458" s="216"/>
      <c r="BO458" s="216"/>
      <c r="BP458" s="216"/>
      <c r="BQ458" s="216"/>
      <c r="BR458" s="216"/>
      <c r="BS458" s="216"/>
      <c r="BT458" s="216"/>
      <c r="BU458" s="216"/>
      <c r="BV458" s="216"/>
      <c r="BW458" s="217"/>
    </row>
    <row r="459" spans="8:8">
      <c r="AW459" s="215" t="s">
        <v>7626</v>
      </c>
      <c r="AX459" s="216"/>
      <c r="AY459" s="216"/>
      <c r="AZ459" s="216"/>
      <c r="BA459" s="216"/>
      <c r="BB459" s="216" t="s">
        <v>6472</v>
      </c>
      <c r="BC459" s="216"/>
      <c r="BD459" s="216"/>
      <c r="BE459" s="216"/>
      <c r="BF459" s="216"/>
      <c r="BG459" s="216"/>
      <c r="BH459" s="216"/>
      <c r="BI459" s="216"/>
      <c r="BJ459" s="216"/>
      <c r="BK459" s="216"/>
      <c r="BL459" s="216"/>
      <c r="BM459" s="216"/>
      <c r="BN459" s="216"/>
      <c r="BO459" s="216"/>
      <c r="BP459" s="216"/>
      <c r="BQ459" s="216"/>
      <c r="BR459" s="216"/>
      <c r="BS459" s="216"/>
      <c r="BT459" s="216"/>
      <c r="BU459" s="216"/>
      <c r="BV459" s="216"/>
      <c r="BW459" s="217"/>
    </row>
    <row r="460" spans="8:8">
      <c r="AW460" s="215" t="s">
        <v>7627</v>
      </c>
      <c r="AX460" s="216"/>
      <c r="AY460" s="216"/>
      <c r="AZ460" s="216"/>
      <c r="BA460" s="216"/>
      <c r="BB460" s="216" t="s">
        <v>7628</v>
      </c>
      <c r="BC460" s="216"/>
      <c r="BD460" s="216"/>
      <c r="BE460" s="216"/>
      <c r="BF460" s="216"/>
      <c r="BG460" s="216"/>
      <c r="BH460" s="216"/>
      <c r="BI460" s="216"/>
      <c r="BJ460" s="216"/>
      <c r="BK460" s="216"/>
      <c r="BL460" s="216"/>
      <c r="BM460" s="216"/>
      <c r="BN460" s="216"/>
      <c r="BO460" s="216"/>
      <c r="BP460" s="216"/>
      <c r="BQ460" s="216"/>
      <c r="BR460" s="216"/>
      <c r="BS460" s="216"/>
      <c r="BT460" s="216"/>
      <c r="BU460" s="216"/>
      <c r="BV460" s="216"/>
      <c r="BW460" s="217"/>
    </row>
    <row r="461" spans="8:8">
      <c r="AW461" s="215" t="s">
        <v>7629</v>
      </c>
      <c r="AX461" s="216"/>
      <c r="AY461" s="216"/>
      <c r="AZ461" s="216"/>
      <c r="BA461" s="216"/>
      <c r="BB461" s="216" t="s">
        <v>5887</v>
      </c>
      <c r="BC461" s="216"/>
      <c r="BD461" s="216"/>
      <c r="BE461" s="216"/>
      <c r="BF461" s="216"/>
      <c r="BG461" s="216"/>
      <c r="BH461" s="216"/>
      <c r="BI461" s="216"/>
      <c r="BJ461" s="216"/>
      <c r="BK461" s="216"/>
      <c r="BL461" s="216"/>
      <c r="BM461" s="216"/>
      <c r="BN461" s="216"/>
      <c r="BO461" s="216"/>
      <c r="BP461" s="216"/>
      <c r="BQ461" s="216"/>
      <c r="BR461" s="216"/>
      <c r="BS461" s="216"/>
      <c r="BT461" s="216"/>
      <c r="BU461" s="216"/>
      <c r="BV461" s="216"/>
      <c r="BW461" s="217"/>
    </row>
    <row r="462" spans="8:8">
      <c r="AW462" s="215" t="s">
        <v>7630</v>
      </c>
      <c r="AX462" s="216"/>
      <c r="AY462" s="216"/>
      <c r="AZ462" s="216"/>
      <c r="BA462" s="216"/>
      <c r="BB462" s="216" t="s">
        <v>7631</v>
      </c>
      <c r="BC462" s="216"/>
      <c r="BD462" s="216"/>
      <c r="BE462" s="216"/>
      <c r="BF462" s="216"/>
      <c r="BG462" s="216"/>
      <c r="BH462" s="216"/>
      <c r="BI462" s="216"/>
      <c r="BJ462" s="216"/>
      <c r="BK462" s="216"/>
      <c r="BL462" s="216"/>
      <c r="BM462" s="216"/>
      <c r="BN462" s="216"/>
      <c r="BO462" s="216"/>
      <c r="BP462" s="216"/>
      <c r="BQ462" s="216"/>
      <c r="BR462" s="216"/>
      <c r="BS462" s="216"/>
      <c r="BT462" s="216"/>
      <c r="BU462" s="216"/>
      <c r="BV462" s="216"/>
      <c r="BW462" s="217"/>
    </row>
    <row r="463" spans="8:8">
      <c r="AW463" s="215" t="s">
        <v>7632</v>
      </c>
      <c r="AX463" s="216"/>
      <c r="AY463" s="216"/>
      <c r="AZ463" s="216"/>
      <c r="BA463" s="216"/>
      <c r="BB463" s="216" t="s">
        <v>5686</v>
      </c>
      <c r="BC463" s="216"/>
      <c r="BD463" s="216"/>
      <c r="BE463" s="216"/>
      <c r="BF463" s="216"/>
      <c r="BG463" s="216"/>
      <c r="BH463" s="216"/>
      <c r="BI463" s="216"/>
      <c r="BJ463" s="216"/>
      <c r="BK463" s="216"/>
      <c r="BL463" s="216"/>
      <c r="BM463" s="216"/>
      <c r="BN463" s="216"/>
      <c r="BO463" s="216"/>
      <c r="BP463" s="216"/>
      <c r="BQ463" s="216"/>
      <c r="BR463" s="216"/>
      <c r="BS463" s="216"/>
      <c r="BT463" s="216"/>
      <c r="BU463" s="216"/>
      <c r="BV463" s="216"/>
      <c r="BW463" s="217"/>
    </row>
    <row r="464" spans="8:8">
      <c r="AW464" s="215" t="s">
        <v>7633</v>
      </c>
      <c r="AX464" s="216"/>
      <c r="AY464" s="216"/>
      <c r="AZ464" s="216"/>
      <c r="BA464" s="216"/>
      <c r="BB464" s="216" t="s">
        <v>7634</v>
      </c>
      <c r="BC464" s="216"/>
      <c r="BD464" s="216"/>
      <c r="BE464" s="216"/>
      <c r="BF464" s="216"/>
      <c r="BG464" s="216"/>
      <c r="BH464" s="216"/>
      <c r="BI464" s="216"/>
      <c r="BJ464" s="216"/>
      <c r="BK464" s="216"/>
      <c r="BL464" s="216"/>
      <c r="BM464" s="216"/>
      <c r="BN464" s="216"/>
      <c r="BO464" s="216"/>
      <c r="BP464" s="216"/>
      <c r="BQ464" s="216"/>
      <c r="BR464" s="216"/>
      <c r="BS464" s="216"/>
      <c r="BT464" s="216"/>
      <c r="BU464" s="216"/>
      <c r="BV464" s="216"/>
      <c r="BW464" s="217"/>
    </row>
    <row r="465" spans="8:8">
      <c r="AW465" s="215" t="s">
        <v>7635</v>
      </c>
      <c r="AX465" s="216"/>
      <c r="AY465" s="216"/>
      <c r="AZ465" s="216"/>
      <c r="BA465" s="216"/>
      <c r="BB465" s="216" t="s">
        <v>6491</v>
      </c>
      <c r="BC465" s="216"/>
      <c r="BD465" s="216"/>
      <c r="BE465" s="216"/>
      <c r="BF465" s="216"/>
      <c r="BG465" s="216"/>
      <c r="BH465" s="216"/>
      <c r="BI465" s="216"/>
      <c r="BJ465" s="216"/>
      <c r="BK465" s="216"/>
      <c r="BL465" s="216"/>
      <c r="BM465" s="216"/>
      <c r="BN465" s="216"/>
      <c r="BO465" s="216"/>
      <c r="BP465" s="216"/>
      <c r="BQ465" s="216"/>
      <c r="BR465" s="216"/>
      <c r="BS465" s="216"/>
      <c r="BT465" s="216"/>
      <c r="BU465" s="216"/>
      <c r="BV465" s="216"/>
      <c r="BW465" s="217"/>
    </row>
    <row r="466" spans="8:8">
      <c r="AW466" s="215" t="s">
        <v>7636</v>
      </c>
      <c r="AX466" s="216"/>
      <c r="AY466" s="216"/>
      <c r="AZ466" s="216"/>
      <c r="BA466" s="216"/>
      <c r="BB466" s="216" t="s">
        <v>7637</v>
      </c>
      <c r="BC466" s="216"/>
      <c r="BD466" s="216"/>
      <c r="BE466" s="216"/>
      <c r="BF466" s="216"/>
      <c r="BG466" s="216"/>
      <c r="BH466" s="216"/>
      <c r="BI466" s="216"/>
      <c r="BJ466" s="216"/>
      <c r="BK466" s="216"/>
      <c r="BL466" s="216"/>
      <c r="BM466" s="216"/>
      <c r="BN466" s="216"/>
      <c r="BO466" s="216"/>
      <c r="BP466" s="216"/>
      <c r="BQ466" s="216"/>
      <c r="BR466" s="216"/>
      <c r="BS466" s="216"/>
      <c r="BT466" s="216"/>
      <c r="BU466" s="216"/>
      <c r="BV466" s="216"/>
      <c r="BW466" s="217"/>
    </row>
    <row r="467" spans="8:8">
      <c r="AW467" s="215" t="s">
        <v>7638</v>
      </c>
      <c r="AX467" s="216"/>
      <c r="AY467" s="216"/>
      <c r="AZ467" s="216"/>
      <c r="BA467" s="216"/>
      <c r="BB467" s="216" t="s">
        <v>5663</v>
      </c>
      <c r="BC467" s="216"/>
      <c r="BD467" s="216"/>
      <c r="BE467" s="216"/>
      <c r="BF467" s="216"/>
      <c r="BG467" s="216"/>
      <c r="BH467" s="216"/>
      <c r="BI467" s="216"/>
      <c r="BJ467" s="216"/>
      <c r="BK467" s="216"/>
      <c r="BL467" s="216"/>
      <c r="BM467" s="216"/>
      <c r="BN467" s="216"/>
      <c r="BO467" s="216"/>
      <c r="BP467" s="216"/>
      <c r="BQ467" s="216"/>
      <c r="BR467" s="216"/>
      <c r="BS467" s="216"/>
      <c r="BT467" s="216"/>
      <c r="BU467" s="216"/>
      <c r="BV467" s="216"/>
      <c r="BW467" s="217"/>
    </row>
    <row r="468" spans="8:8">
      <c r="AW468" s="215" t="s">
        <v>7639</v>
      </c>
      <c r="AX468" s="216"/>
      <c r="AY468" s="216"/>
      <c r="AZ468" s="216"/>
      <c r="BA468" s="216"/>
      <c r="BB468" s="216" t="s">
        <v>7640</v>
      </c>
      <c r="BC468" s="216"/>
      <c r="BD468" s="216"/>
      <c r="BE468" s="216"/>
      <c r="BF468" s="216"/>
      <c r="BG468" s="216"/>
      <c r="BH468" s="216"/>
      <c r="BI468" s="216"/>
      <c r="BJ468" s="216"/>
      <c r="BK468" s="216"/>
      <c r="BL468" s="216"/>
      <c r="BM468" s="216"/>
      <c r="BN468" s="216"/>
      <c r="BO468" s="216"/>
      <c r="BP468" s="216"/>
      <c r="BQ468" s="216"/>
      <c r="BR468" s="216"/>
      <c r="BS468" s="216"/>
      <c r="BT468" s="216"/>
      <c r="BU468" s="216"/>
      <c r="BV468" s="216"/>
      <c r="BW468" s="217"/>
    </row>
    <row r="469" spans="8:8">
      <c r="AW469" s="215" t="s">
        <v>7641</v>
      </c>
      <c r="AX469" s="216"/>
      <c r="AY469" s="216"/>
      <c r="AZ469" s="216"/>
      <c r="BA469" s="216"/>
      <c r="BB469" s="216" t="s">
        <v>6611</v>
      </c>
      <c r="BC469" s="216"/>
      <c r="BD469" s="216"/>
      <c r="BE469" s="216"/>
      <c r="BF469" s="216"/>
      <c r="BG469" s="216"/>
      <c r="BH469" s="216"/>
      <c r="BI469" s="216"/>
      <c r="BJ469" s="216"/>
      <c r="BK469" s="216"/>
      <c r="BL469" s="216"/>
      <c r="BM469" s="216"/>
      <c r="BN469" s="216"/>
      <c r="BO469" s="216"/>
      <c r="BP469" s="216"/>
      <c r="BQ469" s="216"/>
      <c r="BR469" s="216"/>
      <c r="BS469" s="216"/>
      <c r="BT469" s="216"/>
      <c r="BU469" s="216"/>
      <c r="BV469" s="216"/>
      <c r="BW469" s="217"/>
    </row>
    <row r="470" spans="8:8">
      <c r="AW470" s="215" t="s">
        <v>7642</v>
      </c>
      <c r="AX470" s="216"/>
      <c r="AY470" s="216"/>
      <c r="AZ470" s="216"/>
      <c r="BA470" s="216"/>
      <c r="BB470" s="216" t="s">
        <v>7643</v>
      </c>
      <c r="BC470" s="216"/>
      <c r="BD470" s="216"/>
      <c r="BE470" s="216"/>
      <c r="BF470" s="216"/>
      <c r="BG470" s="216"/>
      <c r="BH470" s="216"/>
      <c r="BI470" s="216"/>
      <c r="BJ470" s="216"/>
      <c r="BK470" s="216"/>
      <c r="BL470" s="216"/>
      <c r="BM470" s="216"/>
      <c r="BN470" s="216"/>
      <c r="BO470" s="216"/>
      <c r="BP470" s="216"/>
      <c r="BQ470" s="216"/>
      <c r="BR470" s="216"/>
      <c r="BS470" s="216"/>
      <c r="BT470" s="216"/>
      <c r="BU470" s="216"/>
      <c r="BV470" s="216"/>
      <c r="BW470" s="217"/>
    </row>
    <row r="471" spans="8:8">
      <c r="AW471" s="215" t="s">
        <v>7644</v>
      </c>
      <c r="AX471" s="216"/>
      <c r="AY471" s="216"/>
      <c r="AZ471" s="216"/>
      <c r="BA471" s="216"/>
      <c r="BB471" s="216" t="s">
        <v>6630</v>
      </c>
      <c r="BC471" s="216"/>
      <c r="BD471" s="216"/>
      <c r="BE471" s="216"/>
      <c r="BF471" s="216"/>
      <c r="BG471" s="216"/>
      <c r="BH471" s="216"/>
      <c r="BI471" s="216"/>
      <c r="BJ471" s="216"/>
      <c r="BK471" s="216"/>
      <c r="BL471" s="216"/>
      <c r="BM471" s="216"/>
      <c r="BN471" s="216"/>
      <c r="BO471" s="216"/>
      <c r="BP471" s="216"/>
      <c r="BQ471" s="216"/>
      <c r="BR471" s="216"/>
      <c r="BS471" s="216"/>
      <c r="BT471" s="216"/>
      <c r="BU471" s="216"/>
      <c r="BV471" s="216"/>
      <c r="BW471" s="217"/>
    </row>
    <row r="472" spans="8:8">
      <c r="AW472" s="215" t="s">
        <v>7645</v>
      </c>
      <c r="AX472" s="216"/>
      <c r="AY472" s="216"/>
      <c r="AZ472" s="216"/>
      <c r="BA472" s="216"/>
      <c r="BB472" s="216" t="s">
        <v>7646</v>
      </c>
      <c r="BC472" s="216"/>
      <c r="BD472" s="216"/>
      <c r="BE472" s="216"/>
      <c r="BF472" s="216"/>
      <c r="BG472" s="216"/>
      <c r="BH472" s="216"/>
      <c r="BI472" s="216"/>
      <c r="BJ472" s="216"/>
      <c r="BK472" s="216"/>
      <c r="BL472" s="216"/>
      <c r="BM472" s="216"/>
      <c r="BN472" s="216"/>
      <c r="BO472" s="216"/>
      <c r="BP472" s="216"/>
      <c r="BQ472" s="216"/>
      <c r="BR472" s="216"/>
      <c r="BS472" s="216"/>
      <c r="BT472" s="216"/>
      <c r="BU472" s="216"/>
      <c r="BV472" s="216"/>
      <c r="BW472" s="217"/>
    </row>
    <row r="473" spans="8:8">
      <c r="AW473" s="215" t="s">
        <v>7647</v>
      </c>
      <c r="AX473" s="216"/>
      <c r="AY473" s="216"/>
      <c r="AZ473" s="216"/>
      <c r="BA473" s="216"/>
      <c r="BB473" s="216" t="s">
        <v>5862</v>
      </c>
      <c r="BC473" s="216"/>
      <c r="BD473" s="216"/>
      <c r="BE473" s="216"/>
      <c r="BF473" s="216"/>
      <c r="BG473" s="216"/>
      <c r="BH473" s="216"/>
      <c r="BI473" s="216"/>
      <c r="BJ473" s="216"/>
      <c r="BK473" s="216"/>
      <c r="BL473" s="216"/>
      <c r="BM473" s="216"/>
      <c r="BN473" s="216"/>
      <c r="BO473" s="216"/>
      <c r="BP473" s="216"/>
      <c r="BQ473" s="216"/>
      <c r="BR473" s="216"/>
      <c r="BS473" s="216"/>
      <c r="BT473" s="216"/>
      <c r="BU473" s="216"/>
      <c r="BV473" s="216"/>
      <c r="BW473" s="217"/>
    </row>
    <row r="474" spans="8:8">
      <c r="AW474" s="215" t="s">
        <v>7648</v>
      </c>
      <c r="AX474" s="216"/>
      <c r="AY474" s="216"/>
      <c r="AZ474" s="216"/>
      <c r="BA474" s="216"/>
      <c r="BB474" s="216" t="s">
        <v>7649</v>
      </c>
      <c r="BC474" s="216"/>
      <c r="BD474" s="216"/>
      <c r="BE474" s="216"/>
      <c r="BF474" s="216"/>
      <c r="BG474" s="216"/>
      <c r="BH474" s="216"/>
      <c r="BI474" s="216"/>
      <c r="BJ474" s="216"/>
      <c r="BK474" s="216"/>
      <c r="BL474" s="216"/>
      <c r="BM474" s="216"/>
      <c r="BN474" s="216"/>
      <c r="BO474" s="216"/>
      <c r="BP474" s="216"/>
      <c r="BQ474" s="216"/>
      <c r="BR474" s="216"/>
      <c r="BS474" s="216"/>
      <c r="BT474" s="216"/>
      <c r="BU474" s="216"/>
      <c r="BV474" s="216"/>
      <c r="BW474" s="217"/>
    </row>
    <row r="475" spans="8:8">
      <c r="AW475" s="215" t="s">
        <v>7650</v>
      </c>
      <c r="AX475" s="216"/>
      <c r="AY475" s="216"/>
      <c r="AZ475" s="216"/>
      <c r="BA475" s="216"/>
      <c r="BB475" s="216" t="s">
        <v>7651</v>
      </c>
      <c r="BC475" s="216"/>
      <c r="BD475" s="216"/>
      <c r="BE475" s="216"/>
      <c r="BF475" s="216"/>
      <c r="BG475" s="216"/>
      <c r="BH475" s="216"/>
      <c r="BI475" s="216"/>
      <c r="BJ475" s="216"/>
      <c r="BK475" s="216"/>
      <c r="BL475" s="216"/>
      <c r="BM475" s="216"/>
      <c r="BN475" s="216"/>
      <c r="BO475" s="216"/>
      <c r="BP475" s="216"/>
      <c r="BQ475" s="216"/>
      <c r="BR475" s="216"/>
      <c r="BS475" s="216"/>
      <c r="BT475" s="216"/>
      <c r="BU475" s="216"/>
      <c r="BV475" s="216"/>
      <c r="BW475" s="217"/>
    </row>
    <row r="476" spans="8:8">
      <c r="AW476" s="215" t="s">
        <v>7652</v>
      </c>
      <c r="AX476" s="216"/>
      <c r="AY476" s="216"/>
      <c r="AZ476" s="216"/>
      <c r="BA476" s="216"/>
      <c r="BB476" s="216" t="s">
        <v>7653</v>
      </c>
      <c r="BC476" s="216"/>
      <c r="BD476" s="216"/>
      <c r="BE476" s="216"/>
      <c r="BF476" s="216"/>
      <c r="BG476" s="216"/>
      <c r="BH476" s="216"/>
      <c r="BI476" s="216"/>
      <c r="BJ476" s="216"/>
      <c r="BK476" s="216"/>
      <c r="BL476" s="216"/>
      <c r="BM476" s="216"/>
      <c r="BN476" s="216"/>
      <c r="BO476" s="216"/>
      <c r="BP476" s="216"/>
      <c r="BQ476" s="216"/>
      <c r="BR476" s="216"/>
      <c r="BS476" s="216"/>
      <c r="BT476" s="216"/>
      <c r="BU476" s="216"/>
      <c r="BV476" s="216"/>
      <c r="BW476" s="217"/>
    </row>
    <row r="477" spans="8:8">
      <c r="AW477" s="215" t="s">
        <v>7654</v>
      </c>
      <c r="AX477" s="216"/>
      <c r="AY477" s="216"/>
      <c r="AZ477" s="216"/>
      <c r="BA477" s="216"/>
      <c r="BB477" s="216" t="s">
        <v>6625</v>
      </c>
      <c r="BC477" s="216"/>
      <c r="BD477" s="216"/>
      <c r="BE477" s="216"/>
      <c r="BF477" s="216"/>
      <c r="BG477" s="216"/>
      <c r="BH477" s="216"/>
      <c r="BI477" s="216"/>
      <c r="BJ477" s="216"/>
      <c r="BK477" s="216"/>
      <c r="BL477" s="216"/>
      <c r="BM477" s="216"/>
      <c r="BN477" s="216"/>
      <c r="BO477" s="216"/>
      <c r="BP477" s="216"/>
      <c r="BQ477" s="216"/>
      <c r="BR477" s="216"/>
      <c r="BS477" s="216"/>
      <c r="BT477" s="216"/>
      <c r="BU477" s="216"/>
      <c r="BV477" s="216"/>
      <c r="BW477" s="217"/>
    </row>
    <row r="478" spans="8:8">
      <c r="AW478" s="215" t="s">
        <v>7655</v>
      </c>
      <c r="AX478" s="216"/>
      <c r="AY478" s="216"/>
      <c r="AZ478" s="216"/>
      <c r="BA478" s="216"/>
      <c r="BB478" s="216" t="s">
        <v>7656</v>
      </c>
      <c r="BC478" s="216"/>
      <c r="BD478" s="216"/>
      <c r="BE478" s="216"/>
      <c r="BF478" s="216"/>
      <c r="BG478" s="216"/>
      <c r="BH478" s="216"/>
      <c r="BI478" s="216"/>
      <c r="BJ478" s="216"/>
      <c r="BK478" s="216"/>
      <c r="BL478" s="216"/>
      <c r="BM478" s="216"/>
      <c r="BN478" s="216"/>
      <c r="BO478" s="216"/>
      <c r="BP478" s="216"/>
      <c r="BQ478" s="216"/>
      <c r="BR478" s="216"/>
      <c r="BS478" s="216"/>
      <c r="BT478" s="216"/>
      <c r="BU478" s="216"/>
      <c r="BV478" s="216"/>
      <c r="BW478" s="217"/>
    </row>
    <row r="479" spans="8:8">
      <c r="AW479" s="215" t="s">
        <v>7657</v>
      </c>
      <c r="AX479" s="216"/>
      <c r="AY479" s="216"/>
      <c r="AZ479" s="216"/>
      <c r="BA479" s="216"/>
      <c r="BB479" s="216" t="s">
        <v>6686</v>
      </c>
      <c r="BC479" s="216"/>
      <c r="BD479" s="216"/>
      <c r="BE479" s="216"/>
      <c r="BF479" s="216"/>
      <c r="BG479" s="216"/>
      <c r="BH479" s="216"/>
      <c r="BI479" s="216"/>
      <c r="BJ479" s="216"/>
      <c r="BK479" s="216"/>
      <c r="BL479" s="216"/>
      <c r="BM479" s="216"/>
      <c r="BN479" s="216"/>
      <c r="BO479" s="216"/>
      <c r="BP479" s="216"/>
      <c r="BQ479" s="216"/>
      <c r="BR479" s="216"/>
      <c r="BS479" s="216"/>
      <c r="BT479" s="216"/>
      <c r="BU479" s="216"/>
      <c r="BV479" s="216"/>
      <c r="BW479" s="217"/>
    </row>
    <row r="480" spans="8:8">
      <c r="AW480" s="215" t="s">
        <v>7658</v>
      </c>
      <c r="AX480" s="216"/>
      <c r="AY480" s="216"/>
      <c r="AZ480" s="216"/>
      <c r="BA480" s="216"/>
      <c r="BB480" s="216" t="s">
        <v>7659</v>
      </c>
      <c r="BC480" s="216"/>
      <c r="BD480" s="216"/>
      <c r="BE480" s="216"/>
      <c r="BF480" s="216"/>
      <c r="BG480" s="216"/>
      <c r="BH480" s="216"/>
      <c r="BI480" s="216"/>
      <c r="BJ480" s="216"/>
      <c r="BK480" s="216"/>
      <c r="BL480" s="216"/>
      <c r="BM480" s="216"/>
      <c r="BN480" s="216"/>
      <c r="BO480" s="216"/>
      <c r="BP480" s="216"/>
      <c r="BQ480" s="216"/>
      <c r="BR480" s="216"/>
      <c r="BS480" s="216"/>
      <c r="BT480" s="216"/>
      <c r="BU480" s="216"/>
      <c r="BV480" s="216"/>
      <c r="BW480" s="217"/>
    </row>
    <row r="481" spans="8:8">
      <c r="AW481" s="215" t="s">
        <v>7660</v>
      </c>
      <c r="AX481" s="216"/>
      <c r="AY481" s="216"/>
      <c r="AZ481" s="216"/>
      <c r="BA481" s="216"/>
      <c r="BB481" s="216" t="s">
        <v>6672</v>
      </c>
      <c r="BC481" s="216"/>
      <c r="BD481" s="216"/>
      <c r="BE481" s="216"/>
      <c r="BF481" s="216"/>
      <c r="BG481" s="216"/>
      <c r="BH481" s="216"/>
      <c r="BI481" s="216"/>
      <c r="BJ481" s="216"/>
      <c r="BK481" s="216"/>
      <c r="BL481" s="216"/>
      <c r="BM481" s="216"/>
      <c r="BN481" s="216"/>
      <c r="BO481" s="216"/>
      <c r="BP481" s="216"/>
      <c r="BQ481" s="216"/>
      <c r="BR481" s="216"/>
      <c r="BS481" s="216"/>
      <c r="BT481" s="216"/>
      <c r="BU481" s="216"/>
      <c r="BV481" s="216"/>
      <c r="BW481" s="217"/>
    </row>
    <row r="482" spans="8:8">
      <c r="AW482" s="215" t="s">
        <v>7661</v>
      </c>
      <c r="AX482" s="216"/>
      <c r="AY482" s="216"/>
      <c r="AZ482" s="216"/>
      <c r="BA482" s="216"/>
      <c r="BB482" s="216" t="s">
        <v>7662</v>
      </c>
      <c r="BC482" s="216"/>
      <c r="BD482" s="216"/>
      <c r="BE482" s="216"/>
      <c r="BF482" s="216"/>
      <c r="BG482" s="216"/>
      <c r="BH482" s="216"/>
      <c r="BI482" s="216"/>
      <c r="BJ482" s="216"/>
      <c r="BK482" s="216"/>
      <c r="BL482" s="216"/>
      <c r="BM482" s="216"/>
      <c r="BN482" s="216"/>
      <c r="BO482" s="216"/>
      <c r="BP482" s="216"/>
      <c r="BQ482" s="216"/>
      <c r="BR482" s="216"/>
      <c r="BS482" s="216"/>
      <c r="BT482" s="216"/>
      <c r="BU482" s="216"/>
      <c r="BV482" s="216"/>
      <c r="BW482" s="217"/>
    </row>
    <row r="483" spans="8:8">
      <c r="AW483" s="215" t="s">
        <v>7663</v>
      </c>
      <c r="AX483" s="216"/>
      <c r="AY483" s="216"/>
      <c r="AZ483" s="216"/>
      <c r="BA483" s="216"/>
      <c r="BB483" s="216" t="s">
        <v>7026</v>
      </c>
      <c r="BC483" s="216"/>
      <c r="BD483" s="216"/>
      <c r="BE483" s="216"/>
      <c r="BF483" s="216"/>
      <c r="BG483" s="216"/>
      <c r="BH483" s="216"/>
      <c r="BI483" s="216"/>
      <c r="BJ483" s="216"/>
      <c r="BK483" s="216"/>
      <c r="BL483" s="216"/>
      <c r="BM483" s="216"/>
      <c r="BN483" s="216"/>
      <c r="BO483" s="216"/>
      <c r="BP483" s="216"/>
      <c r="BQ483" s="216"/>
      <c r="BR483" s="216"/>
      <c r="BS483" s="216"/>
      <c r="BT483" s="216"/>
      <c r="BU483" s="216"/>
      <c r="BV483" s="216"/>
      <c r="BW483" s="217"/>
    </row>
    <row r="484" spans="8:8">
      <c r="AW484" s="215" t="s">
        <v>7664</v>
      </c>
      <c r="AX484" s="216"/>
      <c r="AY484" s="216"/>
      <c r="AZ484" s="216"/>
      <c r="BA484" s="216"/>
      <c r="BB484" s="216" t="s">
        <v>7665</v>
      </c>
      <c r="BC484" s="216"/>
      <c r="BD484" s="216"/>
      <c r="BE484" s="216"/>
      <c r="BF484" s="216"/>
      <c r="BG484" s="216"/>
      <c r="BH484" s="216"/>
      <c r="BI484" s="216"/>
      <c r="BJ484" s="216"/>
      <c r="BK484" s="216"/>
      <c r="BL484" s="216"/>
      <c r="BM484" s="216"/>
      <c r="BN484" s="216"/>
      <c r="BO484" s="216"/>
      <c r="BP484" s="216"/>
      <c r="BQ484" s="216"/>
      <c r="BR484" s="216"/>
      <c r="BS484" s="216"/>
      <c r="BT484" s="216"/>
      <c r="BU484" s="216"/>
      <c r="BV484" s="216"/>
      <c r="BW484" s="217"/>
    </row>
    <row r="485" spans="8:8">
      <c r="AW485" s="215" t="s">
        <v>7666</v>
      </c>
      <c r="AX485" s="216"/>
      <c r="AY485" s="216"/>
      <c r="AZ485" s="216"/>
      <c r="BA485" s="216"/>
      <c r="BB485" s="216" t="s">
        <v>5729</v>
      </c>
      <c r="BC485" s="216"/>
      <c r="BD485" s="216"/>
      <c r="BE485" s="216"/>
      <c r="BF485" s="216"/>
      <c r="BG485" s="216"/>
      <c r="BH485" s="216"/>
      <c r="BI485" s="216"/>
      <c r="BJ485" s="216"/>
      <c r="BK485" s="216"/>
      <c r="BL485" s="216"/>
      <c r="BM485" s="216"/>
      <c r="BN485" s="216"/>
      <c r="BO485" s="216"/>
      <c r="BP485" s="216"/>
      <c r="BQ485" s="216"/>
      <c r="BR485" s="216"/>
      <c r="BS485" s="216"/>
      <c r="BT485" s="216"/>
      <c r="BU485" s="216"/>
      <c r="BV485" s="216"/>
      <c r="BW485" s="217"/>
    </row>
    <row r="486" spans="8:8">
      <c r="AW486" s="215" t="s">
        <v>7667</v>
      </c>
      <c r="AX486" s="216"/>
      <c r="AY486" s="216"/>
      <c r="AZ486" s="216"/>
      <c r="BA486" s="216"/>
      <c r="BB486" s="216" t="s">
        <v>7668</v>
      </c>
      <c r="BC486" s="216"/>
      <c r="BD486" s="216"/>
      <c r="BE486" s="216"/>
      <c r="BF486" s="216"/>
      <c r="BG486" s="216"/>
      <c r="BH486" s="216"/>
      <c r="BI486" s="216"/>
      <c r="BJ486" s="216"/>
      <c r="BK486" s="216"/>
      <c r="BL486" s="216"/>
      <c r="BM486" s="216"/>
      <c r="BN486" s="216"/>
      <c r="BO486" s="216"/>
      <c r="BP486" s="216"/>
      <c r="BQ486" s="216"/>
      <c r="BR486" s="216"/>
      <c r="BS486" s="216"/>
      <c r="BT486" s="216"/>
      <c r="BU486" s="216"/>
      <c r="BV486" s="216"/>
      <c r="BW486" s="217"/>
    </row>
    <row r="487" spans="8:8">
      <c r="AW487" s="215" t="s">
        <v>7669</v>
      </c>
      <c r="AX487" s="216"/>
      <c r="AY487" s="216"/>
      <c r="AZ487" s="216"/>
      <c r="BA487" s="216"/>
      <c r="BB487" s="216" t="s">
        <v>7670</v>
      </c>
      <c r="BC487" s="216"/>
      <c r="BD487" s="216"/>
      <c r="BE487" s="216"/>
      <c r="BF487" s="216"/>
      <c r="BG487" s="216"/>
      <c r="BH487" s="216"/>
      <c r="BI487" s="216"/>
      <c r="BJ487" s="216"/>
      <c r="BK487" s="216"/>
      <c r="BL487" s="216"/>
      <c r="BM487" s="216"/>
      <c r="BN487" s="216"/>
      <c r="BO487" s="216"/>
      <c r="BP487" s="216"/>
      <c r="BQ487" s="216"/>
      <c r="BR487" s="216"/>
      <c r="BS487" s="216"/>
      <c r="BT487" s="216"/>
      <c r="BU487" s="216"/>
      <c r="BV487" s="216"/>
      <c r="BW487" s="217"/>
    </row>
    <row r="488" spans="8:8">
      <c r="AW488" s="215" t="s">
        <v>7671</v>
      </c>
      <c r="AX488" s="216"/>
      <c r="AY488" s="216"/>
      <c r="AZ488" s="216"/>
      <c r="BA488" s="216"/>
      <c r="BB488" s="216" t="s">
        <v>7672</v>
      </c>
      <c r="BC488" s="216"/>
      <c r="BD488" s="216"/>
      <c r="BE488" s="216"/>
      <c r="BF488" s="216"/>
      <c r="BG488" s="216"/>
      <c r="BH488" s="216"/>
      <c r="BI488" s="216"/>
      <c r="BJ488" s="216"/>
      <c r="BK488" s="216"/>
      <c r="BL488" s="216"/>
      <c r="BM488" s="216"/>
      <c r="BN488" s="216"/>
      <c r="BO488" s="216"/>
      <c r="BP488" s="216"/>
      <c r="BQ488" s="216"/>
      <c r="BR488" s="216"/>
      <c r="BS488" s="216"/>
      <c r="BT488" s="216"/>
      <c r="BU488" s="216"/>
      <c r="BV488" s="216"/>
      <c r="BW488" s="217"/>
    </row>
    <row r="489" spans="8:8">
      <c r="AW489" s="215" t="s">
        <v>7673</v>
      </c>
      <c r="AX489" s="216"/>
      <c r="AY489" s="216"/>
      <c r="AZ489" s="216"/>
      <c r="BA489" s="216"/>
      <c r="BB489" s="216" t="s">
        <v>5696</v>
      </c>
      <c r="BC489" s="216"/>
      <c r="BD489" s="216"/>
      <c r="BE489" s="216"/>
      <c r="BF489" s="216"/>
      <c r="BG489" s="216"/>
      <c r="BH489" s="216"/>
      <c r="BI489" s="216"/>
      <c r="BJ489" s="216"/>
      <c r="BK489" s="216"/>
      <c r="BL489" s="216"/>
      <c r="BM489" s="216"/>
      <c r="BN489" s="216"/>
      <c r="BO489" s="216"/>
      <c r="BP489" s="216"/>
      <c r="BQ489" s="216"/>
      <c r="BR489" s="216"/>
      <c r="BS489" s="216"/>
      <c r="BT489" s="216"/>
      <c r="BU489" s="216"/>
      <c r="BV489" s="216"/>
      <c r="BW489" s="217"/>
    </row>
    <row r="490" spans="8:8">
      <c r="AW490" s="215" t="s">
        <v>7674</v>
      </c>
      <c r="AX490" s="216"/>
      <c r="AY490" s="216"/>
      <c r="AZ490" s="216"/>
      <c r="BA490" s="216"/>
      <c r="BB490" s="216" t="s">
        <v>5696</v>
      </c>
      <c r="BC490" s="216"/>
      <c r="BD490" s="216"/>
      <c r="BE490" s="216"/>
      <c r="BF490" s="216"/>
      <c r="BG490" s="216"/>
      <c r="BH490" s="216"/>
      <c r="BI490" s="216"/>
      <c r="BJ490" s="216"/>
      <c r="BK490" s="216"/>
      <c r="BL490" s="216"/>
      <c r="BM490" s="216"/>
      <c r="BN490" s="216"/>
      <c r="BO490" s="216"/>
      <c r="BP490" s="216"/>
      <c r="BQ490" s="216"/>
      <c r="BR490" s="216"/>
      <c r="BS490" s="216"/>
      <c r="BT490" s="216"/>
      <c r="BU490" s="216"/>
      <c r="BV490" s="216"/>
      <c r="BW490" s="217"/>
    </row>
    <row r="491" spans="8:8">
      <c r="AW491" s="215" t="s">
        <v>7675</v>
      </c>
      <c r="AX491" s="216"/>
      <c r="AY491" s="216"/>
      <c r="AZ491" s="216"/>
      <c r="BA491" s="216"/>
      <c r="BB491" s="216" t="s">
        <v>6697</v>
      </c>
      <c r="BC491" s="216"/>
      <c r="BD491" s="216"/>
      <c r="BE491" s="216"/>
      <c r="BF491" s="216"/>
      <c r="BG491" s="216"/>
      <c r="BH491" s="216"/>
      <c r="BI491" s="216"/>
      <c r="BJ491" s="216"/>
      <c r="BK491" s="216"/>
      <c r="BL491" s="216"/>
      <c r="BM491" s="216"/>
      <c r="BN491" s="216"/>
      <c r="BO491" s="216"/>
      <c r="BP491" s="216"/>
      <c r="BQ491" s="216"/>
      <c r="BR491" s="216"/>
      <c r="BS491" s="216"/>
      <c r="BT491" s="216"/>
      <c r="BU491" s="216"/>
      <c r="BV491" s="216"/>
      <c r="BW491" s="217"/>
    </row>
    <row r="492" spans="8:8">
      <c r="AW492" s="215" t="s">
        <v>7676</v>
      </c>
      <c r="AX492" s="216"/>
      <c r="AY492" s="216"/>
      <c r="AZ492" s="216"/>
      <c r="BA492" s="216"/>
      <c r="BB492" s="216" t="s">
        <v>7677</v>
      </c>
      <c r="BC492" s="216"/>
      <c r="BD492" s="216"/>
      <c r="BE492" s="216"/>
      <c r="BF492" s="216"/>
      <c r="BG492" s="216"/>
      <c r="BH492" s="216"/>
      <c r="BI492" s="216"/>
      <c r="BJ492" s="216"/>
      <c r="BK492" s="216"/>
      <c r="BL492" s="216"/>
      <c r="BM492" s="216"/>
      <c r="BN492" s="216"/>
      <c r="BO492" s="216"/>
      <c r="BP492" s="216"/>
      <c r="BQ492" s="216"/>
      <c r="BR492" s="216"/>
      <c r="BS492" s="216"/>
      <c r="BT492" s="216"/>
      <c r="BU492" s="216"/>
      <c r="BV492" s="216"/>
      <c r="BW492" s="217"/>
    </row>
    <row r="493" spans="8:8">
      <c r="AW493" s="215" t="s">
        <v>7678</v>
      </c>
      <c r="AX493" s="216"/>
      <c r="AY493" s="216"/>
      <c r="AZ493" s="216"/>
      <c r="BA493" s="216"/>
      <c r="BB493" s="216" t="s">
        <v>5899</v>
      </c>
      <c r="BC493" s="216"/>
      <c r="BD493" s="216"/>
      <c r="BE493" s="216"/>
      <c r="BF493" s="216"/>
      <c r="BG493" s="216"/>
      <c r="BH493" s="216"/>
      <c r="BI493" s="216"/>
      <c r="BJ493" s="216"/>
      <c r="BK493" s="216"/>
      <c r="BL493" s="216"/>
      <c r="BM493" s="216"/>
      <c r="BN493" s="216"/>
      <c r="BO493" s="216"/>
      <c r="BP493" s="216"/>
      <c r="BQ493" s="216"/>
      <c r="BR493" s="216"/>
      <c r="BS493" s="216"/>
      <c r="BT493" s="216"/>
      <c r="BU493" s="216"/>
      <c r="BV493" s="216"/>
      <c r="BW493" s="217"/>
    </row>
    <row r="494" spans="8:8">
      <c r="AW494" s="215" t="s">
        <v>7679</v>
      </c>
      <c r="AX494" s="216"/>
      <c r="AY494" s="216"/>
      <c r="AZ494" s="216"/>
      <c r="BA494" s="216"/>
      <c r="BB494" s="216" t="s">
        <v>7680</v>
      </c>
      <c r="BC494" s="216"/>
      <c r="BD494" s="216"/>
      <c r="BE494" s="216"/>
      <c r="BF494" s="216"/>
      <c r="BG494" s="216"/>
      <c r="BH494" s="216"/>
      <c r="BI494" s="216"/>
      <c r="BJ494" s="216"/>
      <c r="BK494" s="216"/>
      <c r="BL494" s="216"/>
      <c r="BM494" s="216"/>
      <c r="BN494" s="216"/>
      <c r="BO494" s="216"/>
      <c r="BP494" s="216"/>
      <c r="BQ494" s="216"/>
      <c r="BR494" s="216"/>
      <c r="BS494" s="216"/>
      <c r="BT494" s="216"/>
      <c r="BU494" s="216"/>
      <c r="BV494" s="216"/>
      <c r="BW494" s="217"/>
    </row>
    <row r="495" spans="8:8">
      <c r="AW495" s="215" t="s">
        <v>7681</v>
      </c>
      <c r="AX495" s="216"/>
      <c r="AY495" s="216"/>
      <c r="AZ495" s="216"/>
      <c r="BA495" s="216"/>
      <c r="BB495" s="216" t="s">
        <v>5651</v>
      </c>
      <c r="BC495" s="216"/>
      <c r="BD495" s="216"/>
      <c r="BE495" s="216"/>
      <c r="BF495" s="216"/>
      <c r="BG495" s="216"/>
      <c r="BH495" s="216"/>
      <c r="BI495" s="216"/>
      <c r="BJ495" s="216"/>
      <c r="BK495" s="216"/>
      <c r="BL495" s="216"/>
      <c r="BM495" s="216"/>
      <c r="BN495" s="216"/>
      <c r="BO495" s="216"/>
      <c r="BP495" s="216"/>
      <c r="BQ495" s="216"/>
      <c r="BR495" s="216"/>
      <c r="BS495" s="216"/>
      <c r="BT495" s="216"/>
      <c r="BU495" s="216"/>
      <c r="BV495" s="216"/>
      <c r="BW495" s="217"/>
    </row>
    <row r="496" spans="8:8">
      <c r="AW496" s="215" t="s">
        <v>7682</v>
      </c>
      <c r="AX496" s="216"/>
      <c r="AY496" s="216"/>
      <c r="AZ496" s="216"/>
      <c r="BA496" s="216"/>
      <c r="BB496" s="216" t="s">
        <v>7683</v>
      </c>
      <c r="BC496" s="216"/>
      <c r="BD496" s="216"/>
      <c r="BE496" s="216"/>
      <c r="BF496" s="216"/>
      <c r="BG496" s="216"/>
      <c r="BH496" s="216"/>
      <c r="BI496" s="216"/>
      <c r="BJ496" s="216"/>
      <c r="BK496" s="216"/>
      <c r="BL496" s="216"/>
      <c r="BM496" s="216"/>
      <c r="BN496" s="216"/>
      <c r="BO496" s="216"/>
      <c r="BP496" s="216"/>
      <c r="BQ496" s="216"/>
      <c r="BR496" s="216"/>
      <c r="BS496" s="216"/>
      <c r="BT496" s="216"/>
      <c r="BU496" s="216"/>
      <c r="BV496" s="216"/>
      <c r="BW496" s="217"/>
    </row>
    <row r="497" spans="8:8">
      <c r="AW497" s="215" t="s">
        <v>7684</v>
      </c>
      <c r="AX497" s="216"/>
      <c r="AY497" s="216"/>
      <c r="AZ497" s="216"/>
      <c r="BA497" s="216"/>
      <c r="BB497" s="216" t="s">
        <v>6508</v>
      </c>
      <c r="BC497" s="216"/>
      <c r="BD497" s="216"/>
      <c r="BE497" s="216"/>
      <c r="BF497" s="216"/>
      <c r="BG497" s="216"/>
      <c r="BH497" s="216"/>
      <c r="BI497" s="216"/>
      <c r="BJ497" s="216"/>
      <c r="BK497" s="216"/>
      <c r="BL497" s="216"/>
      <c r="BM497" s="216"/>
      <c r="BN497" s="216"/>
      <c r="BO497" s="216"/>
      <c r="BP497" s="216"/>
      <c r="BQ497" s="216"/>
      <c r="BR497" s="216"/>
      <c r="BS497" s="216"/>
      <c r="BT497" s="216"/>
      <c r="BU497" s="216"/>
      <c r="BV497" s="216"/>
      <c r="BW497" s="217"/>
    </row>
    <row r="498" spans="8:8">
      <c r="AW498" s="215" t="s">
        <v>7685</v>
      </c>
      <c r="AX498" s="216"/>
      <c r="AY498" s="216"/>
      <c r="AZ498" s="216"/>
      <c r="BA498" s="216"/>
      <c r="BB498" s="216" t="s">
        <v>7686</v>
      </c>
      <c r="BC498" s="216"/>
      <c r="BD498" s="216"/>
      <c r="BE498" s="216"/>
      <c r="BF498" s="216"/>
      <c r="BG498" s="216"/>
      <c r="BH498" s="216"/>
      <c r="BI498" s="216"/>
      <c r="BJ498" s="216"/>
      <c r="BK498" s="216"/>
      <c r="BL498" s="216"/>
      <c r="BM498" s="216"/>
      <c r="BN498" s="216"/>
      <c r="BO498" s="216"/>
      <c r="BP498" s="216"/>
      <c r="BQ498" s="216"/>
      <c r="BR498" s="216"/>
      <c r="BS498" s="216"/>
      <c r="BT498" s="216"/>
      <c r="BU498" s="216"/>
      <c r="BV498" s="216"/>
      <c r="BW498" s="217"/>
    </row>
    <row r="499" spans="8:8">
      <c r="AW499" s="215" t="s">
        <v>7687</v>
      </c>
      <c r="AX499" s="216"/>
      <c r="AY499" s="216"/>
      <c r="AZ499" s="216"/>
      <c r="BA499" s="216"/>
      <c r="BB499" s="216" t="s">
        <v>6871</v>
      </c>
      <c r="BC499" s="216"/>
      <c r="BD499" s="216"/>
      <c r="BE499" s="216"/>
      <c r="BF499" s="216"/>
      <c r="BG499" s="216"/>
      <c r="BH499" s="216"/>
      <c r="BI499" s="216"/>
      <c r="BJ499" s="216"/>
      <c r="BK499" s="216"/>
      <c r="BL499" s="216"/>
      <c r="BM499" s="216"/>
      <c r="BN499" s="216"/>
      <c r="BO499" s="216"/>
      <c r="BP499" s="216"/>
      <c r="BQ499" s="216"/>
      <c r="BR499" s="216"/>
      <c r="BS499" s="216"/>
      <c r="BT499" s="216"/>
      <c r="BU499" s="216"/>
      <c r="BV499" s="216"/>
      <c r="BW499" s="217"/>
    </row>
    <row r="500" spans="8:8">
      <c r="AW500" s="215" t="s">
        <v>7688</v>
      </c>
      <c r="AX500" s="216"/>
      <c r="AY500" s="216"/>
      <c r="AZ500" s="216"/>
      <c r="BA500" s="216"/>
      <c r="BB500" s="216" t="s">
        <v>7689</v>
      </c>
      <c r="BC500" s="216"/>
      <c r="BD500" s="216"/>
      <c r="BE500" s="216"/>
      <c r="BF500" s="216"/>
      <c r="BG500" s="216"/>
      <c r="BH500" s="216"/>
      <c r="BI500" s="216"/>
      <c r="BJ500" s="216"/>
      <c r="BK500" s="216"/>
      <c r="BL500" s="216"/>
      <c r="BM500" s="216"/>
      <c r="BN500" s="216"/>
      <c r="BO500" s="216"/>
      <c r="BP500" s="216"/>
      <c r="BQ500" s="216"/>
      <c r="BR500" s="216"/>
      <c r="BS500" s="216"/>
      <c r="BT500" s="216"/>
      <c r="BU500" s="216"/>
      <c r="BV500" s="216"/>
      <c r="BW500" s="217"/>
    </row>
    <row r="501" spans="8:8">
      <c r="AW501" s="215" t="s">
        <v>7690</v>
      </c>
      <c r="AX501" s="216"/>
      <c r="AY501" s="216"/>
      <c r="AZ501" s="216"/>
      <c r="BA501" s="216"/>
      <c r="BB501" s="216" t="s">
        <v>5759</v>
      </c>
      <c r="BC501" s="216"/>
      <c r="BD501" s="216"/>
      <c r="BE501" s="216"/>
      <c r="BF501" s="216"/>
      <c r="BG501" s="216"/>
      <c r="BH501" s="216"/>
      <c r="BI501" s="216"/>
      <c r="BJ501" s="216"/>
      <c r="BK501" s="216"/>
      <c r="BL501" s="216"/>
      <c r="BM501" s="216"/>
      <c r="BN501" s="216"/>
      <c r="BO501" s="216"/>
      <c r="BP501" s="216"/>
      <c r="BQ501" s="216"/>
      <c r="BR501" s="216"/>
      <c r="BS501" s="216"/>
      <c r="BT501" s="216"/>
      <c r="BU501" s="216"/>
      <c r="BV501" s="216"/>
      <c r="BW501" s="217"/>
    </row>
    <row r="502" spans="8:8">
      <c r="AW502" s="215" t="s">
        <v>7691</v>
      </c>
      <c r="AX502" s="216"/>
      <c r="AY502" s="216"/>
      <c r="AZ502" s="216"/>
      <c r="BA502" s="216"/>
      <c r="BB502" s="216" t="s">
        <v>7692</v>
      </c>
      <c r="BC502" s="216"/>
      <c r="BD502" s="216"/>
      <c r="BE502" s="216"/>
      <c r="BF502" s="216"/>
      <c r="BG502" s="216"/>
      <c r="BH502" s="216"/>
      <c r="BI502" s="216"/>
      <c r="BJ502" s="216"/>
      <c r="BK502" s="216"/>
      <c r="BL502" s="216"/>
      <c r="BM502" s="216"/>
      <c r="BN502" s="216"/>
      <c r="BO502" s="216"/>
      <c r="BP502" s="216"/>
      <c r="BQ502" s="216"/>
      <c r="BR502" s="216"/>
      <c r="BS502" s="216"/>
      <c r="BT502" s="216"/>
      <c r="BU502" s="216"/>
      <c r="BV502" s="216"/>
      <c r="BW502" s="217"/>
    </row>
    <row r="503" spans="8:8">
      <c r="AW503" s="215" t="s">
        <v>7693</v>
      </c>
      <c r="AX503" s="216"/>
      <c r="AY503" s="216"/>
      <c r="AZ503" s="216"/>
      <c r="BA503" s="216"/>
      <c r="BB503" s="216" t="s">
        <v>7694</v>
      </c>
      <c r="BC503" s="216"/>
      <c r="BD503" s="216"/>
      <c r="BE503" s="216"/>
      <c r="BF503" s="216"/>
      <c r="BG503" s="216"/>
      <c r="BH503" s="216"/>
      <c r="BI503" s="216"/>
      <c r="BJ503" s="216"/>
      <c r="BK503" s="216"/>
      <c r="BL503" s="216"/>
      <c r="BM503" s="216"/>
      <c r="BN503" s="216"/>
      <c r="BO503" s="216"/>
      <c r="BP503" s="216"/>
      <c r="BQ503" s="216"/>
      <c r="BR503" s="216"/>
      <c r="BS503" s="216"/>
      <c r="BT503" s="216"/>
      <c r="BU503" s="216"/>
      <c r="BV503" s="216"/>
      <c r="BW503" s="217"/>
    </row>
    <row r="504" spans="8:8">
      <c r="AW504" s="215" t="s">
        <v>7695</v>
      </c>
      <c r="AX504" s="216"/>
      <c r="AY504" s="216"/>
      <c r="AZ504" s="216"/>
      <c r="BA504" s="216"/>
      <c r="BB504" s="216" t="s">
        <v>7696</v>
      </c>
      <c r="BC504" s="216"/>
      <c r="BD504" s="216"/>
      <c r="BE504" s="216"/>
      <c r="BF504" s="216"/>
      <c r="BG504" s="216"/>
      <c r="BH504" s="216"/>
      <c r="BI504" s="216"/>
      <c r="BJ504" s="216"/>
      <c r="BK504" s="216"/>
      <c r="BL504" s="216"/>
      <c r="BM504" s="216"/>
      <c r="BN504" s="216"/>
      <c r="BO504" s="216"/>
      <c r="BP504" s="216"/>
      <c r="BQ504" s="216"/>
      <c r="BR504" s="216"/>
      <c r="BS504" s="216"/>
      <c r="BT504" s="216"/>
      <c r="BU504" s="216"/>
      <c r="BV504" s="216"/>
      <c r="BW504" s="217"/>
    </row>
    <row r="505" spans="8:8">
      <c r="AW505" s="215" t="s">
        <v>7697</v>
      </c>
      <c r="AX505" s="216"/>
      <c r="AY505" s="216"/>
      <c r="AZ505" s="216"/>
      <c r="BA505" s="216"/>
      <c r="BB505" s="216" t="s">
        <v>7698</v>
      </c>
      <c r="BC505" s="216"/>
      <c r="BD505" s="216"/>
      <c r="BE505" s="216"/>
      <c r="BF505" s="216"/>
      <c r="BG505" s="216"/>
      <c r="BH505" s="216"/>
      <c r="BI505" s="216"/>
      <c r="BJ505" s="216"/>
      <c r="BK505" s="216"/>
      <c r="BL505" s="216"/>
      <c r="BM505" s="216"/>
      <c r="BN505" s="216"/>
      <c r="BO505" s="216"/>
      <c r="BP505" s="216"/>
      <c r="BQ505" s="216"/>
      <c r="BR505" s="216"/>
      <c r="BS505" s="216"/>
      <c r="BT505" s="216"/>
      <c r="BU505" s="216"/>
      <c r="BV505" s="216"/>
      <c r="BW505" s="217"/>
    </row>
    <row r="506" spans="8:8">
      <c r="AW506" s="215" t="s">
        <v>7699</v>
      </c>
      <c r="AX506" s="216"/>
      <c r="AY506" s="216"/>
      <c r="AZ506" s="216"/>
      <c r="BA506" s="216"/>
      <c r="BB506" s="216" t="s">
        <v>7696</v>
      </c>
      <c r="BC506" s="216"/>
      <c r="BD506" s="216"/>
      <c r="BE506" s="216"/>
      <c r="BF506" s="216"/>
      <c r="BG506" s="216"/>
      <c r="BH506" s="216"/>
      <c r="BI506" s="216"/>
      <c r="BJ506" s="216"/>
      <c r="BK506" s="216"/>
      <c r="BL506" s="216"/>
      <c r="BM506" s="216"/>
      <c r="BN506" s="216"/>
      <c r="BO506" s="216"/>
      <c r="BP506" s="216"/>
      <c r="BQ506" s="216"/>
      <c r="BR506" s="216"/>
      <c r="BS506" s="216"/>
      <c r="BT506" s="216"/>
      <c r="BU506" s="216"/>
      <c r="BV506" s="216"/>
      <c r="BW506" s="217"/>
    </row>
    <row r="507" spans="8:8">
      <c r="AW507" s="215" t="s">
        <v>7700</v>
      </c>
      <c r="AX507" s="216"/>
      <c r="AY507" s="216"/>
      <c r="AZ507" s="216"/>
      <c r="BA507" s="216"/>
      <c r="BB507" s="216" t="s">
        <v>7701</v>
      </c>
      <c r="BC507" s="216"/>
      <c r="BD507" s="216"/>
      <c r="BE507" s="216"/>
      <c r="BF507" s="216"/>
      <c r="BG507" s="216"/>
      <c r="BH507" s="216"/>
      <c r="BI507" s="216"/>
      <c r="BJ507" s="216"/>
      <c r="BK507" s="216"/>
      <c r="BL507" s="216"/>
      <c r="BM507" s="216"/>
      <c r="BN507" s="216"/>
      <c r="BO507" s="216"/>
      <c r="BP507" s="216"/>
      <c r="BQ507" s="216"/>
      <c r="BR507" s="216"/>
      <c r="BS507" s="216"/>
      <c r="BT507" s="216"/>
      <c r="BU507" s="216"/>
      <c r="BV507" s="216"/>
      <c r="BW507" s="217"/>
    </row>
    <row r="508" spans="8:8">
      <c r="AW508" s="215" t="s">
        <v>7702</v>
      </c>
      <c r="AX508" s="216"/>
      <c r="AY508" s="216"/>
      <c r="AZ508" s="216"/>
      <c r="BA508" s="216"/>
      <c r="BB508" s="216" t="s">
        <v>7703</v>
      </c>
      <c r="BC508" s="216"/>
      <c r="BD508" s="216"/>
      <c r="BE508" s="216"/>
      <c r="BF508" s="216"/>
      <c r="BG508" s="216"/>
      <c r="BH508" s="216"/>
      <c r="BI508" s="216"/>
      <c r="BJ508" s="216"/>
      <c r="BK508" s="216"/>
      <c r="BL508" s="216"/>
      <c r="BM508" s="216"/>
      <c r="BN508" s="216"/>
      <c r="BO508" s="216"/>
      <c r="BP508" s="216"/>
      <c r="BQ508" s="216"/>
      <c r="BR508" s="216"/>
      <c r="BS508" s="216"/>
      <c r="BT508" s="216"/>
      <c r="BU508" s="216"/>
      <c r="BV508" s="216"/>
      <c r="BW508" s="217"/>
    </row>
    <row r="509" spans="8:8">
      <c r="AW509" s="215" t="s">
        <v>7704</v>
      </c>
      <c r="AX509" s="216"/>
      <c r="AY509" s="216"/>
      <c r="AZ509" s="216"/>
      <c r="BA509" s="216"/>
      <c r="BB509" s="216" t="s">
        <v>6635</v>
      </c>
      <c r="BC509" s="216"/>
      <c r="BD509" s="216"/>
      <c r="BE509" s="216"/>
      <c r="BF509" s="216"/>
      <c r="BG509" s="216"/>
      <c r="BH509" s="216"/>
      <c r="BI509" s="216"/>
      <c r="BJ509" s="216"/>
      <c r="BK509" s="216"/>
      <c r="BL509" s="216"/>
      <c r="BM509" s="216"/>
      <c r="BN509" s="216"/>
      <c r="BO509" s="216"/>
      <c r="BP509" s="216"/>
      <c r="BQ509" s="216"/>
      <c r="BR509" s="216"/>
      <c r="BS509" s="216"/>
      <c r="BT509" s="216"/>
      <c r="BU509" s="216"/>
      <c r="BV509" s="216"/>
      <c r="BW509" s="217"/>
    </row>
    <row r="510" spans="8:8">
      <c r="AW510" s="215" t="s">
        <v>7705</v>
      </c>
      <c r="AX510" s="216"/>
      <c r="AY510" s="216"/>
      <c r="AZ510" s="216"/>
      <c r="BA510" s="216"/>
      <c r="BB510" s="216" t="s">
        <v>7706</v>
      </c>
      <c r="BC510" s="216"/>
      <c r="BD510" s="216"/>
      <c r="BE510" s="216"/>
      <c r="BF510" s="216"/>
      <c r="BG510" s="216"/>
      <c r="BH510" s="216"/>
      <c r="BI510" s="216"/>
      <c r="BJ510" s="216"/>
      <c r="BK510" s="216"/>
      <c r="BL510" s="216"/>
      <c r="BM510" s="216"/>
      <c r="BN510" s="216"/>
      <c r="BO510" s="216"/>
      <c r="BP510" s="216"/>
      <c r="BQ510" s="216"/>
      <c r="BR510" s="216"/>
      <c r="BS510" s="216"/>
      <c r="BT510" s="216"/>
      <c r="BU510" s="216"/>
      <c r="BV510" s="216"/>
      <c r="BW510" s="217"/>
    </row>
    <row r="511" spans="8:8">
      <c r="AW511" s="215" t="s">
        <v>7707</v>
      </c>
      <c r="AX511" s="216"/>
      <c r="AY511" s="216"/>
      <c r="AZ511" s="216"/>
      <c r="BA511" s="216"/>
      <c r="BB511" s="216" t="s">
        <v>5040</v>
      </c>
      <c r="BC511" s="216"/>
      <c r="BD511" s="216"/>
      <c r="BE511" s="216"/>
      <c r="BF511" s="216"/>
      <c r="BG511" s="216"/>
      <c r="BH511" s="216"/>
      <c r="BI511" s="216"/>
      <c r="BJ511" s="216"/>
      <c r="BK511" s="216"/>
      <c r="BL511" s="216"/>
      <c r="BM511" s="216"/>
      <c r="BN511" s="216"/>
      <c r="BO511" s="216"/>
      <c r="BP511" s="216"/>
      <c r="BQ511" s="216"/>
      <c r="BR511" s="216"/>
      <c r="BS511" s="216"/>
      <c r="BT511" s="216"/>
      <c r="BU511" s="216"/>
      <c r="BV511" s="216"/>
      <c r="BW511" s="217"/>
    </row>
    <row r="512" spans="8:8">
      <c r="AW512" s="215" t="s">
        <v>7708</v>
      </c>
      <c r="AX512" s="216"/>
      <c r="AY512" s="216"/>
      <c r="AZ512" s="216"/>
      <c r="BA512" s="216"/>
      <c r="BB512" s="216" t="s">
        <v>5040</v>
      </c>
      <c r="BC512" s="216"/>
      <c r="BD512" s="216"/>
      <c r="BE512" s="216"/>
      <c r="BF512" s="216"/>
      <c r="BG512" s="216"/>
      <c r="BH512" s="216"/>
      <c r="BI512" s="216"/>
      <c r="BJ512" s="216"/>
      <c r="BK512" s="216"/>
      <c r="BL512" s="216"/>
      <c r="BM512" s="216"/>
      <c r="BN512" s="216"/>
      <c r="BO512" s="216"/>
      <c r="BP512" s="216"/>
      <c r="BQ512" s="216"/>
      <c r="BR512" s="216"/>
      <c r="BS512" s="216"/>
      <c r="BT512" s="216"/>
      <c r="BU512" s="216"/>
      <c r="BV512" s="216"/>
      <c r="BW512" s="217"/>
    </row>
    <row r="513" spans="8:8">
      <c r="AW513" s="215" t="s">
        <v>7709</v>
      </c>
      <c r="AX513" s="216"/>
      <c r="AY513" s="216"/>
      <c r="AZ513" s="216"/>
      <c r="BA513" s="216"/>
      <c r="BB513" s="216" t="s">
        <v>5821</v>
      </c>
      <c r="BC513" s="216"/>
      <c r="BD513" s="216"/>
      <c r="BE513" s="216"/>
      <c r="BF513" s="216"/>
      <c r="BG513" s="216"/>
      <c r="BH513" s="216"/>
      <c r="BI513" s="216"/>
      <c r="BJ513" s="216"/>
      <c r="BK513" s="216"/>
      <c r="BL513" s="216"/>
      <c r="BM513" s="216"/>
      <c r="BN513" s="216"/>
      <c r="BO513" s="216"/>
      <c r="BP513" s="216"/>
      <c r="BQ513" s="216"/>
      <c r="BR513" s="216"/>
      <c r="BS513" s="216"/>
      <c r="BT513" s="216"/>
      <c r="BU513" s="216"/>
      <c r="BV513" s="216"/>
      <c r="BW513" s="217"/>
    </row>
    <row r="514" spans="8:8">
      <c r="AW514" s="215" t="s">
        <v>7710</v>
      </c>
      <c r="AX514" s="216"/>
      <c r="AY514" s="216"/>
      <c r="AZ514" s="216"/>
      <c r="BA514" s="216"/>
      <c r="BB514" s="216" t="s">
        <v>7711</v>
      </c>
      <c r="BC514" s="216"/>
      <c r="BD514" s="216"/>
      <c r="BE514" s="216"/>
      <c r="BF514" s="216"/>
      <c r="BG514" s="216"/>
      <c r="BH514" s="216"/>
      <c r="BI514" s="216"/>
      <c r="BJ514" s="216"/>
      <c r="BK514" s="216"/>
      <c r="BL514" s="216"/>
      <c r="BM514" s="216"/>
      <c r="BN514" s="216"/>
      <c r="BO514" s="216"/>
      <c r="BP514" s="216"/>
      <c r="BQ514" s="216"/>
      <c r="BR514" s="216"/>
      <c r="BS514" s="216"/>
      <c r="BT514" s="216"/>
      <c r="BU514" s="216"/>
      <c r="BV514" s="216"/>
      <c r="BW514" s="217"/>
    </row>
    <row r="515" spans="8:8">
      <c r="AW515" s="215" t="s">
        <v>7712</v>
      </c>
      <c r="AX515" s="216"/>
      <c r="AY515" s="216"/>
      <c r="AZ515" s="216"/>
      <c r="BA515" s="216"/>
      <c r="BB515" s="216" t="s">
        <v>5810</v>
      </c>
      <c r="BC515" s="216"/>
      <c r="BD515" s="216"/>
      <c r="BE515" s="216"/>
      <c r="BF515" s="216"/>
      <c r="BG515" s="216"/>
      <c r="BH515" s="216"/>
      <c r="BI515" s="216"/>
      <c r="BJ515" s="216"/>
      <c r="BK515" s="216"/>
      <c r="BL515" s="216"/>
      <c r="BM515" s="216"/>
      <c r="BN515" s="216"/>
      <c r="BO515" s="216"/>
      <c r="BP515" s="216"/>
      <c r="BQ515" s="216"/>
      <c r="BR515" s="216"/>
      <c r="BS515" s="216"/>
      <c r="BT515" s="216"/>
      <c r="BU515" s="216"/>
      <c r="BV515" s="216"/>
      <c r="BW515" s="217"/>
    </row>
    <row r="516" spans="8:8">
      <c r="AW516" s="215" t="s">
        <v>7713</v>
      </c>
      <c r="AX516" s="216"/>
      <c r="AY516" s="216"/>
      <c r="AZ516" s="216"/>
      <c r="BA516" s="216"/>
      <c r="BB516" s="216" t="s">
        <v>7714</v>
      </c>
      <c r="BC516" s="216"/>
      <c r="BD516" s="216"/>
      <c r="BE516" s="216"/>
      <c r="BF516" s="216"/>
      <c r="BG516" s="216"/>
      <c r="BH516" s="216"/>
      <c r="BI516" s="216"/>
      <c r="BJ516" s="216"/>
      <c r="BK516" s="216"/>
      <c r="BL516" s="216"/>
      <c r="BM516" s="216"/>
      <c r="BN516" s="216"/>
      <c r="BO516" s="216"/>
      <c r="BP516" s="216"/>
      <c r="BQ516" s="216"/>
      <c r="BR516" s="216"/>
      <c r="BS516" s="216"/>
      <c r="BT516" s="216"/>
      <c r="BU516" s="216"/>
      <c r="BV516" s="216"/>
      <c r="BW516" s="217"/>
    </row>
    <row r="517" spans="8:8">
      <c r="AW517" s="215" t="s">
        <v>7715</v>
      </c>
      <c r="AX517" s="216"/>
      <c r="AY517" s="216"/>
      <c r="AZ517" s="216"/>
      <c r="BA517" s="216"/>
      <c r="BB517" s="216" t="s">
        <v>7716</v>
      </c>
      <c r="BC517" s="216"/>
      <c r="BD517" s="216"/>
      <c r="BE517" s="216"/>
      <c r="BF517" s="216"/>
      <c r="BG517" s="216"/>
      <c r="BH517" s="216"/>
      <c r="BI517" s="216"/>
      <c r="BJ517" s="216"/>
      <c r="BK517" s="216"/>
      <c r="BL517" s="216"/>
      <c r="BM517" s="216"/>
      <c r="BN517" s="216"/>
      <c r="BO517" s="216"/>
      <c r="BP517" s="216"/>
      <c r="BQ517" s="216"/>
      <c r="BR517" s="216"/>
      <c r="BS517" s="216"/>
      <c r="BT517" s="216"/>
      <c r="BU517" s="216"/>
      <c r="BV517" s="216"/>
      <c r="BW517" s="217"/>
    </row>
    <row r="518" spans="8:8">
      <c r="AW518" s="215" t="s">
        <v>7717</v>
      </c>
      <c r="AX518" s="216"/>
      <c r="AY518" s="216"/>
      <c r="AZ518" s="216"/>
      <c r="BA518" s="216"/>
      <c r="BB518" s="216" t="s">
        <v>7718</v>
      </c>
      <c r="BC518" s="216"/>
      <c r="BD518" s="216"/>
      <c r="BE518" s="216"/>
      <c r="BF518" s="216"/>
      <c r="BG518" s="216"/>
      <c r="BH518" s="216"/>
      <c r="BI518" s="216"/>
      <c r="BJ518" s="216"/>
      <c r="BK518" s="216"/>
      <c r="BL518" s="216"/>
      <c r="BM518" s="216"/>
      <c r="BN518" s="216"/>
      <c r="BO518" s="216"/>
      <c r="BP518" s="216"/>
      <c r="BQ518" s="216"/>
      <c r="BR518" s="216"/>
      <c r="BS518" s="216"/>
      <c r="BT518" s="216"/>
      <c r="BU518" s="216"/>
      <c r="BV518" s="216"/>
      <c r="BW518" s="217"/>
    </row>
    <row r="519" spans="8:8">
      <c r="AW519" s="215" t="s">
        <v>7719</v>
      </c>
      <c r="AX519" s="216"/>
      <c r="AY519" s="216"/>
      <c r="AZ519" s="216"/>
      <c r="BA519" s="216"/>
      <c r="BB519" s="216" t="s">
        <v>5738</v>
      </c>
      <c r="BC519" s="216"/>
      <c r="BD519" s="216"/>
      <c r="BE519" s="216"/>
      <c r="BF519" s="216"/>
      <c r="BG519" s="216"/>
      <c r="BH519" s="216"/>
      <c r="BI519" s="216"/>
      <c r="BJ519" s="216"/>
      <c r="BK519" s="216"/>
      <c r="BL519" s="216"/>
      <c r="BM519" s="216"/>
      <c r="BN519" s="216"/>
      <c r="BO519" s="216"/>
      <c r="BP519" s="216"/>
      <c r="BQ519" s="216"/>
      <c r="BR519" s="216"/>
      <c r="BS519" s="216"/>
      <c r="BT519" s="216"/>
      <c r="BU519" s="216"/>
      <c r="BV519" s="216"/>
      <c r="BW519" s="217"/>
    </row>
    <row r="520" spans="8:8">
      <c r="AW520" s="215" t="s">
        <v>7720</v>
      </c>
      <c r="AX520" s="216"/>
      <c r="AY520" s="216"/>
      <c r="AZ520" s="216"/>
      <c r="BA520" s="216"/>
      <c r="BB520" s="216" t="s">
        <v>7721</v>
      </c>
      <c r="BC520" s="216"/>
      <c r="BD520" s="216"/>
      <c r="BE520" s="216"/>
      <c r="BF520" s="216"/>
      <c r="BG520" s="216"/>
      <c r="BH520" s="216"/>
      <c r="BI520" s="216"/>
      <c r="BJ520" s="216"/>
      <c r="BK520" s="216"/>
      <c r="BL520" s="216"/>
      <c r="BM520" s="216"/>
      <c r="BN520" s="216"/>
      <c r="BO520" s="216"/>
      <c r="BP520" s="216"/>
      <c r="BQ520" s="216"/>
      <c r="BR520" s="216"/>
      <c r="BS520" s="216"/>
      <c r="BT520" s="216"/>
      <c r="BU520" s="216"/>
      <c r="BV520" s="216"/>
      <c r="BW520" s="217"/>
    </row>
    <row r="521" spans="8:8">
      <c r="AW521" s="215" t="s">
        <v>7722</v>
      </c>
      <c r="AX521" s="216"/>
      <c r="AY521" s="216"/>
      <c r="AZ521" s="216"/>
      <c r="BA521" s="216"/>
      <c r="BB521" s="216" t="s">
        <v>5573</v>
      </c>
      <c r="BC521" s="216"/>
      <c r="BD521" s="216"/>
      <c r="BE521" s="216"/>
      <c r="BF521" s="216"/>
      <c r="BG521" s="216"/>
      <c r="BH521" s="216"/>
      <c r="BI521" s="216"/>
      <c r="BJ521" s="216"/>
      <c r="BK521" s="216"/>
      <c r="BL521" s="216"/>
      <c r="BM521" s="216"/>
      <c r="BN521" s="216"/>
      <c r="BO521" s="216"/>
      <c r="BP521" s="216"/>
      <c r="BQ521" s="216"/>
      <c r="BR521" s="216"/>
      <c r="BS521" s="216"/>
      <c r="BT521" s="216"/>
      <c r="BU521" s="216"/>
      <c r="BV521" s="216"/>
      <c r="BW521" s="217"/>
    </row>
    <row r="522" spans="8:8">
      <c r="AW522" s="215" t="s">
        <v>7723</v>
      </c>
      <c r="AX522" s="216"/>
      <c r="AY522" s="216"/>
      <c r="AZ522" s="216"/>
      <c r="BA522" s="216"/>
      <c r="BB522" s="216" t="s">
        <v>7724</v>
      </c>
      <c r="BC522" s="216"/>
      <c r="BD522" s="216"/>
      <c r="BE522" s="216"/>
      <c r="BF522" s="216"/>
      <c r="BG522" s="216"/>
      <c r="BH522" s="216"/>
      <c r="BI522" s="216"/>
      <c r="BJ522" s="216"/>
      <c r="BK522" s="216"/>
      <c r="BL522" s="216"/>
      <c r="BM522" s="216"/>
      <c r="BN522" s="216"/>
      <c r="BO522" s="216"/>
      <c r="BP522" s="216"/>
      <c r="BQ522" s="216"/>
      <c r="BR522" s="216"/>
      <c r="BS522" s="216"/>
      <c r="BT522" s="216"/>
      <c r="BU522" s="216"/>
      <c r="BV522" s="216"/>
      <c r="BW522" s="217"/>
    </row>
    <row r="523" spans="8:8">
      <c r="AW523" s="215" t="s">
        <v>7725</v>
      </c>
      <c r="AX523" s="216"/>
      <c r="AY523" s="216"/>
      <c r="AZ523" s="216"/>
      <c r="BA523" s="216"/>
      <c r="BB523" s="216" t="s">
        <v>7726</v>
      </c>
      <c r="BC523" s="216"/>
      <c r="BD523" s="216"/>
      <c r="BE523" s="216"/>
      <c r="BF523" s="216"/>
      <c r="BG523" s="216"/>
      <c r="BH523" s="216"/>
      <c r="BI523" s="216"/>
      <c r="BJ523" s="216"/>
      <c r="BK523" s="216"/>
      <c r="BL523" s="216"/>
      <c r="BM523" s="216"/>
      <c r="BN523" s="216"/>
      <c r="BO523" s="216"/>
      <c r="BP523" s="216"/>
      <c r="BQ523" s="216"/>
      <c r="BR523" s="216"/>
      <c r="BS523" s="216"/>
      <c r="BT523" s="216"/>
      <c r="BU523" s="216"/>
      <c r="BV523" s="216"/>
      <c r="BW523" s="217"/>
    </row>
    <row r="524" spans="8:8">
      <c r="AW524" s="215" t="s">
        <v>7727</v>
      </c>
      <c r="AX524" s="216"/>
      <c r="AY524" s="216"/>
      <c r="AZ524" s="216"/>
      <c r="BA524" s="216"/>
      <c r="BB524" s="216" t="s">
        <v>7728</v>
      </c>
      <c r="BC524" s="216"/>
      <c r="BD524" s="216"/>
      <c r="BE524" s="216"/>
      <c r="BF524" s="216"/>
      <c r="BG524" s="216"/>
      <c r="BH524" s="216"/>
      <c r="BI524" s="216"/>
      <c r="BJ524" s="216"/>
      <c r="BK524" s="216"/>
      <c r="BL524" s="216"/>
      <c r="BM524" s="216"/>
      <c r="BN524" s="216"/>
      <c r="BO524" s="216"/>
      <c r="BP524" s="216"/>
      <c r="BQ524" s="216"/>
      <c r="BR524" s="216"/>
      <c r="BS524" s="216"/>
      <c r="BT524" s="216"/>
      <c r="BU524" s="216"/>
      <c r="BV524" s="216"/>
      <c r="BW524" s="217"/>
    </row>
    <row r="525" spans="8:8">
      <c r="AW525" s="215" t="s">
        <v>7729</v>
      </c>
      <c r="AX525" s="216"/>
      <c r="AY525" s="216"/>
      <c r="AZ525" s="216"/>
      <c r="BA525" s="216"/>
      <c r="BB525" s="216" t="s">
        <v>7730</v>
      </c>
      <c r="BC525" s="216"/>
      <c r="BD525" s="216"/>
      <c r="BE525" s="216"/>
      <c r="BF525" s="216"/>
      <c r="BG525" s="216"/>
      <c r="BH525" s="216"/>
      <c r="BI525" s="216"/>
      <c r="BJ525" s="216"/>
      <c r="BK525" s="216"/>
      <c r="BL525" s="216"/>
      <c r="BM525" s="216"/>
      <c r="BN525" s="216"/>
      <c r="BO525" s="216"/>
      <c r="BP525" s="216"/>
      <c r="BQ525" s="216"/>
      <c r="BR525" s="216"/>
      <c r="BS525" s="216"/>
      <c r="BT525" s="216"/>
      <c r="BU525" s="216"/>
      <c r="BV525" s="216"/>
      <c r="BW525" s="217"/>
    </row>
    <row r="526" spans="8:8">
      <c r="AW526" s="215" t="s">
        <v>7731</v>
      </c>
      <c r="AX526" s="216"/>
      <c r="AY526" s="216"/>
      <c r="AZ526" s="216"/>
      <c r="BA526" s="216"/>
      <c r="BB526" s="216" t="s">
        <v>7732</v>
      </c>
      <c r="BC526" s="216"/>
      <c r="BD526" s="216"/>
      <c r="BE526" s="216"/>
      <c r="BF526" s="216"/>
      <c r="BG526" s="216"/>
      <c r="BH526" s="216"/>
      <c r="BI526" s="216"/>
      <c r="BJ526" s="216"/>
      <c r="BK526" s="216"/>
      <c r="BL526" s="216"/>
      <c r="BM526" s="216"/>
      <c r="BN526" s="216"/>
      <c r="BO526" s="216"/>
      <c r="BP526" s="216"/>
      <c r="BQ526" s="216"/>
      <c r="BR526" s="216"/>
      <c r="BS526" s="216"/>
      <c r="BT526" s="216"/>
      <c r="BU526" s="216"/>
      <c r="BV526" s="216"/>
      <c r="BW526" s="217"/>
    </row>
    <row r="527" spans="8:8">
      <c r="AW527" s="215" t="s">
        <v>7733</v>
      </c>
      <c r="AX527" s="216"/>
      <c r="AY527" s="216"/>
      <c r="AZ527" s="216"/>
      <c r="BA527" s="216"/>
      <c r="BB527" s="216" t="s">
        <v>6894</v>
      </c>
      <c r="BC527" s="216"/>
      <c r="BD527" s="216"/>
      <c r="BE527" s="216"/>
      <c r="BF527" s="216"/>
      <c r="BG527" s="216"/>
      <c r="BH527" s="216"/>
      <c r="BI527" s="216"/>
      <c r="BJ527" s="216"/>
      <c r="BK527" s="216"/>
      <c r="BL527" s="216"/>
      <c r="BM527" s="216"/>
      <c r="BN527" s="216"/>
      <c r="BO527" s="216"/>
      <c r="BP527" s="216"/>
      <c r="BQ527" s="216"/>
      <c r="BR527" s="216"/>
      <c r="BS527" s="216"/>
      <c r="BT527" s="216"/>
      <c r="BU527" s="216"/>
      <c r="BV527" s="216"/>
      <c r="BW527" s="217"/>
    </row>
    <row r="528" spans="8:8">
      <c r="AW528" s="215" t="s">
        <v>7734</v>
      </c>
      <c r="AX528" s="216"/>
      <c r="AY528" s="216"/>
      <c r="AZ528" s="216"/>
      <c r="BA528" s="216"/>
      <c r="BB528" s="216" t="s">
        <v>7735</v>
      </c>
      <c r="BC528" s="216"/>
      <c r="BD528" s="216"/>
      <c r="BE528" s="216"/>
      <c r="BF528" s="216"/>
      <c r="BG528" s="216"/>
      <c r="BH528" s="216"/>
      <c r="BI528" s="216"/>
      <c r="BJ528" s="216"/>
      <c r="BK528" s="216"/>
      <c r="BL528" s="216"/>
      <c r="BM528" s="216"/>
      <c r="BN528" s="216"/>
      <c r="BO528" s="216"/>
      <c r="BP528" s="216"/>
      <c r="BQ528" s="216"/>
      <c r="BR528" s="216"/>
      <c r="BS528" s="216"/>
      <c r="BT528" s="216"/>
      <c r="BU528" s="216"/>
      <c r="BV528" s="216"/>
      <c r="BW528" s="217"/>
    </row>
    <row r="529" spans="8:8">
      <c r="AW529" s="215" t="s">
        <v>7736</v>
      </c>
      <c r="AX529" s="216"/>
      <c r="AY529" s="216"/>
      <c r="AZ529" s="216"/>
      <c r="BA529" s="216"/>
      <c r="BB529" s="216" t="s">
        <v>7737</v>
      </c>
      <c r="BC529" s="216"/>
      <c r="BD529" s="216"/>
      <c r="BE529" s="216"/>
      <c r="BF529" s="216"/>
      <c r="BG529" s="216"/>
      <c r="BH529" s="216"/>
      <c r="BI529" s="216"/>
      <c r="BJ529" s="216"/>
      <c r="BK529" s="216"/>
      <c r="BL529" s="216"/>
      <c r="BM529" s="216"/>
      <c r="BN529" s="216"/>
      <c r="BO529" s="216"/>
      <c r="BP529" s="216"/>
      <c r="BQ529" s="216"/>
      <c r="BR529" s="216"/>
      <c r="BS529" s="216"/>
      <c r="BT529" s="216"/>
      <c r="BU529" s="216"/>
      <c r="BV529" s="216"/>
      <c r="BW529" s="217"/>
    </row>
    <row r="530" spans="8:8">
      <c r="AW530" s="215" t="s">
        <v>7738</v>
      </c>
      <c r="AX530" s="216"/>
      <c r="AY530" s="216"/>
      <c r="AZ530" s="216"/>
      <c r="BA530" s="216"/>
      <c r="BB530" s="216" t="s">
        <v>7739</v>
      </c>
      <c r="BC530" s="216"/>
      <c r="BD530" s="216"/>
      <c r="BE530" s="216"/>
      <c r="BF530" s="216"/>
      <c r="BG530" s="216"/>
      <c r="BH530" s="216"/>
      <c r="BI530" s="216"/>
      <c r="BJ530" s="216"/>
      <c r="BK530" s="216"/>
      <c r="BL530" s="216"/>
      <c r="BM530" s="216"/>
      <c r="BN530" s="216"/>
      <c r="BO530" s="216"/>
      <c r="BP530" s="216"/>
      <c r="BQ530" s="216"/>
      <c r="BR530" s="216"/>
      <c r="BS530" s="216"/>
      <c r="BT530" s="216"/>
      <c r="BU530" s="216"/>
      <c r="BV530" s="216"/>
      <c r="BW530" s="217"/>
    </row>
    <row r="531" spans="8:8">
      <c r="AW531" s="215" t="s">
        <v>7740</v>
      </c>
      <c r="AX531" s="216"/>
      <c r="AY531" s="216"/>
      <c r="AZ531" s="216"/>
      <c r="BA531" s="216"/>
      <c r="BB531" s="216" t="s">
        <v>7741</v>
      </c>
      <c r="BC531" s="216"/>
      <c r="BD531" s="216"/>
      <c r="BE531" s="216"/>
      <c r="BF531" s="216"/>
      <c r="BG531" s="216"/>
      <c r="BH531" s="216"/>
      <c r="BI531" s="216"/>
      <c r="BJ531" s="216"/>
      <c r="BK531" s="216"/>
      <c r="BL531" s="216"/>
      <c r="BM531" s="216"/>
      <c r="BN531" s="216"/>
      <c r="BO531" s="216"/>
      <c r="BP531" s="216"/>
      <c r="BQ531" s="216"/>
      <c r="BR531" s="216"/>
      <c r="BS531" s="216"/>
      <c r="BT531" s="216"/>
      <c r="BU531" s="216"/>
      <c r="BV531" s="216"/>
      <c r="BW531" s="217"/>
    </row>
    <row r="532" spans="8:8">
      <c r="AW532" s="215" t="s">
        <v>7742</v>
      </c>
      <c r="AX532" s="216"/>
      <c r="AY532" s="216"/>
      <c r="AZ532" s="216"/>
      <c r="BA532" s="216"/>
      <c r="BB532" s="216" t="s">
        <v>7743</v>
      </c>
      <c r="BC532" s="216"/>
      <c r="BD532" s="216"/>
      <c r="BE532" s="216"/>
      <c r="BF532" s="216"/>
      <c r="BG532" s="216"/>
      <c r="BH532" s="216"/>
      <c r="BI532" s="216"/>
      <c r="BJ532" s="216"/>
      <c r="BK532" s="216"/>
      <c r="BL532" s="216"/>
      <c r="BM532" s="216"/>
      <c r="BN532" s="216"/>
      <c r="BO532" s="216"/>
      <c r="BP532" s="216"/>
      <c r="BQ532" s="216"/>
      <c r="BR532" s="216"/>
      <c r="BS532" s="216"/>
      <c r="BT532" s="216"/>
      <c r="BU532" s="216"/>
      <c r="BV532" s="216"/>
      <c r="BW532" s="217"/>
    </row>
    <row r="533" spans="8:8">
      <c r="AW533" s="215" t="s">
        <v>7744</v>
      </c>
      <c r="AX533" s="216"/>
      <c r="AY533" s="216"/>
      <c r="AZ533" s="216"/>
      <c r="BA533" s="216"/>
      <c r="BB533" s="216" t="s">
        <v>5759</v>
      </c>
      <c r="BC533" s="216"/>
      <c r="BD533" s="216"/>
      <c r="BE533" s="216"/>
      <c r="BF533" s="216"/>
      <c r="BG533" s="216"/>
      <c r="BH533" s="216"/>
      <c r="BI533" s="216"/>
      <c r="BJ533" s="216"/>
      <c r="BK533" s="216"/>
      <c r="BL533" s="216"/>
      <c r="BM533" s="216"/>
      <c r="BN533" s="216"/>
      <c r="BO533" s="216"/>
      <c r="BP533" s="216"/>
      <c r="BQ533" s="216"/>
      <c r="BR533" s="216"/>
      <c r="BS533" s="216"/>
      <c r="BT533" s="216"/>
      <c r="BU533" s="216"/>
      <c r="BV533" s="216"/>
      <c r="BW533" s="217"/>
    </row>
    <row r="534" spans="8:8">
      <c r="AW534" s="215" t="s">
        <v>7745</v>
      </c>
      <c r="AX534" s="216"/>
      <c r="AY534" s="216"/>
      <c r="AZ534" s="216"/>
      <c r="BA534" s="216"/>
      <c r="BB534" s="216" t="s">
        <v>7746</v>
      </c>
      <c r="BC534" s="216"/>
      <c r="BD534" s="216"/>
      <c r="BE534" s="216"/>
      <c r="BF534" s="216"/>
      <c r="BG534" s="216"/>
      <c r="BH534" s="216"/>
      <c r="BI534" s="216"/>
      <c r="BJ534" s="216"/>
      <c r="BK534" s="216"/>
      <c r="BL534" s="216"/>
      <c r="BM534" s="216"/>
      <c r="BN534" s="216"/>
      <c r="BO534" s="216"/>
      <c r="BP534" s="216"/>
      <c r="BQ534" s="216"/>
      <c r="BR534" s="216"/>
      <c r="BS534" s="216"/>
      <c r="BT534" s="216"/>
      <c r="BU534" s="216"/>
      <c r="BV534" s="216"/>
      <c r="BW534" s="217"/>
    </row>
    <row r="535" spans="8:8">
      <c r="AW535" s="215" t="s">
        <v>7747</v>
      </c>
      <c r="AX535" s="216"/>
      <c r="AY535" s="216"/>
      <c r="AZ535" s="216"/>
      <c r="BA535" s="216"/>
      <c r="BB535" s="216" t="s">
        <v>7121</v>
      </c>
      <c r="BC535" s="216"/>
      <c r="BD535" s="216"/>
      <c r="BE535" s="216"/>
      <c r="BF535" s="216"/>
      <c r="BG535" s="216"/>
      <c r="BH535" s="216"/>
      <c r="BI535" s="216"/>
      <c r="BJ535" s="216"/>
      <c r="BK535" s="216"/>
      <c r="BL535" s="216"/>
      <c r="BM535" s="216"/>
      <c r="BN535" s="216"/>
      <c r="BO535" s="216"/>
      <c r="BP535" s="216"/>
      <c r="BQ535" s="216"/>
      <c r="BR535" s="216"/>
      <c r="BS535" s="216"/>
      <c r="BT535" s="216"/>
      <c r="BU535" s="216"/>
      <c r="BV535" s="216"/>
      <c r="BW535" s="217"/>
    </row>
    <row r="536" spans="8:8">
      <c r="AW536" s="215" t="s">
        <v>7748</v>
      </c>
      <c r="AX536" s="216"/>
      <c r="AY536" s="216"/>
      <c r="AZ536" s="216"/>
      <c r="BA536" s="216"/>
      <c r="BB536" s="216" t="s">
        <v>7749</v>
      </c>
      <c r="BC536" s="216"/>
      <c r="BD536" s="216"/>
      <c r="BE536" s="216"/>
      <c r="BF536" s="216"/>
      <c r="BG536" s="216"/>
      <c r="BH536" s="216"/>
      <c r="BI536" s="216"/>
      <c r="BJ536" s="216"/>
      <c r="BK536" s="216"/>
      <c r="BL536" s="216"/>
      <c r="BM536" s="216"/>
      <c r="BN536" s="216"/>
      <c r="BO536" s="216"/>
      <c r="BP536" s="216"/>
      <c r="BQ536" s="216"/>
      <c r="BR536" s="216"/>
      <c r="BS536" s="216"/>
      <c r="BT536" s="216"/>
      <c r="BU536" s="216"/>
      <c r="BV536" s="216"/>
      <c r="BW536" s="217"/>
    </row>
    <row r="537" spans="8:8">
      <c r="AW537" s="215" t="s">
        <v>7750</v>
      </c>
      <c r="AX537" s="216"/>
      <c r="AY537" s="216"/>
      <c r="AZ537" s="216"/>
      <c r="BA537" s="216"/>
      <c r="BB537" s="216" t="s">
        <v>7751</v>
      </c>
      <c r="BC537" s="216"/>
      <c r="BD537" s="216"/>
      <c r="BE537" s="216"/>
      <c r="BF537" s="216"/>
      <c r="BG537" s="216"/>
      <c r="BH537" s="216"/>
      <c r="BI537" s="216"/>
      <c r="BJ537" s="216"/>
      <c r="BK537" s="216"/>
      <c r="BL537" s="216"/>
      <c r="BM537" s="216"/>
      <c r="BN537" s="216"/>
      <c r="BO537" s="216"/>
      <c r="BP537" s="216"/>
      <c r="BQ537" s="216"/>
      <c r="BR537" s="216"/>
      <c r="BS537" s="216"/>
      <c r="BT537" s="216"/>
      <c r="BU537" s="216"/>
      <c r="BV537" s="216"/>
      <c r="BW537" s="217"/>
    </row>
    <row r="538" spans="8:8">
      <c r="AW538" s="215" t="s">
        <v>7752</v>
      </c>
      <c r="AX538" s="216"/>
      <c r="AY538" s="216"/>
      <c r="AZ538" s="216"/>
      <c r="BA538" s="216"/>
      <c r="BB538" s="216" t="s">
        <v>7751</v>
      </c>
      <c r="BC538" s="216"/>
      <c r="BD538" s="216"/>
      <c r="BE538" s="216"/>
      <c r="BF538" s="216"/>
      <c r="BG538" s="216"/>
      <c r="BH538" s="216"/>
      <c r="BI538" s="216"/>
      <c r="BJ538" s="216"/>
      <c r="BK538" s="216"/>
      <c r="BL538" s="216"/>
      <c r="BM538" s="216"/>
      <c r="BN538" s="216"/>
      <c r="BO538" s="216"/>
      <c r="BP538" s="216"/>
      <c r="BQ538" s="216"/>
      <c r="BR538" s="216"/>
      <c r="BS538" s="216"/>
      <c r="BT538" s="216"/>
      <c r="BU538" s="216"/>
      <c r="BV538" s="216"/>
      <c r="BW538" s="217"/>
    </row>
    <row r="539" spans="8:8">
      <c r="AW539" s="215" t="s">
        <v>7753</v>
      </c>
      <c r="AX539" s="216"/>
      <c r="AY539" s="216"/>
      <c r="AZ539" s="216"/>
      <c r="BA539" s="216"/>
      <c r="BB539" s="216" t="s">
        <v>5759</v>
      </c>
      <c r="BC539" s="216"/>
      <c r="BD539" s="216"/>
      <c r="BE539" s="216"/>
      <c r="BF539" s="216"/>
      <c r="BG539" s="216"/>
      <c r="BH539" s="216"/>
      <c r="BI539" s="216"/>
      <c r="BJ539" s="216"/>
      <c r="BK539" s="216"/>
      <c r="BL539" s="216"/>
      <c r="BM539" s="216"/>
      <c r="BN539" s="216"/>
      <c r="BO539" s="216"/>
      <c r="BP539" s="216"/>
      <c r="BQ539" s="216"/>
      <c r="BR539" s="216"/>
      <c r="BS539" s="216"/>
      <c r="BT539" s="216"/>
      <c r="BU539" s="216"/>
      <c r="BV539" s="216"/>
      <c r="BW539" s="217"/>
    </row>
    <row r="540" spans="8:8">
      <c r="AW540" s="215" t="s">
        <v>7754</v>
      </c>
      <c r="AX540" s="216"/>
      <c r="AY540" s="216"/>
      <c r="AZ540" s="216"/>
      <c r="BA540" s="216"/>
      <c r="BB540" s="216" t="s">
        <v>7755</v>
      </c>
      <c r="BC540" s="216"/>
      <c r="BD540" s="216"/>
      <c r="BE540" s="216"/>
      <c r="BF540" s="216"/>
      <c r="BG540" s="216"/>
      <c r="BH540" s="216"/>
      <c r="BI540" s="216"/>
      <c r="BJ540" s="216"/>
      <c r="BK540" s="216"/>
      <c r="BL540" s="216"/>
      <c r="BM540" s="216"/>
      <c r="BN540" s="216"/>
      <c r="BO540" s="216"/>
      <c r="BP540" s="216"/>
      <c r="BQ540" s="216"/>
      <c r="BR540" s="216"/>
      <c r="BS540" s="216"/>
      <c r="BT540" s="216"/>
      <c r="BU540" s="216"/>
      <c r="BV540" s="216"/>
      <c r="BW540" s="217"/>
    </row>
    <row r="541" spans="8:8">
      <c r="AW541" s="215" t="s">
        <v>7756</v>
      </c>
      <c r="AX541" s="216"/>
      <c r="AY541" s="216"/>
      <c r="AZ541" s="216"/>
      <c r="BA541" s="216"/>
      <c r="BB541" s="216" t="s">
        <v>6692</v>
      </c>
      <c r="BC541" s="216"/>
      <c r="BD541" s="216"/>
      <c r="BE541" s="216"/>
      <c r="BF541" s="216"/>
      <c r="BG541" s="216"/>
      <c r="BH541" s="216"/>
      <c r="BI541" s="216"/>
      <c r="BJ541" s="216"/>
      <c r="BK541" s="216"/>
      <c r="BL541" s="216"/>
      <c r="BM541" s="216"/>
      <c r="BN541" s="216"/>
      <c r="BO541" s="216"/>
      <c r="BP541" s="216"/>
      <c r="BQ541" s="216"/>
      <c r="BR541" s="216"/>
      <c r="BS541" s="216"/>
      <c r="BT541" s="216"/>
      <c r="BU541" s="216"/>
      <c r="BV541" s="216"/>
      <c r="BW541" s="217"/>
    </row>
    <row r="542" spans="8:8">
      <c r="AW542" s="215" t="s">
        <v>7757</v>
      </c>
      <c r="AX542" s="216"/>
      <c r="AY542" s="216"/>
      <c r="AZ542" s="216"/>
      <c r="BA542" s="216"/>
      <c r="BB542" s="216" t="s">
        <v>7758</v>
      </c>
      <c r="BC542" s="216"/>
      <c r="BD542" s="216"/>
      <c r="BE542" s="216"/>
      <c r="BF542" s="216"/>
      <c r="BG542" s="216"/>
      <c r="BH542" s="216"/>
      <c r="BI542" s="216"/>
      <c r="BJ542" s="216"/>
      <c r="BK542" s="216"/>
      <c r="BL542" s="216"/>
      <c r="BM542" s="216"/>
      <c r="BN542" s="216"/>
      <c r="BO542" s="216"/>
      <c r="BP542" s="216"/>
      <c r="BQ542" s="216"/>
      <c r="BR542" s="216"/>
      <c r="BS542" s="216"/>
      <c r="BT542" s="216"/>
      <c r="BU542" s="216"/>
      <c r="BV542" s="216"/>
      <c r="BW542" s="217"/>
    </row>
    <row r="543" spans="8:8">
      <c r="AW543" s="215" t="s">
        <v>7759</v>
      </c>
      <c r="AX543" s="216"/>
      <c r="AY543" s="216"/>
      <c r="AZ543" s="216"/>
      <c r="BA543" s="216"/>
      <c r="BB543" s="216" t="s">
        <v>5467</v>
      </c>
      <c r="BC543" s="216"/>
      <c r="BD543" s="216"/>
      <c r="BE543" s="216"/>
      <c r="BF543" s="216"/>
      <c r="BG543" s="216"/>
      <c r="BH543" s="216"/>
      <c r="BI543" s="216"/>
      <c r="BJ543" s="216"/>
      <c r="BK543" s="216"/>
      <c r="BL543" s="216"/>
      <c r="BM543" s="216"/>
      <c r="BN543" s="216"/>
      <c r="BO543" s="216"/>
      <c r="BP543" s="216"/>
      <c r="BQ543" s="216"/>
      <c r="BR543" s="216"/>
      <c r="BS543" s="216"/>
      <c r="BT543" s="216"/>
      <c r="BU543" s="216"/>
      <c r="BV543" s="216"/>
      <c r="BW543" s="217"/>
    </row>
    <row r="544" spans="8:8">
      <c r="AW544" s="215" t="s">
        <v>7760</v>
      </c>
      <c r="AX544" s="216"/>
      <c r="AY544" s="216"/>
      <c r="AZ544" s="216"/>
      <c r="BA544" s="216"/>
      <c r="BB544" s="216" t="s">
        <v>7761</v>
      </c>
      <c r="BC544" s="216"/>
      <c r="BD544" s="216"/>
      <c r="BE544" s="216"/>
      <c r="BF544" s="216"/>
      <c r="BG544" s="216"/>
      <c r="BH544" s="216"/>
      <c r="BI544" s="216"/>
      <c r="BJ544" s="216"/>
      <c r="BK544" s="216"/>
      <c r="BL544" s="216"/>
      <c r="BM544" s="216"/>
      <c r="BN544" s="216"/>
      <c r="BO544" s="216"/>
      <c r="BP544" s="216"/>
      <c r="BQ544" s="216"/>
      <c r="BR544" s="216"/>
      <c r="BS544" s="216"/>
      <c r="BT544" s="216"/>
      <c r="BU544" s="216"/>
      <c r="BV544" s="216"/>
      <c r="BW544" s="217"/>
    </row>
    <row r="545" spans="8:8">
      <c r="AW545" s="215" t="s">
        <v>7762</v>
      </c>
      <c r="AX545" s="216"/>
      <c r="AY545" s="216"/>
      <c r="AZ545" s="216"/>
      <c r="BA545" s="216"/>
      <c r="BB545" s="216" t="s">
        <v>7763</v>
      </c>
      <c r="BC545" s="216"/>
      <c r="BD545" s="216"/>
      <c r="BE545" s="216"/>
      <c r="BF545" s="216"/>
      <c r="BG545" s="216"/>
      <c r="BH545" s="216"/>
      <c r="BI545" s="216"/>
      <c r="BJ545" s="216"/>
      <c r="BK545" s="216"/>
      <c r="BL545" s="216"/>
      <c r="BM545" s="216"/>
      <c r="BN545" s="216"/>
      <c r="BO545" s="216"/>
      <c r="BP545" s="216"/>
      <c r="BQ545" s="216"/>
      <c r="BR545" s="216"/>
      <c r="BS545" s="216"/>
      <c r="BT545" s="216"/>
      <c r="BU545" s="216"/>
      <c r="BV545" s="216"/>
      <c r="BW545" s="217"/>
    </row>
    <row r="546" spans="8:8">
      <c r="AW546" s="215" t="s">
        <v>7764</v>
      </c>
      <c r="AX546" s="216"/>
      <c r="AY546" s="216"/>
      <c r="AZ546" s="216"/>
      <c r="BA546" s="216"/>
      <c r="BB546" s="216" t="s">
        <v>7765</v>
      </c>
      <c r="BC546" s="216"/>
      <c r="BD546" s="216"/>
      <c r="BE546" s="216"/>
      <c r="BF546" s="216"/>
      <c r="BG546" s="216"/>
      <c r="BH546" s="216"/>
      <c r="BI546" s="216"/>
      <c r="BJ546" s="216"/>
      <c r="BK546" s="216"/>
      <c r="BL546" s="216"/>
      <c r="BM546" s="216"/>
      <c r="BN546" s="216"/>
      <c r="BO546" s="216"/>
      <c r="BP546" s="216"/>
      <c r="BQ546" s="216"/>
      <c r="BR546" s="216"/>
      <c r="BS546" s="216"/>
      <c r="BT546" s="216"/>
      <c r="BU546" s="216"/>
      <c r="BV546" s="216"/>
      <c r="BW546" s="217"/>
    </row>
    <row r="547" spans="8:8">
      <c r="AW547" s="215" t="s">
        <v>7766</v>
      </c>
      <c r="AX547" s="216"/>
      <c r="AY547" s="216"/>
      <c r="AZ547" s="216"/>
      <c r="BA547" s="216"/>
      <c r="BB547" s="216" t="s">
        <v>6759</v>
      </c>
      <c r="BC547" s="216"/>
      <c r="BD547" s="216"/>
      <c r="BE547" s="216"/>
      <c r="BF547" s="216"/>
      <c r="BG547" s="216"/>
      <c r="BH547" s="216"/>
      <c r="BI547" s="216"/>
      <c r="BJ547" s="216"/>
      <c r="BK547" s="216"/>
      <c r="BL547" s="216"/>
      <c r="BM547" s="216"/>
      <c r="BN547" s="216"/>
      <c r="BO547" s="216"/>
      <c r="BP547" s="216"/>
      <c r="BQ547" s="216"/>
      <c r="BR547" s="216"/>
      <c r="BS547" s="216"/>
      <c r="BT547" s="216"/>
      <c r="BU547" s="216"/>
      <c r="BV547" s="216"/>
      <c r="BW547" s="217"/>
    </row>
    <row r="548" spans="8:8">
      <c r="AW548" s="215" t="s">
        <v>7767</v>
      </c>
      <c r="AX548" s="216"/>
      <c r="AY548" s="216"/>
      <c r="AZ548" s="216"/>
      <c r="BA548" s="216"/>
      <c r="BB548" s="216" t="s">
        <v>7768</v>
      </c>
      <c r="BC548" s="216"/>
      <c r="BD548" s="216"/>
      <c r="BE548" s="216"/>
      <c r="BF548" s="216"/>
      <c r="BG548" s="216"/>
      <c r="BH548" s="216"/>
      <c r="BI548" s="216"/>
      <c r="BJ548" s="216"/>
      <c r="BK548" s="216"/>
      <c r="BL548" s="216"/>
      <c r="BM548" s="216"/>
      <c r="BN548" s="216"/>
      <c r="BO548" s="216"/>
      <c r="BP548" s="216"/>
      <c r="BQ548" s="216"/>
      <c r="BR548" s="216"/>
      <c r="BS548" s="216"/>
      <c r="BT548" s="216"/>
      <c r="BU548" s="216"/>
      <c r="BV548" s="216"/>
      <c r="BW548" s="217"/>
    </row>
    <row r="549" spans="8:8">
      <c r="AW549" s="215" t="s">
        <v>7769</v>
      </c>
      <c r="AX549" s="216"/>
      <c r="AY549" s="216"/>
      <c r="AZ549" s="216"/>
      <c r="BA549" s="216"/>
      <c r="BB549" s="216" t="s">
        <v>7770</v>
      </c>
      <c r="BC549" s="216"/>
      <c r="BD549" s="216"/>
      <c r="BE549" s="216"/>
      <c r="BF549" s="216"/>
      <c r="BG549" s="216"/>
      <c r="BH549" s="216"/>
      <c r="BI549" s="216"/>
      <c r="BJ549" s="216"/>
      <c r="BK549" s="216"/>
      <c r="BL549" s="216"/>
      <c r="BM549" s="216"/>
      <c r="BN549" s="216"/>
      <c r="BO549" s="216"/>
      <c r="BP549" s="216"/>
      <c r="BQ549" s="216"/>
      <c r="BR549" s="216"/>
      <c r="BS549" s="216"/>
      <c r="BT549" s="216"/>
      <c r="BU549" s="216"/>
      <c r="BV549" s="216"/>
      <c r="BW549" s="217"/>
    </row>
    <row r="550" spans="8:8">
      <c r="AW550" s="215" t="s">
        <v>7771</v>
      </c>
      <c r="AX550" s="216"/>
      <c r="AY550" s="216"/>
      <c r="AZ550" s="216"/>
      <c r="BA550" s="216"/>
      <c r="BB550" s="216" t="s">
        <v>7772</v>
      </c>
      <c r="BC550" s="216"/>
      <c r="BD550" s="216"/>
      <c r="BE550" s="216"/>
      <c r="BF550" s="216"/>
      <c r="BG550" s="216"/>
      <c r="BH550" s="216"/>
      <c r="BI550" s="216"/>
      <c r="BJ550" s="216"/>
      <c r="BK550" s="216"/>
      <c r="BL550" s="216"/>
      <c r="BM550" s="216"/>
      <c r="BN550" s="216"/>
      <c r="BO550" s="216"/>
      <c r="BP550" s="216"/>
      <c r="BQ550" s="216"/>
      <c r="BR550" s="216"/>
      <c r="BS550" s="216"/>
      <c r="BT550" s="216"/>
      <c r="BU550" s="216"/>
      <c r="BV550" s="216"/>
      <c r="BW550" s="217"/>
    </row>
    <row r="551" spans="8:8">
      <c r="AW551" s="215" t="s">
        <v>7773</v>
      </c>
      <c r="AX551" s="216"/>
      <c r="AY551" s="216"/>
      <c r="AZ551" s="216"/>
      <c r="BA551" s="216"/>
      <c r="BB551" s="216" t="s">
        <v>7774</v>
      </c>
      <c r="BC551" s="216"/>
      <c r="BD551" s="216"/>
      <c r="BE551" s="216"/>
      <c r="BF551" s="216"/>
      <c r="BG551" s="216"/>
      <c r="BH551" s="216"/>
      <c r="BI551" s="216"/>
      <c r="BJ551" s="216"/>
      <c r="BK551" s="216"/>
      <c r="BL551" s="216"/>
      <c r="BM551" s="216"/>
      <c r="BN551" s="216"/>
      <c r="BO551" s="216"/>
      <c r="BP551" s="216"/>
      <c r="BQ551" s="216"/>
      <c r="BR551" s="216"/>
      <c r="BS551" s="216"/>
      <c r="BT551" s="216"/>
      <c r="BU551" s="216"/>
      <c r="BV551" s="216"/>
      <c r="BW551" s="217"/>
    </row>
    <row r="552" spans="8:8">
      <c r="AW552" s="215" t="s">
        <v>7775</v>
      </c>
      <c r="AX552" s="216"/>
      <c r="AY552" s="216"/>
      <c r="AZ552" s="216"/>
      <c r="BA552" s="216"/>
      <c r="BB552" s="216" t="s">
        <v>7776</v>
      </c>
      <c r="BC552" s="216"/>
      <c r="BD552" s="216"/>
      <c r="BE552" s="216"/>
      <c r="BF552" s="216"/>
      <c r="BG552" s="216"/>
      <c r="BH552" s="216"/>
      <c r="BI552" s="216"/>
      <c r="BJ552" s="216"/>
      <c r="BK552" s="216"/>
      <c r="BL552" s="216"/>
      <c r="BM552" s="216"/>
      <c r="BN552" s="216"/>
      <c r="BO552" s="216"/>
      <c r="BP552" s="216"/>
      <c r="BQ552" s="216"/>
      <c r="BR552" s="216"/>
      <c r="BS552" s="216"/>
      <c r="BT552" s="216"/>
      <c r="BU552" s="216"/>
      <c r="BV552" s="216"/>
      <c r="BW552" s="217"/>
    </row>
    <row r="553" spans="8:8">
      <c r="AW553" s="215" t="s">
        <v>7777</v>
      </c>
      <c r="AX553" s="216"/>
      <c r="AY553" s="216"/>
      <c r="AZ553" s="216"/>
      <c r="BA553" s="216"/>
      <c r="BB553" s="216" t="s">
        <v>6159</v>
      </c>
      <c r="BC553" s="216"/>
      <c r="BD553" s="216"/>
      <c r="BE553" s="216"/>
      <c r="BF553" s="216"/>
      <c r="BG553" s="216"/>
      <c r="BH553" s="216"/>
      <c r="BI553" s="216"/>
      <c r="BJ553" s="216"/>
      <c r="BK553" s="216"/>
      <c r="BL553" s="216"/>
      <c r="BM553" s="216"/>
      <c r="BN553" s="216"/>
      <c r="BO553" s="216"/>
      <c r="BP553" s="216"/>
      <c r="BQ553" s="216"/>
      <c r="BR553" s="216"/>
      <c r="BS553" s="216"/>
      <c r="BT553" s="216"/>
      <c r="BU553" s="216"/>
      <c r="BV553" s="216"/>
      <c r="BW553" s="217"/>
    </row>
    <row r="554" spans="8:8">
      <c r="AW554" s="215" t="s">
        <v>7778</v>
      </c>
      <c r="AX554" s="216"/>
      <c r="AY554" s="216"/>
      <c r="AZ554" s="216"/>
      <c r="BA554" s="216"/>
      <c r="BB554" s="216" t="s">
        <v>7779</v>
      </c>
      <c r="BC554" s="216"/>
      <c r="BD554" s="216"/>
      <c r="BE554" s="216"/>
      <c r="BF554" s="216"/>
      <c r="BG554" s="216"/>
      <c r="BH554" s="216"/>
      <c r="BI554" s="216"/>
      <c r="BJ554" s="216"/>
      <c r="BK554" s="216"/>
      <c r="BL554" s="216"/>
      <c r="BM554" s="216"/>
      <c r="BN554" s="216"/>
      <c r="BO554" s="216"/>
      <c r="BP554" s="216"/>
      <c r="BQ554" s="216"/>
      <c r="BR554" s="216"/>
      <c r="BS554" s="216"/>
      <c r="BT554" s="216"/>
      <c r="BU554" s="216"/>
      <c r="BV554" s="216"/>
      <c r="BW554" s="217"/>
    </row>
    <row r="555" spans="8:8">
      <c r="AW555" s="215" t="s">
        <v>7780</v>
      </c>
      <c r="AX555" s="216"/>
      <c r="AY555" s="216"/>
      <c r="AZ555" s="216"/>
      <c r="BA555" s="216"/>
      <c r="BB555" s="216" t="s">
        <v>5889</v>
      </c>
      <c r="BC555" s="216"/>
      <c r="BD555" s="216"/>
      <c r="BE555" s="216"/>
      <c r="BF555" s="216"/>
      <c r="BG555" s="216"/>
      <c r="BH555" s="216"/>
      <c r="BI555" s="216"/>
      <c r="BJ555" s="216"/>
      <c r="BK555" s="216"/>
      <c r="BL555" s="216"/>
      <c r="BM555" s="216"/>
      <c r="BN555" s="216"/>
      <c r="BO555" s="216"/>
      <c r="BP555" s="216"/>
      <c r="BQ555" s="216"/>
      <c r="BR555" s="216"/>
      <c r="BS555" s="216"/>
      <c r="BT555" s="216"/>
      <c r="BU555" s="216"/>
      <c r="BV555" s="216"/>
      <c r="BW555" s="217"/>
    </row>
    <row r="556" spans="8:8">
      <c r="AW556" s="215" t="s">
        <v>7781</v>
      </c>
      <c r="AX556" s="216"/>
      <c r="AY556" s="216"/>
      <c r="AZ556" s="216"/>
      <c r="BA556" s="216"/>
      <c r="BB556" s="216" t="s">
        <v>7782</v>
      </c>
      <c r="BC556" s="216"/>
      <c r="BD556" s="216"/>
      <c r="BE556" s="216"/>
      <c r="BF556" s="216"/>
      <c r="BG556" s="216"/>
      <c r="BH556" s="216"/>
      <c r="BI556" s="216"/>
      <c r="BJ556" s="216"/>
      <c r="BK556" s="216"/>
      <c r="BL556" s="216"/>
      <c r="BM556" s="216"/>
      <c r="BN556" s="216"/>
      <c r="BO556" s="216"/>
      <c r="BP556" s="216"/>
      <c r="BQ556" s="216"/>
      <c r="BR556" s="216"/>
      <c r="BS556" s="216"/>
      <c r="BT556" s="216"/>
      <c r="BU556" s="216"/>
      <c r="BV556" s="216"/>
      <c r="BW556" s="217"/>
    </row>
    <row r="557" spans="8:8">
      <c r="AW557" s="215" t="s">
        <v>7783</v>
      </c>
      <c r="AX557" s="216"/>
      <c r="AY557" s="216"/>
      <c r="AZ557" s="216"/>
      <c r="BA557" s="216"/>
      <c r="BB557" s="216" t="s">
        <v>6435</v>
      </c>
      <c r="BC557" s="216"/>
      <c r="BD557" s="216"/>
      <c r="BE557" s="216"/>
      <c r="BF557" s="216"/>
      <c r="BG557" s="216"/>
      <c r="BH557" s="216"/>
      <c r="BI557" s="216"/>
      <c r="BJ557" s="216"/>
      <c r="BK557" s="216"/>
      <c r="BL557" s="216"/>
      <c r="BM557" s="216"/>
      <c r="BN557" s="216"/>
      <c r="BO557" s="216"/>
      <c r="BP557" s="216"/>
      <c r="BQ557" s="216"/>
      <c r="BR557" s="216"/>
      <c r="BS557" s="216"/>
      <c r="BT557" s="216"/>
      <c r="BU557" s="216"/>
      <c r="BV557" s="216"/>
      <c r="BW557" s="217"/>
    </row>
    <row r="558" spans="8:8">
      <c r="AW558" s="215" t="s">
        <v>7784</v>
      </c>
      <c r="AX558" s="216"/>
      <c r="AY558" s="216"/>
      <c r="AZ558" s="216"/>
      <c r="BA558" s="216"/>
      <c r="BB558" s="216" t="s">
        <v>7785</v>
      </c>
      <c r="BC558" s="216"/>
      <c r="BD558" s="216"/>
      <c r="BE558" s="216"/>
      <c r="BF558" s="216"/>
      <c r="BG558" s="216"/>
      <c r="BH558" s="216"/>
      <c r="BI558" s="216"/>
      <c r="BJ558" s="216"/>
      <c r="BK558" s="216"/>
      <c r="BL558" s="216"/>
      <c r="BM558" s="216"/>
      <c r="BN558" s="216"/>
      <c r="BO558" s="216"/>
      <c r="BP558" s="216"/>
      <c r="BQ558" s="216"/>
      <c r="BR558" s="216"/>
      <c r="BS558" s="216"/>
      <c r="BT558" s="216"/>
      <c r="BU558" s="216"/>
      <c r="BV558" s="216"/>
      <c r="BW558" s="217"/>
    </row>
    <row r="559" spans="8:8">
      <c r="AW559" s="215" t="s">
        <v>7786</v>
      </c>
      <c r="AX559" s="216"/>
      <c r="AY559" s="216"/>
      <c r="AZ559" s="216"/>
      <c r="BA559" s="216"/>
      <c r="BB559" s="216" t="s">
        <v>6763</v>
      </c>
      <c r="BC559" s="216"/>
      <c r="BD559" s="216"/>
      <c r="BE559" s="216"/>
      <c r="BF559" s="216"/>
      <c r="BG559" s="216"/>
      <c r="BH559" s="216"/>
      <c r="BI559" s="216"/>
      <c r="BJ559" s="216"/>
      <c r="BK559" s="216"/>
      <c r="BL559" s="216"/>
      <c r="BM559" s="216"/>
      <c r="BN559" s="216"/>
      <c r="BO559" s="216"/>
      <c r="BP559" s="216"/>
      <c r="BQ559" s="216"/>
      <c r="BR559" s="216"/>
      <c r="BS559" s="216"/>
      <c r="BT559" s="216"/>
      <c r="BU559" s="216"/>
      <c r="BV559" s="216"/>
      <c r="BW559" s="217"/>
    </row>
    <row r="560" spans="8:8">
      <c r="AW560" s="215" t="s">
        <v>7787</v>
      </c>
      <c r="AX560" s="216"/>
      <c r="AY560" s="216"/>
      <c r="AZ560" s="216"/>
      <c r="BA560" s="216"/>
      <c r="BB560" s="216" t="s">
        <v>7788</v>
      </c>
      <c r="BC560" s="216"/>
      <c r="BD560" s="216"/>
      <c r="BE560" s="216"/>
      <c r="BF560" s="216"/>
      <c r="BG560" s="216"/>
      <c r="BH560" s="216"/>
      <c r="BI560" s="216"/>
      <c r="BJ560" s="216"/>
      <c r="BK560" s="216"/>
      <c r="BL560" s="216"/>
      <c r="BM560" s="216"/>
      <c r="BN560" s="216"/>
      <c r="BO560" s="216"/>
      <c r="BP560" s="216"/>
      <c r="BQ560" s="216"/>
      <c r="BR560" s="216"/>
      <c r="BS560" s="216"/>
      <c r="BT560" s="216"/>
      <c r="BU560" s="216"/>
      <c r="BV560" s="216"/>
      <c r="BW560" s="217"/>
    </row>
    <row r="561" spans="8:8">
      <c r="AW561" s="215" t="s">
        <v>7789</v>
      </c>
      <c r="AX561" s="216"/>
      <c r="AY561" s="216"/>
      <c r="AZ561" s="216"/>
      <c r="BA561" s="216"/>
      <c r="BB561" s="216" t="s">
        <v>6744</v>
      </c>
      <c r="BC561" s="216"/>
      <c r="BD561" s="216"/>
      <c r="BE561" s="216"/>
      <c r="BF561" s="216"/>
      <c r="BG561" s="216"/>
      <c r="BH561" s="216"/>
      <c r="BI561" s="216"/>
      <c r="BJ561" s="216"/>
      <c r="BK561" s="216"/>
      <c r="BL561" s="216"/>
      <c r="BM561" s="216"/>
      <c r="BN561" s="216"/>
      <c r="BO561" s="216"/>
      <c r="BP561" s="216"/>
      <c r="BQ561" s="216"/>
      <c r="BR561" s="216"/>
      <c r="BS561" s="216"/>
      <c r="BT561" s="216"/>
      <c r="BU561" s="216"/>
      <c r="BV561" s="216"/>
      <c r="BW561" s="217"/>
    </row>
    <row r="562" spans="8:8">
      <c r="AW562" s="215" t="s">
        <v>7790</v>
      </c>
      <c r="AX562" s="216"/>
      <c r="AY562" s="216"/>
      <c r="AZ562" s="216"/>
      <c r="BA562" s="216"/>
      <c r="BB562" s="216" t="s">
        <v>7791</v>
      </c>
      <c r="BC562" s="216"/>
      <c r="BD562" s="216"/>
      <c r="BE562" s="216"/>
      <c r="BF562" s="216"/>
      <c r="BG562" s="216"/>
      <c r="BH562" s="216"/>
      <c r="BI562" s="216"/>
      <c r="BJ562" s="216"/>
      <c r="BK562" s="216"/>
      <c r="BL562" s="216"/>
      <c r="BM562" s="216"/>
      <c r="BN562" s="216"/>
      <c r="BO562" s="216"/>
      <c r="BP562" s="216"/>
      <c r="BQ562" s="216"/>
      <c r="BR562" s="216"/>
      <c r="BS562" s="216"/>
      <c r="BT562" s="216"/>
      <c r="BU562" s="216"/>
      <c r="BV562" s="216"/>
      <c r="BW562" s="217"/>
    </row>
    <row r="563" spans="8:8">
      <c r="AW563" s="215" t="s">
        <v>7792</v>
      </c>
      <c r="AX563" s="216"/>
      <c r="AY563" s="216"/>
      <c r="AZ563" s="216"/>
      <c r="BA563" s="216"/>
      <c r="BB563" s="216" t="s">
        <v>5665</v>
      </c>
      <c r="BC563" s="216"/>
      <c r="BD563" s="216"/>
      <c r="BE563" s="216"/>
      <c r="BF563" s="216"/>
      <c r="BG563" s="216"/>
      <c r="BH563" s="216"/>
      <c r="BI563" s="216"/>
      <c r="BJ563" s="216"/>
      <c r="BK563" s="216"/>
      <c r="BL563" s="216"/>
      <c r="BM563" s="216"/>
      <c r="BN563" s="216"/>
      <c r="BO563" s="216"/>
      <c r="BP563" s="216"/>
      <c r="BQ563" s="216"/>
      <c r="BR563" s="216"/>
      <c r="BS563" s="216"/>
      <c r="BT563" s="216"/>
      <c r="BU563" s="216"/>
      <c r="BV563" s="216"/>
      <c r="BW563" s="217"/>
    </row>
    <row r="564" spans="8:8">
      <c r="AW564" s="215" t="s">
        <v>7793</v>
      </c>
      <c r="AX564" s="216"/>
      <c r="AY564" s="216"/>
      <c r="AZ564" s="216"/>
      <c r="BA564" s="216"/>
      <c r="BB564" s="216" t="s">
        <v>7794</v>
      </c>
      <c r="BC564" s="216"/>
      <c r="BD564" s="216"/>
      <c r="BE564" s="216"/>
      <c r="BF564" s="216"/>
      <c r="BG564" s="216"/>
      <c r="BH564" s="216"/>
      <c r="BI564" s="216"/>
      <c r="BJ564" s="216"/>
      <c r="BK564" s="216"/>
      <c r="BL564" s="216"/>
      <c r="BM564" s="216"/>
      <c r="BN564" s="216"/>
      <c r="BO564" s="216"/>
      <c r="BP564" s="216"/>
      <c r="BQ564" s="216"/>
      <c r="BR564" s="216"/>
      <c r="BS564" s="216"/>
      <c r="BT564" s="216"/>
      <c r="BU564" s="216"/>
      <c r="BV564" s="216"/>
      <c r="BW564" s="217"/>
    </row>
    <row r="565" spans="8:8">
      <c r="AW565" s="215" t="s">
        <v>7795</v>
      </c>
      <c r="AX565" s="216"/>
      <c r="AY565" s="216"/>
      <c r="AZ565" s="216"/>
      <c r="BA565" s="216"/>
      <c r="BB565" s="216" t="s">
        <v>7796</v>
      </c>
      <c r="BC565" s="216"/>
      <c r="BD565" s="216"/>
      <c r="BE565" s="216"/>
      <c r="BF565" s="216"/>
      <c r="BG565" s="216"/>
      <c r="BH565" s="216"/>
      <c r="BI565" s="216"/>
      <c r="BJ565" s="216"/>
      <c r="BK565" s="216"/>
      <c r="BL565" s="216"/>
      <c r="BM565" s="216"/>
      <c r="BN565" s="216"/>
      <c r="BO565" s="216"/>
      <c r="BP565" s="216"/>
      <c r="BQ565" s="216"/>
      <c r="BR565" s="216"/>
      <c r="BS565" s="216"/>
      <c r="BT565" s="216"/>
      <c r="BU565" s="216"/>
      <c r="BV565" s="216"/>
      <c r="BW565" s="217"/>
    </row>
    <row r="566" spans="8:8">
      <c r="AW566" s="215" t="s">
        <v>7797</v>
      </c>
      <c r="AX566" s="216"/>
      <c r="AY566" s="216"/>
      <c r="AZ566" s="216"/>
      <c r="BA566" s="216"/>
      <c r="BB566" s="216" t="s">
        <v>7796</v>
      </c>
      <c r="BC566" s="216"/>
      <c r="BD566" s="216"/>
      <c r="BE566" s="216"/>
      <c r="BF566" s="216"/>
      <c r="BG566" s="216"/>
      <c r="BH566" s="216"/>
      <c r="BI566" s="216"/>
      <c r="BJ566" s="216"/>
      <c r="BK566" s="216"/>
      <c r="BL566" s="216"/>
      <c r="BM566" s="216"/>
      <c r="BN566" s="216"/>
      <c r="BO566" s="216"/>
      <c r="BP566" s="216"/>
      <c r="BQ566" s="216"/>
      <c r="BR566" s="216"/>
      <c r="BS566" s="216"/>
      <c r="BT566" s="216"/>
      <c r="BU566" s="216"/>
      <c r="BV566" s="216"/>
      <c r="BW566" s="217"/>
    </row>
    <row r="567" spans="8:8">
      <c r="AW567" s="215" t="s">
        <v>7798</v>
      </c>
      <c r="AX567" s="216"/>
      <c r="AY567" s="216"/>
      <c r="AZ567" s="216"/>
      <c r="BA567" s="216"/>
      <c r="BB567" s="216" t="s">
        <v>7799</v>
      </c>
      <c r="BC567" s="216"/>
      <c r="BD567" s="216"/>
      <c r="BE567" s="216"/>
      <c r="BF567" s="216"/>
      <c r="BG567" s="216"/>
      <c r="BH567" s="216"/>
      <c r="BI567" s="216"/>
      <c r="BJ567" s="216"/>
      <c r="BK567" s="216"/>
      <c r="BL567" s="216"/>
      <c r="BM567" s="216"/>
      <c r="BN567" s="216"/>
      <c r="BO567" s="216"/>
      <c r="BP567" s="216"/>
      <c r="BQ567" s="216"/>
      <c r="BR567" s="216"/>
      <c r="BS567" s="216"/>
      <c r="BT567" s="216"/>
      <c r="BU567" s="216"/>
      <c r="BV567" s="216"/>
      <c r="BW567" s="217"/>
    </row>
    <row r="568" spans="8:8">
      <c r="AW568" s="215" t="s">
        <v>7800</v>
      </c>
      <c r="AX568" s="216"/>
      <c r="AY568" s="216"/>
      <c r="AZ568" s="216"/>
      <c r="BA568" s="216"/>
      <c r="BB568" s="216" t="s">
        <v>7801</v>
      </c>
      <c r="BC568" s="216"/>
      <c r="BD568" s="216"/>
      <c r="BE568" s="216"/>
      <c r="BF568" s="216"/>
      <c r="BG568" s="216"/>
      <c r="BH568" s="216"/>
      <c r="BI568" s="216"/>
      <c r="BJ568" s="216"/>
      <c r="BK568" s="216"/>
      <c r="BL568" s="216"/>
      <c r="BM568" s="216"/>
      <c r="BN568" s="216"/>
      <c r="BO568" s="216"/>
      <c r="BP568" s="216"/>
      <c r="BQ568" s="216"/>
      <c r="BR568" s="216"/>
      <c r="BS568" s="216"/>
      <c r="BT568" s="216"/>
      <c r="BU568" s="216"/>
      <c r="BV568" s="216"/>
      <c r="BW568" s="217"/>
    </row>
    <row r="569" spans="8:8">
      <c r="AW569" s="215" t="s">
        <v>7802</v>
      </c>
      <c r="AX569" s="216"/>
      <c r="AY569" s="216"/>
      <c r="AZ569" s="216"/>
      <c r="BA569" s="216"/>
      <c r="BB569" s="216" t="s">
        <v>7803</v>
      </c>
      <c r="BC569" s="216"/>
      <c r="BD569" s="216"/>
      <c r="BE569" s="216"/>
      <c r="BF569" s="216"/>
      <c r="BG569" s="216"/>
      <c r="BH569" s="216"/>
      <c r="BI569" s="216"/>
      <c r="BJ569" s="216"/>
      <c r="BK569" s="216"/>
      <c r="BL569" s="216"/>
      <c r="BM569" s="216"/>
      <c r="BN569" s="216"/>
      <c r="BO569" s="216"/>
      <c r="BP569" s="216"/>
      <c r="BQ569" s="216"/>
      <c r="BR569" s="216"/>
      <c r="BS569" s="216"/>
      <c r="BT569" s="216"/>
      <c r="BU569" s="216"/>
      <c r="BV569" s="216"/>
      <c r="BW569" s="217"/>
    </row>
    <row r="570" spans="8:8">
      <c r="AW570" s="215" t="s">
        <v>7804</v>
      </c>
      <c r="AX570" s="216"/>
      <c r="AY570" s="216"/>
      <c r="AZ570" s="216"/>
      <c r="BA570" s="216"/>
      <c r="BB570" s="216" t="s">
        <v>7805</v>
      </c>
      <c r="BC570" s="216"/>
      <c r="BD570" s="216"/>
      <c r="BE570" s="216"/>
      <c r="BF570" s="216"/>
      <c r="BG570" s="216"/>
      <c r="BH570" s="216"/>
      <c r="BI570" s="216"/>
      <c r="BJ570" s="216"/>
      <c r="BK570" s="216"/>
      <c r="BL570" s="216"/>
      <c r="BM570" s="216"/>
      <c r="BN570" s="216"/>
      <c r="BO570" s="216"/>
      <c r="BP570" s="216"/>
      <c r="BQ570" s="216"/>
      <c r="BR570" s="216"/>
      <c r="BS570" s="216"/>
      <c r="BT570" s="216"/>
      <c r="BU570" s="216"/>
      <c r="BV570" s="216"/>
      <c r="BW570" s="217"/>
    </row>
    <row r="571" spans="8:8">
      <c r="AW571" s="215" t="s">
        <v>7806</v>
      </c>
      <c r="AX571" s="216"/>
      <c r="AY571" s="216"/>
      <c r="AZ571" s="216"/>
      <c r="BA571" s="216"/>
      <c r="BB571" s="216" t="s">
        <v>7807</v>
      </c>
      <c r="BC571" s="216"/>
      <c r="BD571" s="216"/>
      <c r="BE571" s="216"/>
      <c r="BF571" s="216"/>
      <c r="BG571" s="216"/>
      <c r="BH571" s="216"/>
      <c r="BI571" s="216"/>
      <c r="BJ571" s="216"/>
      <c r="BK571" s="216"/>
      <c r="BL571" s="216"/>
      <c r="BM571" s="216"/>
      <c r="BN571" s="216"/>
      <c r="BO571" s="216"/>
      <c r="BP571" s="216"/>
      <c r="BQ571" s="216"/>
      <c r="BR571" s="216"/>
      <c r="BS571" s="216"/>
      <c r="BT571" s="216"/>
      <c r="BU571" s="216"/>
      <c r="BV571" s="216"/>
      <c r="BW571" s="217"/>
    </row>
    <row r="572" spans="8:8">
      <c r="AW572" s="215" t="s">
        <v>7808</v>
      </c>
      <c r="AX572" s="216"/>
      <c r="AY572" s="216"/>
      <c r="AZ572" s="216"/>
      <c r="BA572" s="216"/>
      <c r="BB572" s="216" t="s">
        <v>7809</v>
      </c>
      <c r="BC572" s="216"/>
      <c r="BD572" s="216"/>
      <c r="BE572" s="216"/>
      <c r="BF572" s="216"/>
      <c r="BG572" s="216"/>
      <c r="BH572" s="216"/>
      <c r="BI572" s="216"/>
      <c r="BJ572" s="216"/>
      <c r="BK572" s="216"/>
      <c r="BL572" s="216"/>
      <c r="BM572" s="216"/>
      <c r="BN572" s="216"/>
      <c r="BO572" s="216"/>
      <c r="BP572" s="216"/>
      <c r="BQ572" s="216"/>
      <c r="BR572" s="216"/>
      <c r="BS572" s="216"/>
      <c r="BT572" s="216"/>
      <c r="BU572" s="216"/>
      <c r="BV572" s="216"/>
      <c r="BW572" s="217"/>
    </row>
    <row r="573" spans="8:8">
      <c r="AW573" s="215" t="s">
        <v>7810</v>
      </c>
      <c r="AX573" s="216"/>
      <c r="AY573" s="216"/>
      <c r="AZ573" s="216"/>
      <c r="BA573" s="216"/>
      <c r="BB573" s="216" t="s">
        <v>5750</v>
      </c>
      <c r="BC573" s="216"/>
      <c r="BD573" s="216"/>
      <c r="BE573" s="216"/>
      <c r="BF573" s="216"/>
      <c r="BG573" s="216"/>
      <c r="BH573" s="216"/>
      <c r="BI573" s="216"/>
      <c r="BJ573" s="216"/>
      <c r="BK573" s="216"/>
      <c r="BL573" s="216"/>
      <c r="BM573" s="216"/>
      <c r="BN573" s="216"/>
      <c r="BO573" s="216"/>
      <c r="BP573" s="216"/>
      <c r="BQ573" s="216"/>
      <c r="BR573" s="216"/>
      <c r="BS573" s="216"/>
      <c r="BT573" s="216"/>
      <c r="BU573" s="216"/>
      <c r="BV573" s="216"/>
      <c r="BW573" s="217"/>
    </row>
    <row r="574" spans="8:8">
      <c r="AW574" s="215" t="s">
        <v>7811</v>
      </c>
      <c r="AX574" s="216"/>
      <c r="AY574" s="216"/>
      <c r="AZ574" s="216"/>
      <c r="BA574" s="216"/>
      <c r="BB574" s="216" t="s">
        <v>7812</v>
      </c>
      <c r="BC574" s="216"/>
      <c r="BD574" s="216"/>
      <c r="BE574" s="216"/>
      <c r="BF574" s="216"/>
      <c r="BG574" s="216"/>
      <c r="BH574" s="216"/>
      <c r="BI574" s="216"/>
      <c r="BJ574" s="216"/>
      <c r="BK574" s="216"/>
      <c r="BL574" s="216"/>
      <c r="BM574" s="216"/>
      <c r="BN574" s="216"/>
      <c r="BO574" s="216"/>
      <c r="BP574" s="216"/>
      <c r="BQ574" s="216"/>
      <c r="BR574" s="216"/>
      <c r="BS574" s="216"/>
      <c r="BT574" s="216"/>
      <c r="BU574" s="216"/>
      <c r="BV574" s="216"/>
      <c r="BW574" s="217"/>
    </row>
    <row r="575" spans="8:8">
      <c r="AW575" s="215" t="s">
        <v>7813</v>
      </c>
      <c r="AX575" s="216"/>
      <c r="AY575" s="216"/>
      <c r="AZ575" s="216"/>
      <c r="BA575" s="216"/>
      <c r="BB575" s="216" t="s">
        <v>6549</v>
      </c>
      <c r="BC575" s="216"/>
      <c r="BD575" s="216"/>
      <c r="BE575" s="216"/>
      <c r="BF575" s="216"/>
      <c r="BG575" s="216"/>
      <c r="BH575" s="216"/>
      <c r="BI575" s="216"/>
      <c r="BJ575" s="216"/>
      <c r="BK575" s="216"/>
      <c r="BL575" s="216"/>
      <c r="BM575" s="216"/>
      <c r="BN575" s="216"/>
      <c r="BO575" s="216"/>
      <c r="BP575" s="216"/>
      <c r="BQ575" s="216"/>
      <c r="BR575" s="216"/>
      <c r="BS575" s="216"/>
      <c r="BT575" s="216"/>
      <c r="BU575" s="216"/>
      <c r="BV575" s="216"/>
      <c r="BW575" s="217"/>
    </row>
    <row r="576" spans="8:8">
      <c r="AW576" s="215" t="s">
        <v>7814</v>
      </c>
      <c r="AX576" s="216"/>
      <c r="AY576" s="216"/>
      <c r="AZ576" s="216"/>
      <c r="BA576" s="216"/>
      <c r="BB576" s="216" t="s">
        <v>7815</v>
      </c>
      <c r="BC576" s="216"/>
      <c r="BD576" s="216"/>
      <c r="BE576" s="216"/>
      <c r="BF576" s="216"/>
      <c r="BG576" s="216"/>
      <c r="BH576" s="216"/>
      <c r="BI576" s="216"/>
      <c r="BJ576" s="216"/>
      <c r="BK576" s="216"/>
      <c r="BL576" s="216"/>
      <c r="BM576" s="216"/>
      <c r="BN576" s="216"/>
      <c r="BO576" s="216"/>
      <c r="BP576" s="216"/>
      <c r="BQ576" s="216"/>
      <c r="BR576" s="216"/>
      <c r="BS576" s="216"/>
      <c r="BT576" s="216"/>
      <c r="BU576" s="216"/>
      <c r="BV576" s="216"/>
      <c r="BW576" s="217"/>
    </row>
    <row r="577" spans="8:8">
      <c r="AW577" s="215" t="s">
        <v>7816</v>
      </c>
      <c r="AX577" s="216"/>
      <c r="AY577" s="216"/>
      <c r="AZ577" s="216"/>
      <c r="BA577" s="216"/>
      <c r="BB577" s="216" t="s">
        <v>6582</v>
      </c>
      <c r="BC577" s="216"/>
      <c r="BD577" s="216"/>
      <c r="BE577" s="216"/>
      <c r="BF577" s="216"/>
      <c r="BG577" s="216"/>
      <c r="BH577" s="216"/>
      <c r="BI577" s="216"/>
      <c r="BJ577" s="216"/>
      <c r="BK577" s="216"/>
      <c r="BL577" s="216"/>
      <c r="BM577" s="216"/>
      <c r="BN577" s="216"/>
      <c r="BO577" s="216"/>
      <c r="BP577" s="216"/>
      <c r="BQ577" s="216"/>
      <c r="BR577" s="216"/>
      <c r="BS577" s="216"/>
      <c r="BT577" s="216"/>
      <c r="BU577" s="216"/>
      <c r="BV577" s="216"/>
      <c r="BW577" s="217"/>
    </row>
    <row r="578" spans="8:8">
      <c r="AW578" s="215" t="s">
        <v>7817</v>
      </c>
      <c r="AX578" s="216"/>
      <c r="AY578" s="216"/>
      <c r="AZ578" s="216"/>
      <c r="BA578" s="216"/>
      <c r="BB578" s="216" t="s">
        <v>7818</v>
      </c>
      <c r="BC578" s="216"/>
      <c r="BD578" s="216"/>
      <c r="BE578" s="216"/>
      <c r="BF578" s="216"/>
      <c r="BG578" s="216"/>
      <c r="BH578" s="216"/>
      <c r="BI578" s="216"/>
      <c r="BJ578" s="216"/>
      <c r="BK578" s="216"/>
      <c r="BL578" s="216"/>
      <c r="BM578" s="216"/>
      <c r="BN578" s="216"/>
      <c r="BO578" s="216"/>
      <c r="BP578" s="216"/>
      <c r="BQ578" s="216"/>
      <c r="BR578" s="216"/>
      <c r="BS578" s="216"/>
      <c r="BT578" s="216"/>
      <c r="BU578" s="216"/>
      <c r="BV578" s="216"/>
      <c r="BW578" s="217"/>
    </row>
    <row r="579" spans="8:8">
      <c r="AW579" s="215" t="s">
        <v>7819</v>
      </c>
      <c r="AX579" s="216"/>
      <c r="AY579" s="216"/>
      <c r="AZ579" s="216"/>
      <c r="BA579" s="216"/>
      <c r="BB579" s="216" t="s">
        <v>6597</v>
      </c>
      <c r="BC579" s="216"/>
      <c r="BD579" s="216"/>
      <c r="BE579" s="216"/>
      <c r="BF579" s="216"/>
      <c r="BG579" s="216"/>
      <c r="BH579" s="216"/>
      <c r="BI579" s="216"/>
      <c r="BJ579" s="216"/>
      <c r="BK579" s="216"/>
      <c r="BL579" s="216"/>
      <c r="BM579" s="216"/>
      <c r="BN579" s="216"/>
      <c r="BO579" s="216"/>
      <c r="BP579" s="216"/>
      <c r="BQ579" s="216"/>
      <c r="BR579" s="216"/>
      <c r="BS579" s="216"/>
      <c r="BT579" s="216"/>
      <c r="BU579" s="216"/>
      <c r="BV579" s="216"/>
      <c r="BW579" s="217"/>
    </row>
    <row r="580" spans="8:8">
      <c r="AW580" s="215" t="s">
        <v>7820</v>
      </c>
      <c r="AX580" s="216"/>
      <c r="AY580" s="216"/>
      <c r="AZ580" s="216"/>
      <c r="BA580" s="216"/>
      <c r="BB580" s="216" t="s">
        <v>7821</v>
      </c>
      <c r="BC580" s="216"/>
      <c r="BD580" s="216"/>
      <c r="BE580" s="216"/>
      <c r="BF580" s="216"/>
      <c r="BG580" s="216"/>
      <c r="BH580" s="216"/>
      <c r="BI580" s="216"/>
      <c r="BJ580" s="216"/>
      <c r="BK580" s="216"/>
      <c r="BL580" s="216"/>
      <c r="BM580" s="216"/>
      <c r="BN580" s="216"/>
      <c r="BO580" s="216"/>
      <c r="BP580" s="216"/>
      <c r="BQ580" s="216"/>
      <c r="BR580" s="216"/>
      <c r="BS580" s="216"/>
      <c r="BT580" s="216"/>
      <c r="BU580" s="216"/>
      <c r="BV580" s="216"/>
      <c r="BW580" s="217"/>
    </row>
    <row r="581" spans="8:8">
      <c r="AW581" s="215" t="s">
        <v>7822</v>
      </c>
      <c r="AX581" s="216"/>
      <c r="AY581" s="216"/>
      <c r="AZ581" s="216"/>
      <c r="BA581" s="216"/>
      <c r="BB581" s="216" t="s">
        <v>7823</v>
      </c>
      <c r="BC581" s="216"/>
      <c r="BD581" s="216"/>
      <c r="BE581" s="216"/>
      <c r="BF581" s="216"/>
      <c r="BG581" s="216"/>
      <c r="BH581" s="216"/>
      <c r="BI581" s="216"/>
      <c r="BJ581" s="216"/>
      <c r="BK581" s="216"/>
      <c r="BL581" s="216"/>
      <c r="BM581" s="216"/>
      <c r="BN581" s="216"/>
      <c r="BO581" s="216"/>
      <c r="BP581" s="216"/>
      <c r="BQ581" s="216"/>
      <c r="BR581" s="216"/>
      <c r="BS581" s="216"/>
      <c r="BT581" s="216"/>
      <c r="BU581" s="216"/>
      <c r="BV581" s="216"/>
      <c r="BW581" s="217"/>
    </row>
    <row r="582" spans="8:8">
      <c r="AW582" s="215" t="s">
        <v>7824</v>
      </c>
      <c r="AX582" s="216"/>
      <c r="AY582" s="216"/>
      <c r="AZ582" s="216"/>
      <c r="BA582" s="216"/>
      <c r="BB582" s="216" t="s">
        <v>7825</v>
      </c>
      <c r="BC582" s="216"/>
      <c r="BD582" s="216"/>
      <c r="BE582" s="216"/>
      <c r="BF582" s="216"/>
      <c r="BG582" s="216"/>
      <c r="BH582" s="216"/>
      <c r="BI582" s="216"/>
      <c r="BJ582" s="216"/>
      <c r="BK582" s="216"/>
      <c r="BL582" s="216"/>
      <c r="BM582" s="216"/>
      <c r="BN582" s="216"/>
      <c r="BO582" s="216"/>
      <c r="BP582" s="216"/>
      <c r="BQ582" s="216"/>
      <c r="BR582" s="216"/>
      <c r="BS582" s="216"/>
      <c r="BT582" s="216"/>
      <c r="BU582" s="216"/>
      <c r="BV582" s="216"/>
      <c r="BW582" s="217"/>
    </row>
    <row r="583" spans="8:8">
      <c r="AW583" s="215" t="s">
        <v>7826</v>
      </c>
      <c r="AX583" s="216"/>
      <c r="AY583" s="216"/>
      <c r="AZ583" s="216"/>
      <c r="BA583" s="216"/>
      <c r="BB583" s="216" t="s">
        <v>7823</v>
      </c>
      <c r="BC583" s="216"/>
      <c r="BD583" s="216"/>
      <c r="BE583" s="216"/>
      <c r="BF583" s="216"/>
      <c r="BG583" s="216"/>
      <c r="BH583" s="216"/>
      <c r="BI583" s="216"/>
      <c r="BJ583" s="216"/>
      <c r="BK583" s="216"/>
      <c r="BL583" s="216"/>
      <c r="BM583" s="216"/>
      <c r="BN583" s="216"/>
      <c r="BO583" s="216"/>
      <c r="BP583" s="216"/>
      <c r="BQ583" s="216"/>
      <c r="BR583" s="216"/>
      <c r="BS583" s="216"/>
      <c r="BT583" s="216"/>
      <c r="BU583" s="216"/>
      <c r="BV583" s="216"/>
      <c r="BW583" s="217"/>
    </row>
    <row r="584" spans="8:8">
      <c r="AW584" s="215" t="s">
        <v>7827</v>
      </c>
      <c r="AX584" s="216"/>
      <c r="AY584" s="216"/>
      <c r="AZ584" s="216"/>
      <c r="BA584" s="216"/>
      <c r="BB584" s="216" t="s">
        <v>7828</v>
      </c>
      <c r="BC584" s="216"/>
      <c r="BD584" s="216"/>
      <c r="BE584" s="216"/>
      <c r="BF584" s="216"/>
      <c r="BG584" s="216"/>
      <c r="BH584" s="216"/>
      <c r="BI584" s="216"/>
      <c r="BJ584" s="216"/>
      <c r="BK584" s="216"/>
      <c r="BL584" s="216"/>
      <c r="BM584" s="216"/>
      <c r="BN584" s="216"/>
      <c r="BO584" s="216"/>
      <c r="BP584" s="216"/>
      <c r="BQ584" s="216"/>
      <c r="BR584" s="216"/>
      <c r="BS584" s="216"/>
      <c r="BT584" s="216"/>
      <c r="BU584" s="216"/>
      <c r="BV584" s="216"/>
      <c r="BW584" s="217"/>
    </row>
    <row r="585" spans="8:8">
      <c r="AW585" s="215" t="s">
        <v>7829</v>
      </c>
      <c r="AX585" s="216"/>
      <c r="AY585" s="216"/>
      <c r="AZ585" s="216"/>
      <c r="BA585" s="216"/>
      <c r="BB585" s="216" t="s">
        <v>6554</v>
      </c>
      <c r="BC585" s="216"/>
      <c r="BD585" s="216"/>
      <c r="BE585" s="216"/>
      <c r="BF585" s="216"/>
      <c r="BG585" s="216"/>
      <c r="BH585" s="216"/>
      <c r="BI585" s="216"/>
      <c r="BJ585" s="216"/>
      <c r="BK585" s="216"/>
      <c r="BL585" s="216"/>
      <c r="BM585" s="216"/>
      <c r="BN585" s="216"/>
      <c r="BO585" s="216"/>
      <c r="BP585" s="216"/>
      <c r="BQ585" s="216"/>
      <c r="BR585" s="216"/>
      <c r="BS585" s="216"/>
      <c r="BT585" s="216"/>
      <c r="BU585" s="216"/>
      <c r="BV585" s="216"/>
      <c r="BW585" s="217"/>
    </row>
    <row r="586" spans="8:8">
      <c r="AW586" s="215" t="s">
        <v>7830</v>
      </c>
      <c r="AX586" s="216"/>
      <c r="AY586" s="216"/>
      <c r="AZ586" s="216"/>
      <c r="BA586" s="216"/>
      <c r="BB586" s="216" t="s">
        <v>7831</v>
      </c>
      <c r="BC586" s="216"/>
      <c r="BD586" s="216"/>
      <c r="BE586" s="216"/>
      <c r="BF586" s="216"/>
      <c r="BG586" s="216"/>
      <c r="BH586" s="216"/>
      <c r="BI586" s="216"/>
      <c r="BJ586" s="216"/>
      <c r="BK586" s="216"/>
      <c r="BL586" s="216"/>
      <c r="BM586" s="216"/>
      <c r="BN586" s="216"/>
      <c r="BO586" s="216"/>
      <c r="BP586" s="216"/>
      <c r="BQ586" s="216"/>
      <c r="BR586" s="216"/>
      <c r="BS586" s="216"/>
      <c r="BT586" s="216"/>
      <c r="BU586" s="216"/>
      <c r="BV586" s="216"/>
      <c r="BW586" s="217"/>
    </row>
    <row r="587" spans="8:8">
      <c r="AW587" s="215" t="s">
        <v>7832</v>
      </c>
      <c r="AX587" s="216"/>
      <c r="AY587" s="216"/>
      <c r="AZ587" s="216"/>
      <c r="BA587" s="216"/>
      <c r="BB587" s="216" t="s">
        <v>6572</v>
      </c>
      <c r="BC587" s="216"/>
      <c r="BD587" s="216"/>
      <c r="BE587" s="216"/>
      <c r="BF587" s="216"/>
      <c r="BG587" s="216"/>
      <c r="BH587" s="216"/>
      <c r="BI587" s="216"/>
      <c r="BJ587" s="216"/>
      <c r="BK587" s="216"/>
      <c r="BL587" s="216"/>
      <c r="BM587" s="216"/>
      <c r="BN587" s="216"/>
      <c r="BO587" s="216"/>
      <c r="BP587" s="216"/>
      <c r="BQ587" s="216"/>
      <c r="BR587" s="216"/>
      <c r="BS587" s="216"/>
      <c r="BT587" s="216"/>
      <c r="BU587" s="216"/>
      <c r="BV587" s="216"/>
      <c r="BW587" s="217"/>
    </row>
    <row r="588" spans="8:8">
      <c r="AW588" s="215" t="s">
        <v>7833</v>
      </c>
      <c r="AX588" s="216"/>
      <c r="AY588" s="216"/>
      <c r="AZ588" s="216"/>
      <c r="BA588" s="216"/>
      <c r="BB588" s="216" t="s">
        <v>7834</v>
      </c>
      <c r="BC588" s="216"/>
      <c r="BD588" s="216"/>
      <c r="BE588" s="216"/>
      <c r="BF588" s="216"/>
      <c r="BG588" s="216"/>
      <c r="BH588" s="216"/>
      <c r="BI588" s="216"/>
      <c r="BJ588" s="216"/>
      <c r="BK588" s="216"/>
      <c r="BL588" s="216"/>
      <c r="BM588" s="216"/>
      <c r="BN588" s="216"/>
      <c r="BO588" s="216"/>
      <c r="BP588" s="216"/>
      <c r="BQ588" s="216"/>
      <c r="BR588" s="216"/>
      <c r="BS588" s="216"/>
      <c r="BT588" s="216"/>
      <c r="BU588" s="216"/>
      <c r="BV588" s="216"/>
      <c r="BW588" s="217"/>
    </row>
    <row r="589" spans="8:8">
      <c r="AW589" s="215" t="s">
        <v>7835</v>
      </c>
      <c r="AX589" s="216"/>
      <c r="AY589" s="216"/>
      <c r="AZ589" s="216"/>
      <c r="BA589" s="216"/>
      <c r="BB589" s="216" t="s">
        <v>6587</v>
      </c>
      <c r="BC589" s="216"/>
      <c r="BD589" s="216"/>
      <c r="BE589" s="216"/>
      <c r="BF589" s="216"/>
      <c r="BG589" s="216"/>
      <c r="BH589" s="216"/>
      <c r="BI589" s="216"/>
      <c r="BJ589" s="216"/>
      <c r="BK589" s="216"/>
      <c r="BL589" s="216"/>
      <c r="BM589" s="216"/>
      <c r="BN589" s="216"/>
      <c r="BO589" s="216"/>
      <c r="BP589" s="216"/>
      <c r="BQ589" s="216"/>
      <c r="BR589" s="216"/>
      <c r="BS589" s="216"/>
      <c r="BT589" s="216"/>
      <c r="BU589" s="216"/>
      <c r="BV589" s="216"/>
      <c r="BW589" s="217"/>
    </row>
    <row r="590" spans="8:8">
      <c r="AW590" s="215" t="s">
        <v>7836</v>
      </c>
      <c r="AX590" s="216"/>
      <c r="AY590" s="216"/>
      <c r="AZ590" s="216"/>
      <c r="BA590" s="216"/>
      <c r="BB590" s="216" t="s">
        <v>7837</v>
      </c>
      <c r="BC590" s="216"/>
      <c r="BD590" s="216"/>
      <c r="BE590" s="216"/>
      <c r="BF590" s="216"/>
      <c r="BG590" s="216"/>
      <c r="BH590" s="216"/>
      <c r="BI590" s="216"/>
      <c r="BJ590" s="216"/>
      <c r="BK590" s="216"/>
      <c r="BL590" s="216"/>
      <c r="BM590" s="216"/>
      <c r="BN590" s="216"/>
      <c r="BO590" s="216"/>
      <c r="BP590" s="216"/>
      <c r="BQ590" s="216"/>
      <c r="BR590" s="216"/>
      <c r="BS590" s="216"/>
      <c r="BT590" s="216"/>
      <c r="BU590" s="216"/>
      <c r="BV590" s="216"/>
      <c r="BW590" s="217"/>
    </row>
    <row r="591" spans="8:8">
      <c r="AW591" s="215" t="s">
        <v>7838</v>
      </c>
      <c r="AX591" s="216"/>
      <c r="AY591" s="216"/>
      <c r="AZ591" s="216"/>
      <c r="BA591" s="216"/>
      <c r="BB591" s="216" t="s">
        <v>5935</v>
      </c>
      <c r="BC591" s="216"/>
      <c r="BD591" s="216"/>
      <c r="BE591" s="216"/>
      <c r="BF591" s="216"/>
      <c r="BG591" s="216"/>
      <c r="BH591" s="216"/>
      <c r="BI591" s="216"/>
      <c r="BJ591" s="216"/>
      <c r="BK591" s="216"/>
      <c r="BL591" s="216"/>
      <c r="BM591" s="216"/>
      <c r="BN591" s="216"/>
      <c r="BO591" s="216"/>
      <c r="BP591" s="216"/>
      <c r="BQ591" s="216"/>
      <c r="BR591" s="216"/>
      <c r="BS591" s="216"/>
      <c r="BT591" s="216"/>
      <c r="BU591" s="216"/>
      <c r="BV591" s="216"/>
      <c r="BW591" s="217"/>
    </row>
    <row r="592" spans="8:8">
      <c r="AW592" s="215" t="s">
        <v>7839</v>
      </c>
      <c r="AX592" s="216"/>
      <c r="AY592" s="216"/>
      <c r="AZ592" s="216"/>
      <c r="BA592" s="216"/>
      <c r="BB592" s="216" t="s">
        <v>7840</v>
      </c>
      <c r="BC592" s="216"/>
      <c r="BD592" s="216"/>
      <c r="BE592" s="216"/>
      <c r="BF592" s="216"/>
      <c r="BG592" s="216"/>
      <c r="BH592" s="216"/>
      <c r="BI592" s="216"/>
      <c r="BJ592" s="216"/>
      <c r="BK592" s="216"/>
      <c r="BL592" s="216"/>
      <c r="BM592" s="216"/>
      <c r="BN592" s="216"/>
      <c r="BO592" s="216"/>
      <c r="BP592" s="216"/>
      <c r="BQ592" s="216"/>
      <c r="BR592" s="216"/>
      <c r="BS592" s="216"/>
      <c r="BT592" s="216"/>
      <c r="BU592" s="216"/>
      <c r="BV592" s="216"/>
      <c r="BW592" s="217"/>
    </row>
    <row r="593" spans="8:8">
      <c r="AW593" s="215" t="s">
        <v>7841</v>
      </c>
      <c r="AX593" s="216"/>
      <c r="AY593" s="216"/>
      <c r="AZ593" s="216"/>
      <c r="BA593" s="216"/>
      <c r="BB593" s="216" t="s">
        <v>6715</v>
      </c>
      <c r="BC593" s="216"/>
      <c r="BD593" s="216"/>
      <c r="BE593" s="216"/>
      <c r="BF593" s="216"/>
      <c r="BG593" s="216"/>
      <c r="BH593" s="216"/>
      <c r="BI593" s="216"/>
      <c r="BJ593" s="216"/>
      <c r="BK593" s="216"/>
      <c r="BL593" s="216"/>
      <c r="BM593" s="216"/>
      <c r="BN593" s="216"/>
      <c r="BO593" s="216"/>
      <c r="BP593" s="216"/>
      <c r="BQ593" s="216"/>
      <c r="BR593" s="216"/>
      <c r="BS593" s="216"/>
      <c r="BT593" s="216"/>
      <c r="BU593" s="216"/>
      <c r="BV593" s="216"/>
      <c r="BW593" s="217"/>
    </row>
    <row r="594" spans="8:8">
      <c r="AW594" s="215" t="s">
        <v>7842</v>
      </c>
      <c r="AX594" s="216"/>
      <c r="AY594" s="216"/>
      <c r="AZ594" s="216"/>
      <c r="BA594" s="216"/>
      <c r="BB594" s="216" t="s">
        <v>7843</v>
      </c>
      <c r="BC594" s="216"/>
      <c r="BD594" s="216"/>
      <c r="BE594" s="216"/>
      <c r="BF594" s="216"/>
      <c r="BG594" s="216"/>
      <c r="BH594" s="216"/>
      <c r="BI594" s="216"/>
      <c r="BJ594" s="216"/>
      <c r="BK594" s="216"/>
      <c r="BL594" s="216"/>
      <c r="BM594" s="216"/>
      <c r="BN594" s="216"/>
      <c r="BO594" s="216"/>
      <c r="BP594" s="216"/>
      <c r="BQ594" s="216"/>
      <c r="BR594" s="216"/>
      <c r="BS594" s="216"/>
      <c r="BT594" s="216"/>
      <c r="BU594" s="216"/>
      <c r="BV594" s="216"/>
      <c r="BW594" s="217"/>
    </row>
    <row r="595" spans="8:8">
      <c r="AW595" s="215" t="s">
        <v>7844</v>
      </c>
      <c r="AX595" s="216"/>
      <c r="AY595" s="216"/>
      <c r="AZ595" s="216"/>
      <c r="BA595" s="216"/>
      <c r="BB595" s="216" t="s">
        <v>5362</v>
      </c>
      <c r="BC595" s="216"/>
      <c r="BD595" s="216"/>
      <c r="BE595" s="216"/>
      <c r="BF595" s="216"/>
      <c r="BG595" s="216"/>
      <c r="BH595" s="216"/>
      <c r="BI595" s="216"/>
      <c r="BJ595" s="216"/>
      <c r="BK595" s="216"/>
      <c r="BL595" s="216"/>
      <c r="BM595" s="216"/>
      <c r="BN595" s="216"/>
      <c r="BO595" s="216"/>
      <c r="BP595" s="216"/>
      <c r="BQ595" s="216"/>
      <c r="BR595" s="216"/>
      <c r="BS595" s="216"/>
      <c r="BT595" s="216"/>
      <c r="BU595" s="216"/>
      <c r="BV595" s="216"/>
      <c r="BW595" s="217"/>
    </row>
    <row r="596" spans="8:8">
      <c r="AW596" s="215" t="s">
        <v>7845</v>
      </c>
      <c r="AX596" s="216"/>
      <c r="AY596" s="216"/>
      <c r="AZ596" s="216"/>
      <c r="BA596" s="216"/>
      <c r="BB596" s="216" t="s">
        <v>7846</v>
      </c>
      <c r="BC596" s="216"/>
      <c r="BD596" s="216"/>
      <c r="BE596" s="216"/>
      <c r="BF596" s="216"/>
      <c r="BG596" s="216"/>
      <c r="BH596" s="216"/>
      <c r="BI596" s="216"/>
      <c r="BJ596" s="216"/>
      <c r="BK596" s="216"/>
      <c r="BL596" s="216"/>
      <c r="BM596" s="216"/>
      <c r="BN596" s="216"/>
      <c r="BO596" s="216"/>
      <c r="BP596" s="216"/>
      <c r="BQ596" s="216"/>
      <c r="BR596" s="216"/>
      <c r="BS596" s="216"/>
      <c r="BT596" s="216"/>
      <c r="BU596" s="216"/>
      <c r="BV596" s="216"/>
      <c r="BW596" s="217"/>
    </row>
    <row r="597" spans="8:8">
      <c r="AW597" s="215" t="s">
        <v>7847</v>
      </c>
      <c r="AX597" s="216"/>
      <c r="AY597" s="216"/>
      <c r="AZ597" s="216"/>
      <c r="BA597" s="216"/>
      <c r="BB597" s="216" t="s">
        <v>5444</v>
      </c>
      <c r="BC597" s="216"/>
      <c r="BD597" s="216"/>
      <c r="BE597" s="216"/>
      <c r="BF597" s="216"/>
      <c r="BG597" s="216"/>
      <c r="BH597" s="216"/>
      <c r="BI597" s="216"/>
      <c r="BJ597" s="216"/>
      <c r="BK597" s="216"/>
      <c r="BL597" s="216"/>
      <c r="BM597" s="216"/>
      <c r="BN597" s="216"/>
      <c r="BO597" s="216"/>
      <c r="BP597" s="216"/>
      <c r="BQ597" s="216"/>
      <c r="BR597" s="216"/>
      <c r="BS597" s="216"/>
      <c r="BT597" s="216"/>
      <c r="BU597" s="216"/>
      <c r="BV597" s="216"/>
      <c r="BW597" s="217"/>
    </row>
    <row r="598" spans="8:8">
      <c r="AW598" s="215" t="s">
        <v>7848</v>
      </c>
      <c r="AX598" s="216"/>
      <c r="AY598" s="216"/>
      <c r="AZ598" s="216"/>
      <c r="BA598" s="216"/>
      <c r="BB598" s="216" t="s">
        <v>7849</v>
      </c>
      <c r="BC598" s="216"/>
      <c r="BD598" s="216"/>
      <c r="BE598" s="216"/>
      <c r="BF598" s="216"/>
      <c r="BG598" s="216"/>
      <c r="BH598" s="216"/>
      <c r="BI598" s="216"/>
      <c r="BJ598" s="216"/>
      <c r="BK598" s="216"/>
      <c r="BL598" s="216"/>
      <c r="BM598" s="216"/>
      <c r="BN598" s="216"/>
      <c r="BO598" s="216"/>
      <c r="BP598" s="216"/>
      <c r="BQ598" s="216"/>
      <c r="BR598" s="216"/>
      <c r="BS598" s="216"/>
      <c r="BT598" s="216"/>
      <c r="BU598" s="216"/>
      <c r="BV598" s="216"/>
      <c r="BW598" s="217"/>
    </row>
    <row r="599" spans="8:8">
      <c r="AW599" s="215" t="s">
        <v>7850</v>
      </c>
      <c r="AX599" s="216"/>
      <c r="AY599" s="216"/>
      <c r="AZ599" s="216"/>
      <c r="BA599" s="216"/>
      <c r="BB599" s="216" t="s">
        <v>6514</v>
      </c>
      <c r="BC599" s="216"/>
      <c r="BD599" s="216"/>
      <c r="BE599" s="216"/>
      <c r="BF599" s="216"/>
      <c r="BG599" s="216"/>
      <c r="BH599" s="216"/>
      <c r="BI599" s="216"/>
      <c r="BJ599" s="216"/>
      <c r="BK599" s="216"/>
      <c r="BL599" s="216"/>
      <c r="BM599" s="216"/>
      <c r="BN599" s="216"/>
      <c r="BO599" s="216"/>
      <c r="BP599" s="216"/>
      <c r="BQ599" s="216"/>
      <c r="BR599" s="216"/>
      <c r="BS599" s="216"/>
      <c r="BT599" s="216"/>
      <c r="BU599" s="216"/>
      <c r="BV599" s="216"/>
      <c r="BW599" s="217"/>
    </row>
    <row r="600" spans="8:8">
      <c r="AW600" s="215" t="s">
        <v>7851</v>
      </c>
      <c r="AX600" s="216"/>
      <c r="AY600" s="216"/>
      <c r="AZ600" s="216"/>
      <c r="BA600" s="216"/>
      <c r="BB600" s="216" t="s">
        <v>7852</v>
      </c>
      <c r="BC600" s="216"/>
      <c r="BD600" s="216"/>
      <c r="BE600" s="216"/>
      <c r="BF600" s="216"/>
      <c r="BG600" s="216"/>
      <c r="BH600" s="216"/>
      <c r="BI600" s="216"/>
      <c r="BJ600" s="216"/>
      <c r="BK600" s="216"/>
      <c r="BL600" s="216"/>
      <c r="BM600" s="216"/>
      <c r="BN600" s="216"/>
      <c r="BO600" s="216"/>
      <c r="BP600" s="216"/>
      <c r="BQ600" s="216"/>
      <c r="BR600" s="216"/>
      <c r="BS600" s="216"/>
      <c r="BT600" s="216"/>
      <c r="BU600" s="216"/>
      <c r="BV600" s="216"/>
      <c r="BW600" s="217"/>
    </row>
    <row r="601" spans="8:8">
      <c r="AW601" s="215" t="s">
        <v>7853</v>
      </c>
      <c r="AX601" s="216"/>
      <c r="AY601" s="216"/>
      <c r="AZ601" s="216"/>
      <c r="BA601" s="216"/>
      <c r="BB601" s="216" t="s">
        <v>6577</v>
      </c>
      <c r="BC601" s="216"/>
      <c r="BD601" s="216"/>
      <c r="BE601" s="216"/>
      <c r="BF601" s="216"/>
      <c r="BG601" s="216"/>
      <c r="BH601" s="216"/>
      <c r="BI601" s="216"/>
      <c r="BJ601" s="216"/>
      <c r="BK601" s="216"/>
      <c r="BL601" s="216"/>
      <c r="BM601" s="216"/>
      <c r="BN601" s="216"/>
      <c r="BO601" s="216"/>
      <c r="BP601" s="216"/>
      <c r="BQ601" s="216"/>
      <c r="BR601" s="216"/>
      <c r="BS601" s="216"/>
      <c r="BT601" s="216"/>
      <c r="BU601" s="216"/>
      <c r="BV601" s="216"/>
      <c r="BW601" s="217"/>
    </row>
    <row r="602" spans="8:8">
      <c r="AW602" s="215" t="s">
        <v>7854</v>
      </c>
      <c r="AX602" s="216"/>
      <c r="AY602" s="216"/>
      <c r="AZ602" s="216"/>
      <c r="BA602" s="216"/>
      <c r="BB602" s="216" t="s">
        <v>7855</v>
      </c>
      <c r="BC602" s="216"/>
      <c r="BD602" s="216"/>
      <c r="BE602" s="216"/>
      <c r="BF602" s="216"/>
      <c r="BG602" s="216"/>
      <c r="BH602" s="216"/>
      <c r="BI602" s="216"/>
      <c r="BJ602" s="216"/>
      <c r="BK602" s="216"/>
      <c r="BL602" s="216"/>
      <c r="BM602" s="216"/>
      <c r="BN602" s="216"/>
      <c r="BO602" s="216"/>
      <c r="BP602" s="216"/>
      <c r="BQ602" s="216"/>
      <c r="BR602" s="216"/>
      <c r="BS602" s="216"/>
      <c r="BT602" s="216"/>
      <c r="BU602" s="216"/>
      <c r="BV602" s="216"/>
      <c r="BW602" s="217"/>
    </row>
    <row r="603" spans="8:8">
      <c r="AW603" s="215" t="s">
        <v>7856</v>
      </c>
      <c r="AX603" s="216"/>
      <c r="AY603" s="216"/>
      <c r="AZ603" s="216"/>
      <c r="BA603" s="216"/>
      <c r="BB603" s="216" t="s">
        <v>7857</v>
      </c>
      <c r="BC603" s="216"/>
      <c r="BD603" s="216"/>
      <c r="BE603" s="216"/>
      <c r="BF603" s="216"/>
      <c r="BG603" s="216"/>
      <c r="BH603" s="216"/>
      <c r="BI603" s="216"/>
      <c r="BJ603" s="216"/>
      <c r="BK603" s="216"/>
      <c r="BL603" s="216"/>
      <c r="BM603" s="216"/>
      <c r="BN603" s="216"/>
      <c r="BO603" s="216"/>
      <c r="BP603" s="216"/>
      <c r="BQ603" s="216"/>
      <c r="BR603" s="216"/>
      <c r="BS603" s="216"/>
      <c r="BT603" s="216"/>
      <c r="BU603" s="216"/>
      <c r="BV603" s="216"/>
      <c r="BW603" s="217"/>
    </row>
    <row r="604" spans="8:8">
      <c r="AW604" s="215" t="s">
        <v>7858</v>
      </c>
      <c r="AX604" s="216"/>
      <c r="AY604" s="216"/>
      <c r="AZ604" s="216"/>
      <c r="BA604" s="216"/>
      <c r="BB604" s="216" t="s">
        <v>7859</v>
      </c>
      <c r="BC604" s="216"/>
      <c r="BD604" s="216"/>
      <c r="BE604" s="216"/>
      <c r="BF604" s="216"/>
      <c r="BG604" s="216"/>
      <c r="BH604" s="216"/>
      <c r="BI604" s="216"/>
      <c r="BJ604" s="216"/>
      <c r="BK604" s="216"/>
      <c r="BL604" s="216"/>
      <c r="BM604" s="216"/>
      <c r="BN604" s="216"/>
      <c r="BO604" s="216"/>
      <c r="BP604" s="216"/>
      <c r="BQ604" s="216"/>
      <c r="BR604" s="216"/>
      <c r="BS604" s="216"/>
      <c r="BT604" s="216"/>
      <c r="BU604" s="216"/>
      <c r="BV604" s="216"/>
      <c r="BW604" s="217"/>
    </row>
    <row r="605" spans="8:8">
      <c r="AW605" s="215" t="s">
        <v>7860</v>
      </c>
      <c r="AX605" s="216"/>
      <c r="AY605" s="216"/>
      <c r="AZ605" s="216"/>
      <c r="BA605" s="216"/>
      <c r="BB605" s="216" t="s">
        <v>7861</v>
      </c>
      <c r="BC605" s="216"/>
      <c r="BD605" s="216"/>
      <c r="BE605" s="216"/>
      <c r="BF605" s="216"/>
      <c r="BG605" s="216"/>
      <c r="BH605" s="216"/>
      <c r="BI605" s="216"/>
      <c r="BJ605" s="216"/>
      <c r="BK605" s="216"/>
      <c r="BL605" s="216"/>
      <c r="BM605" s="216"/>
      <c r="BN605" s="216"/>
      <c r="BO605" s="216"/>
      <c r="BP605" s="216"/>
      <c r="BQ605" s="216"/>
      <c r="BR605" s="216"/>
      <c r="BS605" s="216"/>
      <c r="BT605" s="216"/>
      <c r="BU605" s="216"/>
      <c r="BV605" s="216"/>
      <c r="BW605" s="217"/>
    </row>
    <row r="606" spans="8:8">
      <c r="AW606" s="215" t="s">
        <v>7862</v>
      </c>
      <c r="AX606" s="216"/>
      <c r="AY606" s="216"/>
      <c r="AZ606" s="216"/>
      <c r="BA606" s="216"/>
      <c r="BB606" s="216" t="s">
        <v>7863</v>
      </c>
      <c r="BC606" s="216"/>
      <c r="BD606" s="216"/>
      <c r="BE606" s="216"/>
      <c r="BF606" s="216"/>
      <c r="BG606" s="216"/>
      <c r="BH606" s="216"/>
      <c r="BI606" s="216"/>
      <c r="BJ606" s="216"/>
      <c r="BK606" s="216"/>
      <c r="BL606" s="216"/>
      <c r="BM606" s="216"/>
      <c r="BN606" s="216"/>
      <c r="BO606" s="216"/>
      <c r="BP606" s="216"/>
      <c r="BQ606" s="216"/>
      <c r="BR606" s="216"/>
      <c r="BS606" s="216"/>
      <c r="BT606" s="216"/>
      <c r="BU606" s="216"/>
      <c r="BV606" s="216"/>
      <c r="BW606" s="217"/>
    </row>
    <row r="607" spans="8:8" ht="15.75">
      <c r="AW607" s="215" t="s">
        <v>10095</v>
      </c>
      <c r="AX607" s="216"/>
      <c r="AY607" s="216"/>
      <c r="AZ607" s="216"/>
      <c r="BA607" s="216"/>
      <c r="BB607" s="216"/>
      <c r="BC607" s="216"/>
      <c r="BD607" s="216"/>
      <c r="BE607" s="216"/>
      <c r="BF607" s="216"/>
      <c r="BG607" s="216"/>
      <c r="BH607" s="216"/>
      <c r="BI607" s="216"/>
      <c r="BJ607" s="216"/>
      <c r="BK607" s="216"/>
      <c r="BL607" s="216"/>
      <c r="BM607" s="216"/>
      <c r="BN607" s="216"/>
      <c r="BO607" s="216"/>
      <c r="BP607" s="216"/>
      <c r="BQ607" s="216"/>
      <c r="BR607" s="216"/>
      <c r="BS607" s="216"/>
      <c r="BT607" s="216"/>
      <c r="BU607" s="216"/>
      <c r="BV607" s="216"/>
      <c r="BW607" s="217"/>
    </row>
    <row r="608" spans="8:8" ht="15.75">
      <c r="AW608" s="215" t="s">
        <v>10096</v>
      </c>
      <c r="AX608" s="216"/>
      <c r="AY608" s="216"/>
      <c r="AZ608" s="216"/>
      <c r="BA608" s="216"/>
      <c r="BB608" s="216"/>
      <c r="BC608" s="216"/>
      <c r="BD608" s="216"/>
      <c r="BE608" s="216"/>
      <c r="BF608" s="216"/>
      <c r="BG608" s="216"/>
      <c r="BH608" s="216"/>
      <c r="BI608" s="216"/>
      <c r="BJ608" s="216"/>
      <c r="BK608" s="216"/>
      <c r="BL608" s="216"/>
      <c r="BM608" s="216"/>
      <c r="BN608" s="216"/>
      <c r="BO608" s="216"/>
      <c r="BP608" s="216"/>
      <c r="BQ608" s="216"/>
      <c r="BR608" s="216"/>
      <c r="BS608" s="216"/>
      <c r="BT608" s="216"/>
      <c r="BU608" s="216"/>
      <c r="BV608" s="216"/>
      <c r="BW608" s="217"/>
    </row>
    <row r="609" spans="8:8">
      <c r="AW609" s="215" t="s">
        <v>7864</v>
      </c>
      <c r="AX609" s="216"/>
      <c r="AY609" s="216"/>
      <c r="AZ609" s="216"/>
      <c r="BA609" s="216"/>
      <c r="BB609" s="216" t="s">
        <v>7865</v>
      </c>
      <c r="BC609" s="216"/>
      <c r="BD609" s="216"/>
      <c r="BE609" s="216"/>
      <c r="BF609" s="216"/>
      <c r="BG609" s="216"/>
      <c r="BH609" s="216"/>
      <c r="BI609" s="216"/>
      <c r="BJ609" s="216"/>
      <c r="BK609" s="216"/>
      <c r="BL609" s="216"/>
      <c r="BM609" s="216"/>
      <c r="BN609" s="216"/>
      <c r="BO609" s="216"/>
      <c r="BP609" s="216"/>
      <c r="BQ609" s="216"/>
      <c r="BR609" s="216"/>
      <c r="BS609" s="216"/>
      <c r="BT609" s="216"/>
      <c r="BU609" s="216"/>
      <c r="BV609" s="216"/>
      <c r="BW609" s="217"/>
    </row>
    <row r="610" spans="8:8">
      <c r="AW610" s="215" t="s">
        <v>7866</v>
      </c>
      <c r="AX610" s="216"/>
      <c r="AY610" s="216"/>
      <c r="AZ610" s="216"/>
      <c r="BA610" s="216"/>
      <c r="BB610" s="216" t="s">
        <v>7867</v>
      </c>
      <c r="BC610" s="216"/>
      <c r="BD610" s="216"/>
      <c r="BE610" s="216"/>
      <c r="BF610" s="216"/>
      <c r="BG610" s="216"/>
      <c r="BH610" s="216"/>
      <c r="BI610" s="216"/>
      <c r="BJ610" s="216"/>
      <c r="BK610" s="216"/>
      <c r="BL610" s="216"/>
      <c r="BM610" s="216"/>
      <c r="BN610" s="216"/>
      <c r="BO610" s="216"/>
      <c r="BP610" s="216"/>
      <c r="BQ610" s="216"/>
      <c r="BR610" s="216"/>
      <c r="BS610" s="216"/>
      <c r="BT610" s="216"/>
      <c r="BU610" s="216"/>
      <c r="BV610" s="216"/>
      <c r="BW610" s="217"/>
    </row>
    <row r="611" spans="8:8">
      <c r="AW611" s="215" t="s">
        <v>7868</v>
      </c>
      <c r="AX611" s="216"/>
      <c r="AY611" s="216"/>
      <c r="AZ611" s="216"/>
      <c r="BA611" s="216"/>
      <c r="BB611" s="216" t="s">
        <v>7865</v>
      </c>
      <c r="BC611" s="216"/>
      <c r="BD611" s="216"/>
      <c r="BE611" s="216"/>
      <c r="BF611" s="216"/>
      <c r="BG611" s="216"/>
      <c r="BH611" s="216"/>
      <c r="BI611" s="216"/>
      <c r="BJ611" s="216"/>
      <c r="BK611" s="216"/>
      <c r="BL611" s="216"/>
      <c r="BM611" s="216"/>
      <c r="BN611" s="216"/>
      <c r="BO611" s="216"/>
      <c r="BP611" s="216"/>
      <c r="BQ611" s="216"/>
      <c r="BR611" s="216"/>
      <c r="BS611" s="216"/>
      <c r="BT611" s="216"/>
      <c r="BU611" s="216"/>
      <c r="BV611" s="216"/>
      <c r="BW611" s="217"/>
    </row>
    <row r="612" spans="8:8">
      <c r="AW612" s="215" t="s">
        <v>7869</v>
      </c>
      <c r="AX612" s="216"/>
      <c r="AY612" s="216"/>
      <c r="AZ612" s="216"/>
      <c r="BA612" s="216"/>
      <c r="BB612" s="216" t="s">
        <v>7867</v>
      </c>
      <c r="BC612" s="216"/>
      <c r="BD612" s="216"/>
      <c r="BE612" s="216"/>
      <c r="BF612" s="216"/>
      <c r="BG612" s="216"/>
      <c r="BH612" s="216"/>
      <c r="BI612" s="216"/>
      <c r="BJ612" s="216"/>
      <c r="BK612" s="216"/>
      <c r="BL612" s="216"/>
      <c r="BM612" s="216"/>
      <c r="BN612" s="216"/>
      <c r="BO612" s="216"/>
      <c r="BP612" s="216"/>
      <c r="BQ612" s="216"/>
      <c r="BR612" s="216"/>
      <c r="BS612" s="216"/>
      <c r="BT612" s="216"/>
      <c r="BU612" s="216"/>
      <c r="BV612" s="216"/>
      <c r="BW612" s="217"/>
    </row>
    <row r="613" spans="8:8">
      <c r="AW613" s="215" t="s">
        <v>7870</v>
      </c>
      <c r="AX613" s="216"/>
      <c r="AY613" s="216"/>
      <c r="AZ613" s="216"/>
      <c r="BA613" s="216"/>
      <c r="BB613" s="216" t="s">
        <v>7871</v>
      </c>
      <c r="BC613" s="216"/>
      <c r="BD613" s="216"/>
      <c r="BE613" s="216"/>
      <c r="BF613" s="216"/>
      <c r="BG613" s="216"/>
      <c r="BH613" s="216"/>
      <c r="BI613" s="216"/>
      <c r="BJ613" s="216"/>
      <c r="BK613" s="216"/>
      <c r="BL613" s="216"/>
      <c r="BM613" s="216"/>
      <c r="BN613" s="216"/>
      <c r="BO613" s="216"/>
      <c r="BP613" s="216"/>
      <c r="BQ613" s="216"/>
      <c r="BR613" s="216"/>
      <c r="BS613" s="216"/>
      <c r="BT613" s="216"/>
      <c r="BU613" s="216"/>
      <c r="BV613" s="216"/>
      <c r="BW613" s="217"/>
    </row>
    <row r="614" spans="8:8">
      <c r="AW614" s="215" t="s">
        <v>7872</v>
      </c>
      <c r="AX614" s="216"/>
      <c r="AY614" s="216"/>
      <c r="AZ614" s="216"/>
      <c r="BA614" s="216"/>
      <c r="BB614" s="216" t="s">
        <v>7873</v>
      </c>
      <c r="BC614" s="216"/>
      <c r="BD614" s="216"/>
      <c r="BE614" s="216"/>
      <c r="BF614" s="216"/>
      <c r="BG614" s="216"/>
      <c r="BH614" s="216"/>
      <c r="BI614" s="216"/>
      <c r="BJ614" s="216"/>
      <c r="BK614" s="216"/>
      <c r="BL614" s="216"/>
      <c r="BM614" s="216"/>
      <c r="BN614" s="216"/>
      <c r="BO614" s="216"/>
      <c r="BP614" s="216"/>
      <c r="BQ614" s="216"/>
      <c r="BR614" s="216"/>
      <c r="BS614" s="216"/>
      <c r="BT614" s="216"/>
      <c r="BU614" s="216"/>
      <c r="BV614" s="216"/>
      <c r="BW614" s="217"/>
    </row>
    <row r="615" spans="8:8">
      <c r="AW615" s="215" t="s">
        <v>7874</v>
      </c>
      <c r="AX615" s="216"/>
      <c r="AY615" s="216"/>
      <c r="AZ615" s="216"/>
      <c r="BA615" s="216"/>
      <c r="BB615" s="216" t="s">
        <v>6661</v>
      </c>
      <c r="BC615" s="216"/>
      <c r="BD615" s="216"/>
      <c r="BE615" s="216"/>
      <c r="BF615" s="216"/>
      <c r="BG615" s="216"/>
      <c r="BH615" s="216"/>
      <c r="BI615" s="216"/>
      <c r="BJ615" s="216"/>
      <c r="BK615" s="216"/>
      <c r="BL615" s="216"/>
      <c r="BM615" s="216"/>
      <c r="BN615" s="216"/>
      <c r="BO615" s="216"/>
      <c r="BP615" s="216"/>
      <c r="BQ615" s="216"/>
      <c r="BR615" s="216"/>
      <c r="BS615" s="216"/>
      <c r="BT615" s="216"/>
      <c r="BU615" s="216"/>
      <c r="BV615" s="216"/>
      <c r="BW615" s="217"/>
    </row>
    <row r="616" spans="8:8">
      <c r="AW616" s="215" t="s">
        <v>7875</v>
      </c>
      <c r="AX616" s="216"/>
      <c r="AY616" s="216"/>
      <c r="AZ616" s="216"/>
      <c r="BA616" s="216"/>
      <c r="BB616" s="216" t="s">
        <v>7876</v>
      </c>
      <c r="BC616" s="216"/>
      <c r="BD616" s="216"/>
      <c r="BE616" s="216"/>
      <c r="BF616" s="216"/>
      <c r="BG616" s="216"/>
      <c r="BH616" s="216"/>
      <c r="BI616" s="216"/>
      <c r="BJ616" s="216"/>
      <c r="BK616" s="216"/>
      <c r="BL616" s="216"/>
      <c r="BM616" s="216"/>
      <c r="BN616" s="216"/>
      <c r="BO616" s="216"/>
      <c r="BP616" s="216"/>
      <c r="BQ616" s="216"/>
      <c r="BR616" s="216"/>
      <c r="BS616" s="216"/>
      <c r="BT616" s="216"/>
      <c r="BU616" s="216"/>
      <c r="BV616" s="216"/>
      <c r="BW616" s="217"/>
    </row>
    <row r="617" spans="8:8">
      <c r="AW617" s="215" t="s">
        <v>7877</v>
      </c>
      <c r="AX617" s="216"/>
      <c r="AY617" s="216"/>
      <c r="AZ617" s="216"/>
      <c r="BA617" s="216"/>
      <c r="BB617" s="216" t="s">
        <v>6149</v>
      </c>
      <c r="BC617" s="216"/>
      <c r="BD617" s="216"/>
      <c r="BE617" s="216"/>
      <c r="BF617" s="216"/>
      <c r="BG617" s="216"/>
      <c r="BH617" s="216"/>
      <c r="BI617" s="216"/>
      <c r="BJ617" s="216"/>
      <c r="BK617" s="216"/>
      <c r="BL617" s="216"/>
      <c r="BM617" s="216"/>
      <c r="BN617" s="216"/>
      <c r="BO617" s="216"/>
      <c r="BP617" s="216"/>
      <c r="BQ617" s="216"/>
      <c r="BR617" s="216"/>
      <c r="BS617" s="216"/>
      <c r="BT617" s="216"/>
      <c r="BU617" s="216"/>
      <c r="BV617" s="216"/>
      <c r="BW617" s="217"/>
    </row>
    <row r="618" spans="8:8">
      <c r="AW618" s="215" t="s">
        <v>7878</v>
      </c>
      <c r="AX618" s="216"/>
      <c r="AY618" s="216"/>
      <c r="AZ618" s="216"/>
      <c r="BA618" s="216"/>
      <c r="BB618" s="216" t="s">
        <v>7879</v>
      </c>
      <c r="BC618" s="216"/>
      <c r="BD618" s="216"/>
      <c r="BE618" s="216"/>
      <c r="BF618" s="216"/>
      <c r="BG618" s="216"/>
      <c r="BH618" s="216"/>
      <c r="BI618" s="216"/>
      <c r="BJ618" s="216"/>
      <c r="BK618" s="216"/>
      <c r="BL618" s="216"/>
      <c r="BM618" s="216"/>
      <c r="BN618" s="216"/>
      <c r="BO618" s="216"/>
      <c r="BP618" s="216"/>
      <c r="BQ618" s="216"/>
      <c r="BR618" s="216"/>
      <c r="BS618" s="216"/>
      <c r="BT618" s="216"/>
      <c r="BU618" s="216"/>
      <c r="BV618" s="216"/>
      <c r="BW618" s="217"/>
    </row>
    <row r="619" spans="8:8">
      <c r="AW619" s="215" t="s">
        <v>7880</v>
      </c>
      <c r="AX619" s="216"/>
      <c r="AY619" s="216"/>
      <c r="AZ619" s="216"/>
      <c r="BA619" s="216"/>
      <c r="BB619" s="216" t="s">
        <v>5629</v>
      </c>
      <c r="BC619" s="216"/>
      <c r="BD619" s="216"/>
      <c r="BE619" s="216"/>
      <c r="BF619" s="216"/>
      <c r="BG619" s="216"/>
      <c r="BH619" s="216"/>
      <c r="BI619" s="216"/>
      <c r="BJ619" s="216"/>
      <c r="BK619" s="216"/>
      <c r="BL619" s="216"/>
      <c r="BM619" s="216"/>
      <c r="BN619" s="216"/>
      <c r="BO619" s="216"/>
      <c r="BP619" s="216"/>
      <c r="BQ619" s="216"/>
      <c r="BR619" s="216"/>
      <c r="BS619" s="216"/>
      <c r="BT619" s="216"/>
      <c r="BU619" s="216"/>
      <c r="BV619" s="216"/>
      <c r="BW619" s="217"/>
    </row>
    <row r="620" spans="8:8">
      <c r="AW620" s="215" t="s">
        <v>7881</v>
      </c>
      <c r="AX620" s="216"/>
      <c r="AY620" s="216"/>
      <c r="AZ620" s="216"/>
      <c r="BA620" s="216"/>
      <c r="BB620" s="216" t="s">
        <v>7882</v>
      </c>
      <c r="BC620" s="216"/>
      <c r="BD620" s="216"/>
      <c r="BE620" s="216"/>
      <c r="BF620" s="216"/>
      <c r="BG620" s="216"/>
      <c r="BH620" s="216"/>
      <c r="BI620" s="216"/>
      <c r="BJ620" s="216"/>
      <c r="BK620" s="216"/>
      <c r="BL620" s="216"/>
      <c r="BM620" s="216"/>
      <c r="BN620" s="216"/>
      <c r="BO620" s="216"/>
      <c r="BP620" s="216"/>
      <c r="BQ620" s="216"/>
      <c r="BR620" s="216"/>
      <c r="BS620" s="216"/>
      <c r="BT620" s="216"/>
      <c r="BU620" s="216"/>
      <c r="BV620" s="216"/>
      <c r="BW620" s="217"/>
    </row>
    <row r="621" spans="8:8">
      <c r="AW621" s="215" t="s">
        <v>7883</v>
      </c>
      <c r="AX621" s="216"/>
      <c r="AY621" s="216"/>
      <c r="AZ621" s="216"/>
      <c r="BA621" s="216"/>
      <c r="BB621" s="216" t="s">
        <v>7884</v>
      </c>
      <c r="BC621" s="216"/>
      <c r="BD621" s="216"/>
      <c r="BE621" s="216"/>
      <c r="BF621" s="216"/>
      <c r="BG621" s="216"/>
      <c r="BH621" s="216"/>
      <c r="BI621" s="216"/>
      <c r="BJ621" s="216"/>
      <c r="BK621" s="216"/>
      <c r="BL621" s="216"/>
      <c r="BM621" s="216"/>
      <c r="BN621" s="216"/>
      <c r="BO621" s="216"/>
      <c r="BP621" s="216"/>
      <c r="BQ621" s="216"/>
      <c r="BR621" s="216"/>
      <c r="BS621" s="216"/>
      <c r="BT621" s="216"/>
      <c r="BU621" s="216"/>
      <c r="BV621" s="216"/>
      <c r="BW621" s="217"/>
    </row>
    <row r="622" spans="8:8">
      <c r="AW622" s="215" t="s">
        <v>7885</v>
      </c>
      <c r="AX622" s="216"/>
      <c r="AY622" s="216"/>
      <c r="AZ622" s="216"/>
      <c r="BA622" s="216"/>
      <c r="BB622" s="216" t="s">
        <v>7886</v>
      </c>
      <c r="BC622" s="216"/>
      <c r="BD622" s="216"/>
      <c r="BE622" s="216"/>
      <c r="BF622" s="216"/>
      <c r="BG622" s="216"/>
      <c r="BH622" s="216"/>
      <c r="BI622" s="216"/>
      <c r="BJ622" s="216"/>
      <c r="BK622" s="216"/>
      <c r="BL622" s="216"/>
      <c r="BM622" s="216"/>
      <c r="BN622" s="216"/>
      <c r="BO622" s="216"/>
      <c r="BP622" s="216"/>
      <c r="BQ622" s="216"/>
      <c r="BR622" s="216"/>
      <c r="BS622" s="216"/>
      <c r="BT622" s="216"/>
      <c r="BU622" s="216"/>
      <c r="BV622" s="216"/>
      <c r="BW622" s="217"/>
    </row>
    <row r="623" spans="8:8">
      <c r="AW623" s="215" t="s">
        <v>7887</v>
      </c>
      <c r="AX623" s="216"/>
      <c r="AY623" s="216"/>
      <c r="AZ623" s="216"/>
      <c r="BA623" s="216"/>
      <c r="BB623" s="216" t="s">
        <v>7888</v>
      </c>
      <c r="BC623" s="216"/>
      <c r="BD623" s="216"/>
      <c r="BE623" s="216"/>
      <c r="BF623" s="216"/>
      <c r="BG623" s="216"/>
      <c r="BH623" s="216"/>
      <c r="BI623" s="216"/>
      <c r="BJ623" s="216"/>
      <c r="BK623" s="216"/>
      <c r="BL623" s="216"/>
      <c r="BM623" s="216"/>
      <c r="BN623" s="216"/>
      <c r="BO623" s="216"/>
      <c r="BP623" s="216"/>
      <c r="BQ623" s="216"/>
      <c r="BR623" s="216"/>
      <c r="BS623" s="216"/>
      <c r="BT623" s="216"/>
      <c r="BU623" s="216"/>
      <c r="BV623" s="216"/>
      <c r="BW623" s="217"/>
    </row>
    <row r="624" spans="8:8">
      <c r="AW624" s="215" t="s">
        <v>7889</v>
      </c>
      <c r="AX624" s="216"/>
      <c r="AY624" s="216"/>
      <c r="AZ624" s="216"/>
      <c r="BA624" s="216"/>
      <c r="BB624" s="216" t="s">
        <v>7890</v>
      </c>
      <c r="BC624" s="216"/>
      <c r="BD624" s="216"/>
      <c r="BE624" s="216"/>
      <c r="BF624" s="216"/>
      <c r="BG624" s="216"/>
      <c r="BH624" s="216"/>
      <c r="BI624" s="216"/>
      <c r="BJ624" s="216"/>
      <c r="BK624" s="216"/>
      <c r="BL624" s="216"/>
      <c r="BM624" s="216"/>
      <c r="BN624" s="216"/>
      <c r="BO624" s="216"/>
      <c r="BP624" s="216"/>
      <c r="BQ624" s="216"/>
      <c r="BR624" s="216"/>
      <c r="BS624" s="216"/>
      <c r="BT624" s="216"/>
      <c r="BU624" s="216"/>
      <c r="BV624" s="216"/>
      <c r="BW624" s="217"/>
    </row>
    <row r="625" spans="8:8">
      <c r="AW625" s="215" t="s">
        <v>7891</v>
      </c>
      <c r="AX625" s="216"/>
      <c r="AY625" s="216"/>
      <c r="AZ625" s="216"/>
      <c r="BA625" s="216"/>
      <c r="BB625" s="216" t="s">
        <v>7892</v>
      </c>
      <c r="BC625" s="216"/>
      <c r="BD625" s="216"/>
      <c r="BE625" s="216"/>
      <c r="BF625" s="216"/>
      <c r="BG625" s="216"/>
      <c r="BH625" s="216"/>
      <c r="BI625" s="216"/>
      <c r="BJ625" s="216"/>
      <c r="BK625" s="216"/>
      <c r="BL625" s="216"/>
      <c r="BM625" s="216"/>
      <c r="BN625" s="216"/>
      <c r="BO625" s="216"/>
      <c r="BP625" s="216"/>
      <c r="BQ625" s="216"/>
      <c r="BR625" s="216"/>
      <c r="BS625" s="216"/>
      <c r="BT625" s="216"/>
      <c r="BU625" s="216"/>
      <c r="BV625" s="216"/>
      <c r="BW625" s="217"/>
    </row>
    <row r="626" spans="8:8">
      <c r="AW626" s="215" t="s">
        <v>7893</v>
      </c>
      <c r="AX626" s="216"/>
      <c r="AY626" s="216"/>
      <c r="AZ626" s="216"/>
      <c r="BA626" s="216"/>
      <c r="BB626" s="216" t="s">
        <v>7894</v>
      </c>
      <c r="BC626" s="216"/>
      <c r="BD626" s="216"/>
      <c r="BE626" s="216"/>
      <c r="BF626" s="216"/>
      <c r="BG626" s="216"/>
      <c r="BH626" s="216"/>
      <c r="BI626" s="216"/>
      <c r="BJ626" s="216"/>
      <c r="BK626" s="216"/>
      <c r="BL626" s="216"/>
      <c r="BM626" s="216"/>
      <c r="BN626" s="216"/>
      <c r="BO626" s="216"/>
      <c r="BP626" s="216"/>
      <c r="BQ626" s="216"/>
      <c r="BR626" s="216"/>
      <c r="BS626" s="216"/>
      <c r="BT626" s="216"/>
      <c r="BU626" s="216"/>
      <c r="BV626" s="216"/>
      <c r="BW626" s="217"/>
    </row>
    <row r="627" spans="8:8">
      <c r="AW627" s="215" t="s">
        <v>7895</v>
      </c>
      <c r="AX627" s="216"/>
      <c r="AY627" s="216"/>
      <c r="AZ627" s="216"/>
      <c r="BA627" s="216"/>
      <c r="BB627" s="216" t="s">
        <v>7896</v>
      </c>
      <c r="BC627" s="216"/>
      <c r="BD627" s="216"/>
      <c r="BE627" s="216"/>
      <c r="BF627" s="216"/>
      <c r="BG627" s="216"/>
      <c r="BH627" s="216"/>
      <c r="BI627" s="216"/>
      <c r="BJ627" s="216"/>
      <c r="BK627" s="216"/>
      <c r="BL627" s="216"/>
      <c r="BM627" s="216"/>
      <c r="BN627" s="216"/>
      <c r="BO627" s="216"/>
      <c r="BP627" s="216"/>
      <c r="BQ627" s="216"/>
      <c r="BR627" s="216"/>
      <c r="BS627" s="216"/>
      <c r="BT627" s="216"/>
      <c r="BU627" s="216"/>
      <c r="BV627" s="216"/>
      <c r="BW627" s="217"/>
    </row>
    <row r="628" spans="8:8">
      <c r="AW628" s="215" t="s">
        <v>7897</v>
      </c>
      <c r="AX628" s="216"/>
      <c r="AY628" s="216"/>
      <c r="AZ628" s="216"/>
      <c r="BA628" s="216"/>
      <c r="BB628" s="216" t="s">
        <v>7898</v>
      </c>
      <c r="BC628" s="216"/>
      <c r="BD628" s="216"/>
      <c r="BE628" s="216"/>
      <c r="BF628" s="216"/>
      <c r="BG628" s="216"/>
      <c r="BH628" s="216"/>
      <c r="BI628" s="216"/>
      <c r="BJ628" s="216"/>
      <c r="BK628" s="216"/>
      <c r="BL628" s="216"/>
      <c r="BM628" s="216"/>
      <c r="BN628" s="216"/>
      <c r="BO628" s="216"/>
      <c r="BP628" s="216"/>
      <c r="BQ628" s="216"/>
      <c r="BR628" s="216"/>
      <c r="BS628" s="216"/>
      <c r="BT628" s="216"/>
      <c r="BU628" s="216"/>
      <c r="BV628" s="216"/>
      <c r="BW628" s="217"/>
    </row>
    <row r="629" spans="8:8">
      <c r="AW629" s="215" t="s">
        <v>7899</v>
      </c>
      <c r="AX629" s="216"/>
      <c r="AY629" s="216"/>
      <c r="AZ629" s="216"/>
      <c r="BA629" s="216"/>
      <c r="BB629" s="216" t="s">
        <v>7239</v>
      </c>
      <c r="BC629" s="216"/>
      <c r="BD629" s="216"/>
      <c r="BE629" s="216"/>
      <c r="BF629" s="216"/>
      <c r="BG629" s="216"/>
      <c r="BH629" s="216"/>
      <c r="BI629" s="216"/>
      <c r="BJ629" s="216"/>
      <c r="BK629" s="216"/>
      <c r="BL629" s="216"/>
      <c r="BM629" s="216"/>
      <c r="BN629" s="216"/>
      <c r="BO629" s="216"/>
      <c r="BP629" s="216"/>
      <c r="BQ629" s="216"/>
      <c r="BR629" s="216"/>
      <c r="BS629" s="216"/>
      <c r="BT629" s="216"/>
      <c r="BU629" s="216"/>
      <c r="BV629" s="216"/>
      <c r="BW629" s="217"/>
    </row>
    <row r="630" spans="8:8">
      <c r="AW630" s="215" t="s">
        <v>7900</v>
      </c>
      <c r="AX630" s="216"/>
      <c r="AY630" s="216"/>
      <c r="AZ630" s="216"/>
      <c r="BA630" s="216"/>
      <c r="BB630" s="216" t="s">
        <v>7901</v>
      </c>
      <c r="BC630" s="216"/>
      <c r="BD630" s="216"/>
      <c r="BE630" s="216"/>
      <c r="BF630" s="216"/>
      <c r="BG630" s="216"/>
      <c r="BH630" s="216"/>
      <c r="BI630" s="216"/>
      <c r="BJ630" s="216"/>
      <c r="BK630" s="216"/>
      <c r="BL630" s="216"/>
      <c r="BM630" s="216"/>
      <c r="BN630" s="216"/>
      <c r="BO630" s="216"/>
      <c r="BP630" s="216"/>
      <c r="BQ630" s="216"/>
      <c r="BR630" s="216"/>
      <c r="BS630" s="216"/>
      <c r="BT630" s="216"/>
      <c r="BU630" s="216"/>
      <c r="BV630" s="216"/>
      <c r="BW630" s="217"/>
    </row>
    <row r="631" spans="8:8">
      <c r="AW631" s="215" t="s">
        <v>7902</v>
      </c>
      <c r="AX631" s="216"/>
      <c r="AY631" s="216"/>
      <c r="AZ631" s="216"/>
      <c r="BA631" s="216"/>
      <c r="BB631" s="216" t="s">
        <v>7903</v>
      </c>
      <c r="BC631" s="216"/>
      <c r="BD631" s="216"/>
      <c r="BE631" s="216"/>
      <c r="BF631" s="216"/>
      <c r="BG631" s="216"/>
      <c r="BH631" s="216"/>
      <c r="BI631" s="216"/>
      <c r="BJ631" s="216"/>
      <c r="BK631" s="216"/>
      <c r="BL631" s="216"/>
      <c r="BM631" s="216"/>
      <c r="BN631" s="216"/>
      <c r="BO631" s="216"/>
      <c r="BP631" s="216"/>
      <c r="BQ631" s="216"/>
      <c r="BR631" s="216"/>
      <c r="BS631" s="216"/>
      <c r="BT631" s="216"/>
      <c r="BU631" s="216"/>
      <c r="BV631" s="216"/>
      <c r="BW631" s="217"/>
    </row>
    <row r="632" spans="8:8">
      <c r="AW632" s="215" t="s">
        <v>7904</v>
      </c>
      <c r="AX632" s="216"/>
      <c r="AY632" s="216"/>
      <c r="AZ632" s="216"/>
      <c r="BA632" s="216"/>
      <c r="BB632" s="216" t="s">
        <v>7905</v>
      </c>
      <c r="BC632" s="216"/>
      <c r="BD632" s="216"/>
      <c r="BE632" s="216"/>
      <c r="BF632" s="216"/>
      <c r="BG632" s="216"/>
      <c r="BH632" s="216"/>
      <c r="BI632" s="216"/>
      <c r="BJ632" s="216"/>
      <c r="BK632" s="216"/>
      <c r="BL632" s="216"/>
      <c r="BM632" s="216"/>
      <c r="BN632" s="216"/>
      <c r="BO632" s="216"/>
      <c r="BP632" s="216"/>
      <c r="BQ632" s="216"/>
      <c r="BR632" s="216"/>
      <c r="BS632" s="216"/>
      <c r="BT632" s="216"/>
      <c r="BU632" s="216"/>
      <c r="BV632" s="216"/>
      <c r="BW632" s="217"/>
    </row>
    <row r="633" spans="8:8">
      <c r="AW633" s="215" t="s">
        <v>7906</v>
      </c>
      <c r="AX633" s="216"/>
      <c r="AY633" s="216"/>
      <c r="AZ633" s="216"/>
      <c r="BA633" s="216"/>
      <c r="BB633" s="216" t="s">
        <v>7907</v>
      </c>
      <c r="BC633" s="216"/>
      <c r="BD633" s="216"/>
      <c r="BE633" s="216"/>
      <c r="BF633" s="216"/>
      <c r="BG633" s="216"/>
      <c r="BH633" s="216"/>
      <c r="BI633" s="216"/>
      <c r="BJ633" s="216"/>
      <c r="BK633" s="216"/>
      <c r="BL633" s="216"/>
      <c r="BM633" s="216"/>
      <c r="BN633" s="216"/>
      <c r="BO633" s="216"/>
      <c r="BP633" s="216"/>
      <c r="BQ633" s="216"/>
      <c r="BR633" s="216"/>
      <c r="BS633" s="216"/>
      <c r="BT633" s="216"/>
      <c r="BU633" s="216"/>
      <c r="BV633" s="216"/>
      <c r="BW633" s="217"/>
    </row>
    <row r="634" spans="8:8">
      <c r="AW634" s="215" t="s">
        <v>7908</v>
      </c>
      <c r="AX634" s="216"/>
      <c r="AY634" s="216"/>
      <c r="AZ634" s="216"/>
      <c r="BA634" s="216"/>
      <c r="BB634" s="216" t="s">
        <v>7905</v>
      </c>
      <c r="BC634" s="216"/>
      <c r="BD634" s="216"/>
      <c r="BE634" s="216"/>
      <c r="BF634" s="216"/>
      <c r="BG634" s="216"/>
      <c r="BH634" s="216"/>
      <c r="BI634" s="216"/>
      <c r="BJ634" s="216"/>
      <c r="BK634" s="216"/>
      <c r="BL634" s="216"/>
      <c r="BM634" s="216"/>
      <c r="BN634" s="216"/>
      <c r="BO634" s="216"/>
      <c r="BP634" s="216"/>
      <c r="BQ634" s="216"/>
      <c r="BR634" s="216"/>
      <c r="BS634" s="216"/>
      <c r="BT634" s="216"/>
      <c r="BU634" s="216"/>
      <c r="BV634" s="216"/>
      <c r="BW634" s="217"/>
    </row>
    <row r="635" spans="8:8">
      <c r="AW635" s="215" t="s">
        <v>7909</v>
      </c>
      <c r="AX635" s="216"/>
      <c r="AY635" s="216"/>
      <c r="AZ635" s="216"/>
      <c r="BA635" s="216"/>
      <c r="BB635" s="216" t="s">
        <v>7910</v>
      </c>
      <c r="BC635" s="216"/>
      <c r="BD635" s="216"/>
      <c r="BE635" s="216"/>
      <c r="BF635" s="216"/>
      <c r="BG635" s="216"/>
      <c r="BH635" s="216"/>
      <c r="BI635" s="216"/>
      <c r="BJ635" s="216"/>
      <c r="BK635" s="216"/>
      <c r="BL635" s="216"/>
      <c r="BM635" s="216"/>
      <c r="BN635" s="216"/>
      <c r="BO635" s="216"/>
      <c r="BP635" s="216"/>
      <c r="BQ635" s="216"/>
      <c r="BR635" s="216"/>
      <c r="BS635" s="216"/>
      <c r="BT635" s="216"/>
      <c r="BU635" s="216"/>
      <c r="BV635" s="216"/>
      <c r="BW635" s="217"/>
    </row>
    <row r="636" spans="8:8">
      <c r="AW636" s="215" t="s">
        <v>7911</v>
      </c>
      <c r="AX636" s="216"/>
      <c r="AY636" s="216"/>
      <c r="AZ636" s="216"/>
      <c r="BA636" s="216"/>
      <c r="BB636" s="216" t="s">
        <v>7912</v>
      </c>
      <c r="BC636" s="216"/>
      <c r="BD636" s="216"/>
      <c r="BE636" s="216"/>
      <c r="BF636" s="216"/>
      <c r="BG636" s="216"/>
      <c r="BH636" s="216"/>
      <c r="BI636" s="216"/>
      <c r="BJ636" s="216"/>
      <c r="BK636" s="216"/>
      <c r="BL636" s="216"/>
      <c r="BM636" s="216"/>
      <c r="BN636" s="216"/>
      <c r="BO636" s="216"/>
      <c r="BP636" s="216"/>
      <c r="BQ636" s="216"/>
      <c r="BR636" s="216"/>
      <c r="BS636" s="216"/>
      <c r="BT636" s="216"/>
      <c r="BU636" s="216"/>
      <c r="BV636" s="216"/>
      <c r="BW636" s="217"/>
    </row>
    <row r="637" spans="8:8">
      <c r="AW637" s="215" t="s">
        <v>7913</v>
      </c>
      <c r="AX637" s="216"/>
      <c r="AY637" s="216"/>
      <c r="AZ637" s="216"/>
      <c r="BA637" s="216"/>
      <c r="BB637" s="216" t="s">
        <v>7914</v>
      </c>
      <c r="BC637" s="216"/>
      <c r="BD637" s="216"/>
      <c r="BE637" s="216"/>
      <c r="BF637" s="216"/>
      <c r="BG637" s="216"/>
      <c r="BH637" s="216"/>
      <c r="BI637" s="216"/>
      <c r="BJ637" s="216"/>
      <c r="BK637" s="216"/>
      <c r="BL637" s="216"/>
      <c r="BM637" s="216"/>
      <c r="BN637" s="216"/>
      <c r="BO637" s="216"/>
      <c r="BP637" s="216"/>
      <c r="BQ637" s="216"/>
      <c r="BR637" s="216"/>
      <c r="BS637" s="216"/>
      <c r="BT637" s="216"/>
      <c r="BU637" s="216"/>
      <c r="BV637" s="216"/>
      <c r="BW637" s="217"/>
    </row>
    <row r="638" spans="8:8">
      <c r="AW638" s="215" t="s">
        <v>7915</v>
      </c>
      <c r="AX638" s="216"/>
      <c r="AY638" s="216"/>
      <c r="AZ638" s="216"/>
      <c r="BA638" s="216"/>
      <c r="BB638" s="216" t="s">
        <v>7912</v>
      </c>
      <c r="BC638" s="216"/>
      <c r="BD638" s="216"/>
      <c r="BE638" s="216"/>
      <c r="BF638" s="216"/>
      <c r="BG638" s="216"/>
      <c r="BH638" s="216"/>
      <c r="BI638" s="216"/>
      <c r="BJ638" s="216"/>
      <c r="BK638" s="216"/>
      <c r="BL638" s="216"/>
      <c r="BM638" s="216"/>
      <c r="BN638" s="216"/>
      <c r="BO638" s="216"/>
      <c r="BP638" s="216"/>
      <c r="BQ638" s="216"/>
      <c r="BR638" s="216"/>
      <c r="BS638" s="216"/>
      <c r="BT638" s="216"/>
      <c r="BU638" s="216"/>
      <c r="BV638" s="216"/>
      <c r="BW638" s="217"/>
    </row>
    <row r="639" spans="8:8">
      <c r="AW639" s="215" t="s">
        <v>7916</v>
      </c>
      <c r="AX639" s="216"/>
      <c r="AY639" s="216"/>
      <c r="AZ639" s="216"/>
      <c r="BA639" s="216"/>
      <c r="BB639" s="216" t="s">
        <v>7917</v>
      </c>
      <c r="BC639" s="216"/>
      <c r="BD639" s="216"/>
      <c r="BE639" s="216"/>
      <c r="BF639" s="216"/>
      <c r="BG639" s="216"/>
      <c r="BH639" s="216"/>
      <c r="BI639" s="216"/>
      <c r="BJ639" s="216"/>
      <c r="BK639" s="216"/>
      <c r="BL639" s="216"/>
      <c r="BM639" s="216"/>
      <c r="BN639" s="216"/>
      <c r="BO639" s="216"/>
      <c r="BP639" s="216"/>
      <c r="BQ639" s="216"/>
      <c r="BR639" s="216"/>
      <c r="BS639" s="216"/>
      <c r="BT639" s="216"/>
      <c r="BU639" s="216"/>
      <c r="BV639" s="216"/>
      <c r="BW639" s="217"/>
    </row>
    <row r="640" spans="8:8">
      <c r="AW640" s="215" t="s">
        <v>7918</v>
      </c>
      <c r="AX640" s="216"/>
      <c r="AY640" s="216"/>
      <c r="AZ640" s="216"/>
      <c r="BA640" s="216"/>
      <c r="BB640" s="216" t="s">
        <v>7919</v>
      </c>
      <c r="BC640" s="216"/>
      <c r="BD640" s="216"/>
      <c r="BE640" s="216"/>
      <c r="BF640" s="216"/>
      <c r="BG640" s="216"/>
      <c r="BH640" s="216"/>
      <c r="BI640" s="216"/>
      <c r="BJ640" s="216"/>
      <c r="BK640" s="216"/>
      <c r="BL640" s="216"/>
      <c r="BM640" s="216"/>
      <c r="BN640" s="216"/>
      <c r="BO640" s="216"/>
      <c r="BP640" s="216"/>
      <c r="BQ640" s="216"/>
      <c r="BR640" s="216"/>
      <c r="BS640" s="216"/>
      <c r="BT640" s="216"/>
      <c r="BU640" s="216"/>
      <c r="BV640" s="216"/>
      <c r="BW640" s="217"/>
    </row>
    <row r="641" spans="8:8">
      <c r="AW641" s="215" t="s">
        <v>7920</v>
      </c>
      <c r="AX641" s="216"/>
      <c r="AY641" s="216"/>
      <c r="AZ641" s="216"/>
      <c r="BA641" s="216"/>
      <c r="BB641" s="216" t="s">
        <v>7921</v>
      </c>
      <c r="BC641" s="216"/>
      <c r="BD641" s="216"/>
      <c r="BE641" s="216"/>
      <c r="BF641" s="216"/>
      <c r="BG641" s="216"/>
      <c r="BH641" s="216"/>
      <c r="BI641" s="216"/>
      <c r="BJ641" s="216"/>
      <c r="BK641" s="216"/>
      <c r="BL641" s="216"/>
      <c r="BM641" s="216"/>
      <c r="BN641" s="216"/>
      <c r="BO641" s="216"/>
      <c r="BP641" s="216"/>
      <c r="BQ641" s="216"/>
      <c r="BR641" s="216"/>
      <c r="BS641" s="216"/>
      <c r="BT641" s="216"/>
      <c r="BU641" s="216"/>
      <c r="BV641" s="216"/>
      <c r="BW641" s="217"/>
    </row>
    <row r="642" spans="8:8">
      <c r="AW642" s="215" t="s">
        <v>7922</v>
      </c>
      <c r="AX642" s="216"/>
      <c r="AY642" s="216"/>
      <c r="AZ642" s="216"/>
      <c r="BA642" s="216"/>
      <c r="BB642" s="216" t="s">
        <v>7919</v>
      </c>
      <c r="BC642" s="216"/>
      <c r="BD642" s="216"/>
      <c r="BE642" s="216"/>
      <c r="BF642" s="216"/>
      <c r="BG642" s="216"/>
      <c r="BH642" s="216"/>
      <c r="BI642" s="216"/>
      <c r="BJ642" s="216"/>
      <c r="BK642" s="216"/>
      <c r="BL642" s="216"/>
      <c r="BM642" s="216"/>
      <c r="BN642" s="216"/>
      <c r="BO642" s="216"/>
      <c r="BP642" s="216"/>
      <c r="BQ642" s="216"/>
      <c r="BR642" s="216"/>
      <c r="BS642" s="216"/>
      <c r="BT642" s="216"/>
      <c r="BU642" s="216"/>
      <c r="BV642" s="216"/>
      <c r="BW642" s="217"/>
    </row>
    <row r="643" spans="8:8">
      <c r="AW643" s="215" t="s">
        <v>7923</v>
      </c>
      <c r="AX643" s="216"/>
      <c r="AY643" s="216"/>
      <c r="AZ643" s="216"/>
      <c r="BA643" s="216"/>
      <c r="BB643" s="216" t="s">
        <v>7924</v>
      </c>
      <c r="BC643" s="216"/>
      <c r="BD643" s="216"/>
      <c r="BE643" s="216"/>
      <c r="BF643" s="216"/>
      <c r="BG643" s="216"/>
      <c r="BH643" s="216"/>
      <c r="BI643" s="216"/>
      <c r="BJ643" s="216"/>
      <c r="BK643" s="216"/>
      <c r="BL643" s="216"/>
      <c r="BM643" s="216"/>
      <c r="BN643" s="216"/>
      <c r="BO643" s="216"/>
      <c r="BP643" s="216"/>
      <c r="BQ643" s="216"/>
      <c r="BR643" s="216"/>
      <c r="BS643" s="216"/>
      <c r="BT643" s="216"/>
      <c r="BU643" s="216"/>
      <c r="BV643" s="216"/>
      <c r="BW643" s="217"/>
    </row>
    <row r="644" spans="8:8">
      <c r="AW644" s="215" t="s">
        <v>7925</v>
      </c>
      <c r="AX644" s="216"/>
      <c r="AY644" s="216"/>
      <c r="AZ644" s="216"/>
      <c r="BA644" s="216"/>
      <c r="BB644" s="216" t="s">
        <v>7926</v>
      </c>
      <c r="BC644" s="216"/>
      <c r="BD644" s="216"/>
      <c r="BE644" s="216"/>
      <c r="BF644" s="216"/>
      <c r="BG644" s="216"/>
      <c r="BH644" s="216"/>
      <c r="BI644" s="216"/>
      <c r="BJ644" s="216"/>
      <c r="BK644" s="216"/>
      <c r="BL644" s="216"/>
      <c r="BM644" s="216"/>
      <c r="BN644" s="216"/>
      <c r="BO644" s="216"/>
      <c r="BP644" s="216"/>
      <c r="BQ644" s="216"/>
      <c r="BR644" s="216"/>
      <c r="BS644" s="216"/>
      <c r="BT644" s="216"/>
      <c r="BU644" s="216"/>
      <c r="BV644" s="216"/>
      <c r="BW644" s="217"/>
    </row>
    <row r="645" spans="8:8">
      <c r="AW645" s="215" t="s">
        <v>7927</v>
      </c>
      <c r="AX645" s="216"/>
      <c r="AY645" s="216"/>
      <c r="AZ645" s="216"/>
      <c r="BA645" s="216"/>
      <c r="BB645" s="216" t="s">
        <v>7928</v>
      </c>
      <c r="BC645" s="216"/>
      <c r="BD645" s="216"/>
      <c r="BE645" s="216"/>
      <c r="BF645" s="216"/>
      <c r="BG645" s="216"/>
      <c r="BH645" s="216"/>
      <c r="BI645" s="216"/>
      <c r="BJ645" s="216"/>
      <c r="BK645" s="216"/>
      <c r="BL645" s="216"/>
      <c r="BM645" s="216"/>
      <c r="BN645" s="216"/>
      <c r="BO645" s="216"/>
      <c r="BP645" s="216"/>
      <c r="BQ645" s="216"/>
      <c r="BR645" s="216"/>
      <c r="BS645" s="216"/>
      <c r="BT645" s="216"/>
      <c r="BU645" s="216"/>
      <c r="BV645" s="216"/>
      <c r="BW645" s="217"/>
    </row>
    <row r="646" spans="8:8">
      <c r="AW646" s="215" t="s">
        <v>7929</v>
      </c>
      <c r="AX646" s="216"/>
      <c r="AY646" s="216"/>
      <c r="AZ646" s="216"/>
      <c r="BA646" s="216"/>
      <c r="BB646" s="216" t="s">
        <v>7930</v>
      </c>
      <c r="BC646" s="216"/>
      <c r="BD646" s="216"/>
      <c r="BE646" s="216"/>
      <c r="BF646" s="216"/>
      <c r="BG646" s="216"/>
      <c r="BH646" s="216"/>
      <c r="BI646" s="216"/>
      <c r="BJ646" s="216"/>
      <c r="BK646" s="216"/>
      <c r="BL646" s="216"/>
      <c r="BM646" s="216"/>
      <c r="BN646" s="216"/>
      <c r="BO646" s="216"/>
      <c r="BP646" s="216"/>
      <c r="BQ646" s="216"/>
      <c r="BR646" s="216"/>
      <c r="BS646" s="216"/>
      <c r="BT646" s="216"/>
      <c r="BU646" s="216"/>
      <c r="BV646" s="216"/>
      <c r="BW646" s="217"/>
    </row>
    <row r="647" spans="8:8">
      <c r="AW647" s="215" t="s">
        <v>7931</v>
      </c>
      <c r="AX647" s="216"/>
      <c r="AY647" s="216"/>
      <c r="AZ647" s="216"/>
      <c r="BA647" s="216"/>
      <c r="BB647" s="216" t="s">
        <v>7932</v>
      </c>
      <c r="BC647" s="216"/>
      <c r="BD647" s="216"/>
      <c r="BE647" s="216"/>
      <c r="BF647" s="216"/>
      <c r="BG647" s="216"/>
      <c r="BH647" s="216"/>
      <c r="BI647" s="216"/>
      <c r="BJ647" s="216"/>
      <c r="BK647" s="216"/>
      <c r="BL647" s="216"/>
      <c r="BM647" s="216"/>
      <c r="BN647" s="216"/>
      <c r="BO647" s="216"/>
      <c r="BP647" s="216"/>
      <c r="BQ647" s="216"/>
      <c r="BR647" s="216"/>
      <c r="BS647" s="216"/>
      <c r="BT647" s="216"/>
      <c r="BU647" s="216"/>
      <c r="BV647" s="216"/>
      <c r="BW647" s="217"/>
    </row>
    <row r="648" spans="8:8">
      <c r="AW648" s="215" t="s">
        <v>7933</v>
      </c>
      <c r="AX648" s="216"/>
      <c r="AY648" s="216"/>
      <c r="AZ648" s="216"/>
      <c r="BA648" s="216"/>
      <c r="BB648" s="216" t="s">
        <v>7934</v>
      </c>
      <c r="BC648" s="216"/>
      <c r="BD648" s="216"/>
      <c r="BE648" s="216"/>
      <c r="BF648" s="216"/>
      <c r="BG648" s="216"/>
      <c r="BH648" s="216"/>
      <c r="BI648" s="216"/>
      <c r="BJ648" s="216"/>
      <c r="BK648" s="216"/>
      <c r="BL648" s="216"/>
      <c r="BM648" s="216"/>
      <c r="BN648" s="216"/>
      <c r="BO648" s="216"/>
      <c r="BP648" s="216"/>
      <c r="BQ648" s="216"/>
      <c r="BR648" s="216"/>
      <c r="BS648" s="216"/>
      <c r="BT648" s="216"/>
      <c r="BU648" s="216"/>
      <c r="BV648" s="216"/>
      <c r="BW648" s="217"/>
    </row>
    <row r="649" spans="8:8">
      <c r="AW649" s="215" t="s">
        <v>7935</v>
      </c>
      <c r="AX649" s="216"/>
      <c r="AY649" s="216"/>
      <c r="AZ649" s="216"/>
      <c r="BA649" s="216"/>
      <c r="BB649" s="216" t="s">
        <v>7936</v>
      </c>
      <c r="BC649" s="216"/>
      <c r="BD649" s="216"/>
      <c r="BE649" s="216"/>
      <c r="BF649" s="216"/>
      <c r="BG649" s="216"/>
      <c r="BH649" s="216"/>
      <c r="BI649" s="216"/>
      <c r="BJ649" s="216"/>
      <c r="BK649" s="216"/>
      <c r="BL649" s="216"/>
      <c r="BM649" s="216"/>
      <c r="BN649" s="216"/>
      <c r="BO649" s="216"/>
      <c r="BP649" s="216"/>
      <c r="BQ649" s="216"/>
      <c r="BR649" s="216"/>
      <c r="BS649" s="216"/>
      <c r="BT649" s="216"/>
      <c r="BU649" s="216"/>
      <c r="BV649" s="216"/>
      <c r="BW649" s="217"/>
    </row>
    <row r="650" spans="8:8">
      <c r="AW650" s="215" t="s">
        <v>7937</v>
      </c>
      <c r="AX650" s="216"/>
      <c r="AY650" s="216"/>
      <c r="AZ650" s="216"/>
      <c r="BA650" s="216"/>
      <c r="BB650" s="216" t="s">
        <v>7938</v>
      </c>
      <c r="BC650" s="216"/>
      <c r="BD650" s="216"/>
      <c r="BE650" s="216"/>
      <c r="BF650" s="216"/>
      <c r="BG650" s="216"/>
      <c r="BH650" s="216"/>
      <c r="BI650" s="216"/>
      <c r="BJ650" s="216"/>
      <c r="BK650" s="216"/>
      <c r="BL650" s="216"/>
      <c r="BM650" s="216"/>
      <c r="BN650" s="216"/>
      <c r="BO650" s="216"/>
      <c r="BP650" s="216"/>
      <c r="BQ650" s="216"/>
      <c r="BR650" s="216"/>
      <c r="BS650" s="216"/>
      <c r="BT650" s="216"/>
      <c r="BU650" s="216"/>
      <c r="BV650" s="216"/>
      <c r="BW650" s="217"/>
    </row>
    <row r="651" spans="8:8">
      <c r="AW651" s="215" t="s">
        <v>7939</v>
      </c>
      <c r="AX651" s="216"/>
      <c r="AY651" s="216"/>
      <c r="AZ651" s="216"/>
      <c r="BA651" s="216"/>
      <c r="BB651" s="216" t="s">
        <v>7940</v>
      </c>
      <c r="BC651" s="216"/>
      <c r="BD651" s="216"/>
      <c r="BE651" s="216"/>
      <c r="BF651" s="216"/>
      <c r="BG651" s="216"/>
      <c r="BH651" s="216"/>
      <c r="BI651" s="216"/>
      <c r="BJ651" s="216"/>
      <c r="BK651" s="216"/>
      <c r="BL651" s="216"/>
      <c r="BM651" s="216"/>
      <c r="BN651" s="216"/>
      <c r="BO651" s="216"/>
      <c r="BP651" s="216"/>
      <c r="BQ651" s="216"/>
      <c r="BR651" s="216"/>
      <c r="BS651" s="216"/>
      <c r="BT651" s="216"/>
      <c r="BU651" s="216"/>
      <c r="BV651" s="216"/>
      <c r="BW651" s="217"/>
    </row>
    <row r="652" spans="8:8">
      <c r="AW652" s="215" t="s">
        <v>7941</v>
      </c>
      <c r="AX652" s="216"/>
      <c r="AY652" s="216"/>
      <c r="AZ652" s="216"/>
      <c r="BA652" s="216"/>
      <c r="BB652" s="216" t="s">
        <v>7942</v>
      </c>
      <c r="BC652" s="216"/>
      <c r="BD652" s="216"/>
      <c r="BE652" s="216"/>
      <c r="BF652" s="216"/>
      <c r="BG652" s="216"/>
      <c r="BH652" s="216"/>
      <c r="BI652" s="216"/>
      <c r="BJ652" s="216"/>
      <c r="BK652" s="216"/>
      <c r="BL652" s="216"/>
      <c r="BM652" s="216"/>
      <c r="BN652" s="216"/>
      <c r="BO652" s="216"/>
      <c r="BP652" s="216"/>
      <c r="BQ652" s="216"/>
      <c r="BR652" s="216"/>
      <c r="BS652" s="216"/>
      <c r="BT652" s="216"/>
      <c r="BU652" s="216"/>
      <c r="BV652" s="216"/>
      <c r="BW652" s="217"/>
    </row>
    <row r="653" spans="8:8">
      <c r="AW653" s="215" t="s">
        <v>7943</v>
      </c>
      <c r="AX653" s="216"/>
      <c r="AY653" s="216"/>
      <c r="AZ653" s="216"/>
      <c r="BA653" s="216"/>
      <c r="BB653" s="216" t="s">
        <v>7944</v>
      </c>
      <c r="BC653" s="216"/>
      <c r="BD653" s="216"/>
      <c r="BE653" s="216"/>
      <c r="BF653" s="216"/>
      <c r="BG653" s="216"/>
      <c r="BH653" s="216"/>
      <c r="BI653" s="216"/>
      <c r="BJ653" s="216"/>
      <c r="BK653" s="216"/>
      <c r="BL653" s="216"/>
      <c r="BM653" s="216"/>
      <c r="BN653" s="216"/>
      <c r="BO653" s="216"/>
      <c r="BP653" s="216"/>
      <c r="BQ653" s="216"/>
      <c r="BR653" s="216"/>
      <c r="BS653" s="216"/>
      <c r="BT653" s="216"/>
      <c r="BU653" s="216"/>
      <c r="BV653" s="216"/>
      <c r="BW653" s="217"/>
    </row>
    <row r="654" spans="8:8">
      <c r="AW654" s="215" t="s">
        <v>7945</v>
      </c>
      <c r="AX654" s="216"/>
      <c r="AY654" s="216"/>
      <c r="AZ654" s="216"/>
      <c r="BA654" s="216"/>
      <c r="BB654" s="216" t="s">
        <v>7942</v>
      </c>
      <c r="BC654" s="216"/>
      <c r="BD654" s="216"/>
      <c r="BE654" s="216"/>
      <c r="BF654" s="216"/>
      <c r="BG654" s="216"/>
      <c r="BH654" s="216"/>
      <c r="BI654" s="216"/>
      <c r="BJ654" s="216"/>
      <c r="BK654" s="216"/>
      <c r="BL654" s="216"/>
      <c r="BM654" s="216"/>
      <c r="BN654" s="216"/>
      <c r="BO654" s="216"/>
      <c r="BP654" s="216"/>
      <c r="BQ654" s="216"/>
      <c r="BR654" s="216"/>
      <c r="BS654" s="216"/>
      <c r="BT654" s="216"/>
      <c r="BU654" s="216"/>
      <c r="BV654" s="216"/>
      <c r="BW654" s="217"/>
    </row>
    <row r="655" spans="8:8" ht="15.75">
      <c r="AW655" s="283" t="s">
        <v>7946</v>
      </c>
      <c r="AX655" s="284"/>
      <c r="AY655" s="284"/>
      <c r="AZ655" s="284"/>
      <c r="BA655" s="284"/>
      <c r="BB655" s="285" t="s">
        <v>7947</v>
      </c>
      <c r="BC655" s="285"/>
      <c r="BD655" s="285"/>
      <c r="BE655" s="285"/>
      <c r="BF655" s="285"/>
      <c r="BG655" s="285"/>
      <c r="BH655" s="285"/>
      <c r="BI655" s="285"/>
      <c r="BJ655" s="285"/>
      <c r="BK655" s="284"/>
      <c r="BL655" s="284"/>
      <c r="BM655" s="284"/>
      <c r="BN655" s="284"/>
      <c r="BO655" s="284"/>
      <c r="BP655" s="284"/>
      <c r="BQ655" s="284"/>
      <c r="BR655" s="284"/>
      <c r="BS655" s="284"/>
      <c r="BT655" s="284"/>
      <c r="BU655" s="284"/>
      <c r="BV655" s="284"/>
      <c r="BW655" s="286"/>
    </row>
  </sheetData>
  <sheetProtection sheet="0" formatCells="0" insertHyperlinks="0" autoFilter="0"/>
  <mergeCells count="38">
    <mergeCell ref="BB655:BJ655"/>
    <mergeCell ref="B176:B197"/>
    <mergeCell ref="T107:V129"/>
    <mergeCell ref="B3:D10"/>
    <mergeCell ref="BB2:BW2"/>
    <mergeCell ref="L176:V197"/>
    <mergeCell ref="D107:F129"/>
    <mergeCell ref="P162:Q174"/>
    <mergeCell ref="C97:C106"/>
    <mergeCell ref="J131:N161"/>
    <mergeCell ref="G131:I161"/>
    <mergeCell ref="L107:N129"/>
    <mergeCell ref="B2:G2"/>
    <mergeCell ref="AW2:BA2"/>
    <mergeCell ref="B107:B129"/>
    <mergeCell ref="R162:T174"/>
    <mergeCell ref="D176:F197"/>
    <mergeCell ref="S131:V161"/>
    <mergeCell ref="B97:B106"/>
    <mergeCell ref="G97:V106"/>
    <mergeCell ref="J162:L174"/>
    <mergeCell ref="C107:C129"/>
    <mergeCell ref="E3:G10"/>
    <mergeCell ref="O131:R161"/>
    <mergeCell ref="D131:F174"/>
    <mergeCell ref="Q107:S129"/>
    <mergeCell ref="X54:AA54"/>
    <mergeCell ref="G176:K197"/>
    <mergeCell ref="D97:F106"/>
    <mergeCell ref="O107:P129"/>
    <mergeCell ref="B131:B174"/>
    <mergeCell ref="G162:I174"/>
    <mergeCell ref="C131:C174"/>
    <mergeCell ref="M162:O174"/>
    <mergeCell ref="G107:H129"/>
    <mergeCell ref="C176:C197"/>
    <mergeCell ref="I107:K129"/>
    <mergeCell ref="U162:V174"/>
  </mergeCells>
  <pageMargins left="0.75" right="0.75" top="1.0" bottom="1.0" header="0.5" footer="0.5"/>
</worksheet>
</file>

<file path=xl/worksheets/sheet4.xml><?xml version="1.0" encoding="utf-8"?>
<worksheet xmlns:r="http://schemas.openxmlformats.org/officeDocument/2006/relationships" xmlns="http://schemas.openxmlformats.org/spreadsheetml/2006/main">
  <dimension ref="A1:HR601"/>
  <sheetViews>
    <sheetView workbookViewId="0" zoomScale="38">
      <pane ySplit="2" topLeftCell="A3" state="frozen" activePane="bottomLeft"/>
      <selection pane="bottomLeft" activeCell="H34" sqref="H34"/>
    </sheetView>
  </sheetViews>
  <sheetFormatPr defaultRowHeight="16.5" defaultColWidth="9"/>
  <cols>
    <col min="1" max="1" customWidth="1" width="4.625" style="287"/>
    <col min="2" max="2" customWidth="1" width="13.4140625" style="287"/>
    <col min="3" max="3" customWidth="1" width="7.0742188" style="287"/>
    <col min="4" max="4" customWidth="1" width="11.25" style="287"/>
    <col min="5" max="5" customWidth="1" width="15.230469" style="287"/>
    <col min="6" max="6" customWidth="1" width="16.691406" style="287"/>
    <col min="7" max="7" customWidth="1" width="5.4570312" style="287"/>
    <col min="8" max="8" customWidth="1" width="19.914062" style="287"/>
    <col min="9" max="9" customWidth="1" width="8.6640625" style="287"/>
    <col min="10" max="10" customWidth="1" width="10.457031" style="287"/>
    <col min="11" max="11" customWidth="1" width="15.230469" style="287"/>
    <col min="12" max="12" customWidth="1" width="20.0" style="287"/>
    <col min="13" max="13" customWidth="1" width="5.4570312" style="287"/>
    <col min="14" max="14" customWidth="1" width="4.625" style="287"/>
    <col min="15" max="15" customWidth="0" width="9.0" style="287"/>
    <col min="16" max="16" customWidth="1" width="4.625" style="287"/>
    <col min="17" max="17" customWidth="1" width="70.08203" style="288"/>
    <col min="18" max="18" customWidth="1" width="6.6914062" style="287"/>
    <col min="19" max="19" customWidth="1" width="14.171875" style="287"/>
    <col min="20" max="20" customWidth="1" width="38.382812" style="287"/>
    <col min="21" max="21" customWidth="1" width="17.714844" style="287"/>
    <col min="22" max="22" customWidth="1" width="4.625" style="287"/>
    <col min="23" max="23" customWidth="1" width="9.0" style="287"/>
    <col min="24" max="24" customWidth="1" width="1.625" style="287"/>
    <col min="25" max="25" customWidth="1" width="37.714844" style="287"/>
    <col min="26" max="26" customWidth="1" width="21.882812" style="287"/>
    <col min="27" max="27" customWidth="1" width="29.355469" style="287"/>
    <col min="28" max="28" customWidth="1" width="1.625" style="287"/>
    <col min="29" max="29" customWidth="1" width="9.0" style="287"/>
    <col min="30" max="30" customWidth="1" width="1.8203125" style="0"/>
    <col min="31" max="31" customWidth="1" width="61.921875" style="289"/>
    <col min="32" max="32" customWidth="1" width="1.53125" style="287"/>
    <col min="33" max="33" customWidth="1" width="9.0" style="287"/>
    <col min="34" max="34" customWidth="1" width="9.0" style="287"/>
    <col min="35" max="35" customWidth="1" width="9.0" style="287"/>
    <col min="36" max="37" customWidth="1" width="9.0" style="287"/>
    <col min="38" max="38" customWidth="1" width="9.0" style="287"/>
    <col min="39" max="39" customWidth="1" width="9.0" style="287"/>
    <col min="40" max="40" customWidth="1" width="9.0" style="287"/>
    <col min="41" max="41" customWidth="1" width="9.0" style="287"/>
    <col min="42" max="44" customWidth="1" width="9.0" style="287"/>
    <col min="45" max="16384" customWidth="0" width="9.0" style="287"/>
  </cols>
  <sheetData>
    <row r="1" spans="8:8" ht="29.95">
      <c r="A1" s="290" t="s">
        <v>7948</v>
      </c>
      <c r="B1" s="290"/>
      <c r="C1" s="290"/>
      <c r="D1" s="290"/>
      <c r="E1" s="290"/>
      <c r="F1" s="290"/>
      <c r="G1" s="290"/>
      <c r="H1" s="290"/>
      <c r="I1" s="290"/>
      <c r="J1" s="290"/>
      <c r="K1" s="290"/>
      <c r="L1" s="290"/>
      <c r="M1" s="290"/>
      <c r="N1" s="290"/>
      <c r="O1" s="3"/>
      <c r="P1" s="291" t="s">
        <v>7949</v>
      </c>
      <c r="Q1" s="292"/>
      <c r="R1" s="293"/>
      <c r="S1" s="293"/>
      <c r="T1" s="293"/>
      <c r="U1" s="293"/>
      <c r="V1" s="294"/>
      <c r="X1" s="295"/>
      <c r="Y1" s="296" t="s">
        <v>7950</v>
      </c>
      <c r="Z1" s="296"/>
      <c r="AA1" s="296"/>
      <c r="AB1" s="295"/>
      <c r="AD1" s="295"/>
      <c r="AE1" s="297" t="s">
        <v>10025</v>
      </c>
      <c r="AF1" s="295"/>
    </row>
    <row r="2" spans="8:8" ht="25.7" customHeight="1">
      <c r="A2" s="298"/>
      <c r="B2" s="298"/>
      <c r="C2" s="298"/>
      <c r="D2" s="298"/>
      <c r="E2" s="298"/>
      <c r="F2" s="298"/>
      <c r="G2" s="298"/>
      <c r="H2" s="298"/>
      <c r="I2" s="298"/>
      <c r="J2" s="298"/>
      <c r="K2" s="298"/>
      <c r="L2" s="298"/>
      <c r="M2" s="298"/>
      <c r="N2" s="298"/>
      <c r="O2" s="3"/>
      <c r="P2" s="299"/>
      <c r="Q2" s="300"/>
      <c r="R2" s="298"/>
      <c r="S2" s="298"/>
      <c r="T2" s="298"/>
      <c r="U2" s="298"/>
      <c r="V2" s="301"/>
      <c r="X2" s="295"/>
      <c r="Y2" s="302" t="s">
        <v>7951</v>
      </c>
      <c r="Z2" s="302" t="s">
        <v>7952</v>
      </c>
      <c r="AA2" s="302" t="s">
        <v>7953</v>
      </c>
      <c r="AB2" s="295"/>
      <c r="AD2" s="295"/>
      <c r="AE2" s="303" t="s">
        <v>10081</v>
      </c>
      <c r="AF2" s="295"/>
    </row>
    <row r="3" spans="8:8" ht="20.95">
      <c r="A3" s="304"/>
      <c r="B3" s="305" t="s">
        <v>7954</v>
      </c>
      <c r="C3" s="306"/>
      <c r="D3" s="306"/>
      <c r="E3" s="306"/>
      <c r="F3" s="306"/>
      <c r="G3" s="306"/>
      <c r="H3" s="306"/>
      <c r="I3" s="306"/>
      <c r="J3" s="306"/>
      <c r="K3" s="306"/>
      <c r="L3" s="306"/>
      <c r="M3" s="307"/>
      <c r="N3" s="304"/>
      <c r="O3" s="3"/>
      <c r="P3" s="308"/>
      <c r="Q3" s="309" t="s">
        <v>7955</v>
      </c>
      <c r="R3" s="310"/>
      <c r="S3" s="310"/>
      <c r="T3" s="310"/>
      <c r="U3" s="310"/>
      <c r="V3" s="308"/>
      <c r="X3" s="295"/>
      <c r="Y3" s="311" t="s">
        <v>7956</v>
      </c>
      <c r="Z3" s="312" t="s">
        <v>7957</v>
      </c>
      <c r="AA3" s="311" t="s">
        <v>7958</v>
      </c>
      <c r="AB3" s="295"/>
      <c r="AD3" s="295"/>
      <c r="AE3" s="313" t="s">
        <v>10024</v>
      </c>
      <c r="AF3" s="314"/>
    </row>
    <row r="4" spans="8:8">
      <c r="A4" s="304"/>
      <c r="B4" s="315" t="s">
        <v>7959</v>
      </c>
      <c r="C4" s="316"/>
      <c r="D4" s="316"/>
      <c r="E4" s="316"/>
      <c r="F4" s="316"/>
      <c r="G4" s="316"/>
      <c r="H4" s="316"/>
      <c r="I4" s="316"/>
      <c r="J4" s="316"/>
      <c r="K4" s="316"/>
      <c r="L4" s="316"/>
      <c r="M4" s="317"/>
      <c r="N4" s="304"/>
      <c r="O4" s="3"/>
      <c r="P4" s="308"/>
      <c r="Q4" s="318" t="s">
        <v>7960</v>
      </c>
      <c r="R4" s="319"/>
      <c r="S4" s="320"/>
      <c r="T4" s="319"/>
      <c r="U4" s="320"/>
      <c r="V4" s="308"/>
      <c r="X4" s="295"/>
      <c r="Y4" s="312" t="s">
        <v>7961</v>
      </c>
      <c r="Z4" s="311" t="s">
        <v>7962</v>
      </c>
      <c r="AA4" s="312" t="s">
        <v>7963</v>
      </c>
      <c r="AB4" s="295"/>
      <c r="AD4" s="295"/>
      <c r="AE4" s="313" t="s">
        <v>10042</v>
      </c>
      <c r="AF4" s="314"/>
    </row>
    <row r="5" spans="8:8">
      <c r="A5" s="295"/>
      <c r="B5" s="321"/>
      <c r="C5" s="322"/>
      <c r="D5" s="321"/>
      <c r="E5" s="322"/>
      <c r="F5" s="321"/>
      <c r="G5" s="322"/>
      <c r="H5" s="321"/>
      <c r="I5" s="322"/>
      <c r="J5" s="321"/>
      <c r="K5" s="322"/>
      <c r="L5" s="321"/>
      <c r="M5" s="322"/>
      <c r="N5" s="295"/>
      <c r="O5" s="3"/>
      <c r="P5" s="308"/>
      <c r="Q5" s="323" t="s">
        <v>7964</v>
      </c>
      <c r="R5" s="320"/>
      <c r="S5" s="319"/>
      <c r="T5" s="320"/>
      <c r="U5" s="319"/>
      <c r="V5" s="308"/>
      <c r="X5" s="295"/>
      <c r="Y5" s="311" t="s">
        <v>7965</v>
      </c>
      <c r="Z5" s="312" t="s">
        <v>7966</v>
      </c>
      <c r="AA5" s="311" t="s">
        <v>7967</v>
      </c>
      <c r="AB5" s="295"/>
      <c r="AD5" s="295"/>
      <c r="AE5" s="313" t="s">
        <v>10043</v>
      </c>
      <c r="AF5" s="314"/>
    </row>
    <row r="6" spans="8:8">
      <c r="A6" s="295"/>
      <c r="B6" s="324" t="s">
        <v>7968</v>
      </c>
      <c r="C6" s="324" t="s">
        <v>7969</v>
      </c>
      <c r="D6" s="324" t="s">
        <v>5397</v>
      </c>
      <c r="E6" s="324" t="s">
        <v>7970</v>
      </c>
      <c r="F6" s="324" t="s">
        <v>7971</v>
      </c>
      <c r="G6" s="325" t="s">
        <v>7972</v>
      </c>
      <c r="H6" s="324" t="s">
        <v>7968</v>
      </c>
      <c r="I6" s="324" t="s">
        <v>7969</v>
      </c>
      <c r="J6" s="324" t="s">
        <v>5397</v>
      </c>
      <c r="K6" s="324" t="s">
        <v>7970</v>
      </c>
      <c r="L6" s="324" t="s">
        <v>7971</v>
      </c>
      <c r="M6" s="325" t="s">
        <v>7972</v>
      </c>
      <c r="N6" s="295"/>
      <c r="O6" s="3"/>
      <c r="P6" s="308"/>
      <c r="Q6" s="318" t="s">
        <v>7973</v>
      </c>
      <c r="R6" s="319"/>
      <c r="S6" s="320"/>
      <c r="T6" s="319"/>
      <c r="U6" s="320"/>
      <c r="V6" s="308"/>
      <c r="X6" s="295"/>
      <c r="Y6" s="312" t="s">
        <v>7974</v>
      </c>
      <c r="Z6" s="311" t="s">
        <v>7975</v>
      </c>
      <c r="AA6" s="312" t="s">
        <v>7976</v>
      </c>
      <c r="AB6" s="295"/>
      <c r="AD6" s="295"/>
      <c r="AE6" s="326" t="s">
        <v>9940</v>
      </c>
      <c r="AF6" s="295"/>
    </row>
    <row r="7" spans="8:8">
      <c r="A7" s="295"/>
      <c r="B7" s="311" t="s">
        <v>7977</v>
      </c>
      <c r="C7" s="312" t="s">
        <v>7978</v>
      </c>
      <c r="D7" s="311">
        <v>20.0</v>
      </c>
      <c r="E7" s="312" t="s">
        <v>7979</v>
      </c>
      <c r="F7" s="311" t="s">
        <v>7980</v>
      </c>
      <c r="G7" s="327" t="s">
        <v>7972</v>
      </c>
      <c r="H7" s="311" t="s">
        <v>7981</v>
      </c>
      <c r="I7" s="312" t="s">
        <v>7982</v>
      </c>
      <c r="J7" s="311">
        <v>466.0</v>
      </c>
      <c r="K7" s="312" t="s">
        <v>7983</v>
      </c>
      <c r="L7" s="311" t="s">
        <v>7984</v>
      </c>
      <c r="M7" s="327" t="s">
        <v>7972</v>
      </c>
      <c r="N7" s="295"/>
      <c r="O7" s="3"/>
      <c r="P7" s="308"/>
      <c r="Q7" s="323" t="s">
        <v>7985</v>
      </c>
      <c r="R7" s="320"/>
      <c r="S7" s="319"/>
      <c r="T7" s="320"/>
      <c r="U7" s="319"/>
      <c r="V7" s="308"/>
      <c r="X7" s="295"/>
      <c r="Y7" s="311" t="s">
        <v>7986</v>
      </c>
      <c r="Z7" s="312" t="s">
        <v>7987</v>
      </c>
      <c r="AA7" s="328" t="s">
        <v>7988</v>
      </c>
      <c r="AB7" s="295"/>
      <c r="AD7" s="295"/>
      <c r="AE7" s="329" t="s">
        <v>9941</v>
      </c>
      <c r="AF7" s="295"/>
    </row>
    <row r="8" spans="8:8">
      <c r="A8" s="295"/>
      <c r="B8" s="312" t="s">
        <v>7989</v>
      </c>
      <c r="C8" s="311" t="s">
        <v>7990</v>
      </c>
      <c r="D8" s="312">
        <v>784.0</v>
      </c>
      <c r="E8" s="311" t="s">
        <v>7991</v>
      </c>
      <c r="F8" s="312" t="s">
        <v>7992</v>
      </c>
      <c r="G8" s="327" t="s">
        <v>7972</v>
      </c>
      <c r="H8" s="312" t="s">
        <v>7993</v>
      </c>
      <c r="I8" s="311" t="s">
        <v>7994</v>
      </c>
      <c r="J8" s="312">
        <v>104.0</v>
      </c>
      <c r="K8" s="311" t="s">
        <v>7995</v>
      </c>
      <c r="L8" s="312" t="s">
        <v>7996</v>
      </c>
      <c r="M8" s="327" t="s">
        <v>7972</v>
      </c>
      <c r="N8" s="295"/>
      <c r="O8" s="3"/>
      <c r="P8" s="330"/>
      <c r="Q8" s="331" t="s">
        <v>7997</v>
      </c>
      <c r="R8" s="332"/>
      <c r="S8" s="333"/>
      <c r="T8" s="332"/>
      <c r="U8" s="333"/>
      <c r="V8" s="330"/>
      <c r="X8" s="295"/>
      <c r="Y8" s="312" t="s">
        <v>7998</v>
      </c>
      <c r="Z8" s="311" t="s">
        <v>7999</v>
      </c>
      <c r="AA8" s="334" t="s">
        <v>7988</v>
      </c>
      <c r="AB8" s="295"/>
      <c r="AD8" s="295"/>
      <c r="AE8" s="335"/>
      <c r="AF8" s="295"/>
    </row>
    <row r="9" spans="8:8">
      <c r="A9" s="295"/>
      <c r="B9" s="311" t="s">
        <v>8000</v>
      </c>
      <c r="C9" s="312" t="s">
        <v>8001</v>
      </c>
      <c r="D9" s="311">
        <v>4.0</v>
      </c>
      <c r="E9" s="312" t="s">
        <v>8002</v>
      </c>
      <c r="F9" s="311" t="s">
        <v>8003</v>
      </c>
      <c r="G9" s="327" t="s">
        <v>7972</v>
      </c>
      <c r="H9" s="311" t="s">
        <v>8004</v>
      </c>
      <c r="I9" s="312" t="s">
        <v>8005</v>
      </c>
      <c r="J9" s="311">
        <v>496.0</v>
      </c>
      <c r="K9" s="312" t="s">
        <v>8006</v>
      </c>
      <c r="L9" s="311" t="s">
        <v>8007</v>
      </c>
      <c r="M9" s="327" t="s">
        <v>7972</v>
      </c>
      <c r="N9" s="295"/>
      <c r="O9" s="3"/>
      <c r="P9" s="330"/>
      <c r="Q9" s="336" t="s">
        <v>8008</v>
      </c>
      <c r="R9" s="333"/>
      <c r="S9" s="332"/>
      <c r="T9" s="333"/>
      <c r="U9" s="332"/>
      <c r="V9" s="330"/>
      <c r="X9" s="295"/>
      <c r="Y9" s="311" t="s">
        <v>8009</v>
      </c>
      <c r="Z9" s="312" t="s">
        <v>8010</v>
      </c>
      <c r="AA9" s="311" t="s">
        <v>8011</v>
      </c>
      <c r="AB9" s="295"/>
      <c r="AD9" s="295"/>
      <c r="AE9" s="329" t="s">
        <v>9942</v>
      </c>
      <c r="AF9" s="295"/>
    </row>
    <row r="10" spans="8:8">
      <c r="A10" s="295"/>
      <c r="B10" s="312" t="s">
        <v>8012</v>
      </c>
      <c r="C10" s="311" t="s">
        <v>8013</v>
      </c>
      <c r="D10" s="312">
        <v>28.0</v>
      </c>
      <c r="E10" s="311" t="s">
        <v>8014</v>
      </c>
      <c r="F10" s="312" t="s">
        <v>8015</v>
      </c>
      <c r="G10" s="327" t="s">
        <v>7972</v>
      </c>
      <c r="H10" s="312" t="s">
        <v>8016</v>
      </c>
      <c r="I10" s="311" t="s">
        <v>8017</v>
      </c>
      <c r="J10" s="312">
        <v>446.0</v>
      </c>
      <c r="K10" s="311" t="s">
        <v>8018</v>
      </c>
      <c r="L10" s="312" t="s">
        <v>8019</v>
      </c>
      <c r="M10" s="327" t="s">
        <v>7972</v>
      </c>
      <c r="N10" s="295"/>
      <c r="O10" s="3"/>
      <c r="P10" s="330"/>
      <c r="Q10" s="331" t="s">
        <v>8020</v>
      </c>
      <c r="R10" s="332"/>
      <c r="S10" s="333"/>
      <c r="T10" s="332"/>
      <c r="U10" s="333"/>
      <c r="V10" s="330"/>
      <c r="X10" s="295"/>
      <c r="Y10" s="312" t="s">
        <v>8021</v>
      </c>
      <c r="Z10" s="311" t="s">
        <v>8022</v>
      </c>
      <c r="AA10" s="312" t="s">
        <v>8023</v>
      </c>
      <c r="AB10" s="295"/>
      <c r="AD10" s="295"/>
      <c r="AE10" s="326" t="s">
        <v>9943</v>
      </c>
      <c r="AF10" s="295"/>
    </row>
    <row r="11" spans="8:8">
      <c r="A11" s="295"/>
      <c r="B11" s="311" t="s">
        <v>2000</v>
      </c>
      <c r="C11" s="312" t="s">
        <v>8024</v>
      </c>
      <c r="D11" s="311">
        <v>660.0</v>
      </c>
      <c r="E11" s="312" t="s">
        <v>8025</v>
      </c>
      <c r="F11" s="311" t="s">
        <v>8026</v>
      </c>
      <c r="G11" s="327" t="s">
        <v>7972</v>
      </c>
      <c r="H11" s="311" t="s">
        <v>8027</v>
      </c>
      <c r="I11" s="312" t="s">
        <v>8028</v>
      </c>
      <c r="J11" s="311">
        <v>580.0</v>
      </c>
      <c r="K11" s="312" t="s">
        <v>8029</v>
      </c>
      <c r="L11" s="311" t="s">
        <v>8030</v>
      </c>
      <c r="M11" s="327" t="s">
        <v>7972</v>
      </c>
      <c r="N11" s="295"/>
      <c r="O11" s="3"/>
      <c r="P11" s="330"/>
      <c r="Q11" s="322"/>
      <c r="R11" s="333"/>
      <c r="S11" s="332"/>
      <c r="T11" s="333"/>
      <c r="U11" s="332"/>
      <c r="V11" s="330"/>
      <c r="X11" s="295"/>
      <c r="Y11" s="311" t="s">
        <v>8031</v>
      </c>
      <c r="Z11" s="312" t="s">
        <v>8032</v>
      </c>
      <c r="AA11" s="311" t="s">
        <v>8033</v>
      </c>
      <c r="AB11" s="295"/>
      <c r="AD11" s="295"/>
      <c r="AE11" s="335"/>
      <c r="AF11" s="295"/>
    </row>
    <row r="12" spans="8:8" ht="25.3">
      <c r="A12" s="295"/>
      <c r="B12" s="312" t="s">
        <v>8034</v>
      </c>
      <c r="C12" s="311" t="s">
        <v>8035</v>
      </c>
      <c r="D12" s="312">
        <v>8.0</v>
      </c>
      <c r="E12" s="311" t="s">
        <v>8036</v>
      </c>
      <c r="F12" s="312" t="s">
        <v>8037</v>
      </c>
      <c r="G12" s="327" t="s">
        <v>7972</v>
      </c>
      <c r="H12" s="312" t="s">
        <v>8038</v>
      </c>
      <c r="I12" s="311" t="s">
        <v>8039</v>
      </c>
      <c r="J12" s="312">
        <v>474.0</v>
      </c>
      <c r="K12" s="311" t="s">
        <v>8040</v>
      </c>
      <c r="L12" s="312" t="s">
        <v>8041</v>
      </c>
      <c r="M12" s="327" t="s">
        <v>7972</v>
      </c>
      <c r="N12" s="295"/>
      <c r="O12" s="3"/>
      <c r="P12" s="330"/>
      <c r="Q12" s="337" t="s">
        <v>8042</v>
      </c>
      <c r="R12" s="338"/>
      <c r="S12" s="338"/>
      <c r="T12" s="338"/>
      <c r="U12" s="338"/>
      <c r="V12" s="330"/>
      <c r="X12" s="295"/>
      <c r="Y12" s="312" t="s">
        <v>8043</v>
      </c>
      <c r="Z12" s="311" t="s">
        <v>8044</v>
      </c>
      <c r="AA12" s="312" t="s">
        <v>8045</v>
      </c>
      <c r="AB12" s="295"/>
      <c r="AD12" s="295"/>
      <c r="AE12" s="326" t="s">
        <v>9944</v>
      </c>
      <c r="AF12" s="295"/>
    </row>
    <row r="13" spans="8:8">
      <c r="A13" s="295"/>
      <c r="B13" s="311" t="s">
        <v>8046</v>
      </c>
      <c r="C13" s="312" t="s">
        <v>8047</v>
      </c>
      <c r="D13" s="311">
        <v>51.0</v>
      </c>
      <c r="E13" s="312" t="s">
        <v>8048</v>
      </c>
      <c r="F13" s="311" t="s">
        <v>8049</v>
      </c>
      <c r="G13" s="327" t="s">
        <v>7972</v>
      </c>
      <c r="H13" s="311" t="s">
        <v>8050</v>
      </c>
      <c r="I13" s="312" t="s">
        <v>8051</v>
      </c>
      <c r="J13" s="311">
        <v>478.0</v>
      </c>
      <c r="K13" s="312" t="s">
        <v>8052</v>
      </c>
      <c r="L13" s="311" t="s">
        <v>8053</v>
      </c>
      <c r="M13" s="327" t="s">
        <v>7972</v>
      </c>
      <c r="N13" s="295"/>
      <c r="O13" s="3"/>
      <c r="P13" s="330"/>
      <c r="Q13" s="336" t="s">
        <v>8054</v>
      </c>
      <c r="R13" s="339"/>
      <c r="S13" s="340" t="s">
        <v>8055</v>
      </c>
      <c r="T13" s="339"/>
      <c r="U13" s="340" t="s">
        <v>8056</v>
      </c>
      <c r="V13" s="330"/>
      <c r="X13" s="295"/>
      <c r="Y13" s="311" t="s">
        <v>8057</v>
      </c>
      <c r="Z13" s="312" t="s">
        <v>8058</v>
      </c>
      <c r="AA13" s="328" t="s">
        <v>7988</v>
      </c>
      <c r="AB13" s="295"/>
      <c r="AD13" s="295"/>
      <c r="AE13" s="329" t="s">
        <v>9945</v>
      </c>
      <c r="AF13" s="295"/>
    </row>
    <row r="14" spans="8:8">
      <c r="A14" s="295"/>
      <c r="B14" s="312" t="s">
        <v>8059</v>
      </c>
      <c r="C14" s="311" t="s">
        <v>8060</v>
      </c>
      <c r="D14" s="312">
        <v>24.0</v>
      </c>
      <c r="E14" s="311" t="s">
        <v>8061</v>
      </c>
      <c r="F14" s="312" t="s">
        <v>8062</v>
      </c>
      <c r="G14" s="327" t="s">
        <v>7972</v>
      </c>
      <c r="H14" s="312" t="s">
        <v>8063</v>
      </c>
      <c r="I14" s="311" t="s">
        <v>8064</v>
      </c>
      <c r="J14" s="312">
        <v>500.0</v>
      </c>
      <c r="K14" s="311" t="s">
        <v>8065</v>
      </c>
      <c r="L14" s="312" t="s">
        <v>8066</v>
      </c>
      <c r="M14" s="327" t="s">
        <v>7972</v>
      </c>
      <c r="N14" s="295"/>
      <c r="O14" s="3"/>
      <c r="P14" s="330"/>
      <c r="Q14" s="311" t="s">
        <v>8067</v>
      </c>
      <c r="R14" s="341"/>
      <c r="S14" s="342" t="s">
        <v>8068</v>
      </c>
      <c r="T14" s="341"/>
      <c r="U14" s="342" t="s">
        <v>8069</v>
      </c>
      <c r="V14" s="330"/>
      <c r="X14" s="295"/>
      <c r="Y14" s="312" t="s">
        <v>8070</v>
      </c>
      <c r="Z14" s="311" t="s">
        <v>8071</v>
      </c>
      <c r="AA14" s="334" t="s">
        <v>7988</v>
      </c>
      <c r="AB14" s="295"/>
      <c r="AD14" s="295"/>
      <c r="AE14" s="335"/>
      <c r="AF14" s="295"/>
    </row>
    <row r="15" spans="8:8">
      <c r="A15" s="295"/>
      <c r="B15" s="311" t="s">
        <v>8072</v>
      </c>
      <c r="C15" s="312" t="s">
        <v>8073</v>
      </c>
      <c r="D15" s="311">
        <v>10.0</v>
      </c>
      <c r="E15" s="312" t="s">
        <v>8074</v>
      </c>
      <c r="F15" s="311" t="s">
        <v>8075</v>
      </c>
      <c r="G15" s="327" t="s">
        <v>7972</v>
      </c>
      <c r="H15" s="311" t="s">
        <v>8076</v>
      </c>
      <c r="I15" s="312" t="s">
        <v>8077</v>
      </c>
      <c r="J15" s="311">
        <v>470.0</v>
      </c>
      <c r="K15" s="312" t="s">
        <v>8078</v>
      </c>
      <c r="L15" s="311" t="s">
        <v>8079</v>
      </c>
      <c r="M15" s="327" t="s">
        <v>7972</v>
      </c>
      <c r="N15" s="295"/>
      <c r="O15" s="3"/>
      <c r="P15" s="330"/>
      <c r="Q15" s="336" t="s">
        <v>8080</v>
      </c>
      <c r="R15" s="339"/>
      <c r="S15" s="340"/>
      <c r="T15" s="339"/>
      <c r="U15" s="340" t="s">
        <v>8081</v>
      </c>
      <c r="V15" s="330"/>
      <c r="X15" s="295"/>
      <c r="Y15" s="311" t="s">
        <v>8082</v>
      </c>
      <c r="Z15" s="312" t="s">
        <v>8083</v>
      </c>
      <c r="AA15" s="328" t="s">
        <v>7988</v>
      </c>
      <c r="AB15" s="295"/>
      <c r="AD15" s="295"/>
      <c r="AE15" s="329" t="s">
        <v>9946</v>
      </c>
      <c r="AF15" s="295"/>
    </row>
    <row r="16" spans="8:8">
      <c r="A16" s="295"/>
      <c r="B16" s="312" t="s">
        <v>8084</v>
      </c>
      <c r="C16" s="311" t="s">
        <v>8085</v>
      </c>
      <c r="D16" s="312">
        <v>32.0</v>
      </c>
      <c r="E16" s="311" t="s">
        <v>8086</v>
      </c>
      <c r="F16" s="312" t="s">
        <v>8087</v>
      </c>
      <c r="G16" s="327" t="s">
        <v>7972</v>
      </c>
      <c r="H16" s="312" t="s">
        <v>8088</v>
      </c>
      <c r="I16" s="311" t="s">
        <v>8089</v>
      </c>
      <c r="J16" s="312">
        <v>480.0</v>
      </c>
      <c r="K16" s="311" t="s">
        <v>8090</v>
      </c>
      <c r="L16" s="312" t="s">
        <v>8091</v>
      </c>
      <c r="M16" s="327" t="s">
        <v>7972</v>
      </c>
      <c r="N16" s="295"/>
      <c r="O16" s="3"/>
      <c r="P16" s="330"/>
      <c r="Q16" s="311" t="s">
        <v>8092</v>
      </c>
      <c r="R16" s="341"/>
      <c r="S16" s="342"/>
      <c r="T16" s="341"/>
      <c r="U16" s="342" t="s">
        <v>8093</v>
      </c>
      <c r="V16" s="330"/>
      <c r="X16" s="295"/>
      <c r="Y16" s="312" t="s">
        <v>8094</v>
      </c>
      <c r="Z16" s="311" t="s">
        <v>8095</v>
      </c>
      <c r="AA16" s="334" t="s">
        <v>7988</v>
      </c>
      <c r="AB16" s="295"/>
      <c r="AD16" s="295"/>
      <c r="AE16" s="326" t="s">
        <v>9947</v>
      </c>
      <c r="AF16" s="295"/>
    </row>
    <row r="17" spans="8:8">
      <c r="A17" s="295"/>
      <c r="B17" s="311" t="s">
        <v>8096</v>
      </c>
      <c r="C17" s="312" t="s">
        <v>8097</v>
      </c>
      <c r="D17" s="311">
        <v>16.0</v>
      </c>
      <c r="E17" s="312" t="s">
        <v>8098</v>
      </c>
      <c r="F17" s="311" t="s">
        <v>8099</v>
      </c>
      <c r="G17" s="327" t="s">
        <v>7972</v>
      </c>
      <c r="H17" s="311" t="s">
        <v>8100</v>
      </c>
      <c r="I17" s="312" t="s">
        <v>8101</v>
      </c>
      <c r="J17" s="311">
        <v>462.0</v>
      </c>
      <c r="K17" s="312" t="s">
        <v>8102</v>
      </c>
      <c r="L17" s="311" t="s">
        <v>8103</v>
      </c>
      <c r="M17" s="327" t="s">
        <v>7972</v>
      </c>
      <c r="N17" s="295"/>
      <c r="O17" s="3"/>
      <c r="P17" s="330"/>
      <c r="Q17" s="312"/>
      <c r="R17" s="342"/>
      <c r="S17" s="341"/>
      <c r="T17" s="342"/>
      <c r="U17" s="341"/>
      <c r="V17" s="330"/>
      <c r="X17" s="295"/>
      <c r="Y17" s="311" t="s">
        <v>8104</v>
      </c>
      <c r="Z17" s="312" t="s">
        <v>8105</v>
      </c>
      <c r="AA17" s="328" t="s">
        <v>7988</v>
      </c>
      <c r="AB17" s="295"/>
      <c r="AD17" s="295"/>
      <c r="AE17" s="335"/>
      <c r="AF17" s="295"/>
    </row>
    <row r="18" spans="8:8" ht="20.95">
      <c r="A18" s="295"/>
      <c r="B18" s="312" t="s">
        <v>8106</v>
      </c>
      <c r="C18" s="311" t="s">
        <v>8107</v>
      </c>
      <c r="D18" s="312">
        <v>40.0</v>
      </c>
      <c r="E18" s="311" t="s">
        <v>8108</v>
      </c>
      <c r="F18" s="312" t="s">
        <v>8109</v>
      </c>
      <c r="G18" s="327" t="s">
        <v>7972</v>
      </c>
      <c r="H18" s="312" t="s">
        <v>8110</v>
      </c>
      <c r="I18" s="311" t="s">
        <v>8111</v>
      </c>
      <c r="J18" s="312">
        <v>454.0</v>
      </c>
      <c r="K18" s="311" t="s">
        <v>8112</v>
      </c>
      <c r="L18" s="312" t="s">
        <v>8113</v>
      </c>
      <c r="M18" s="327" t="s">
        <v>7972</v>
      </c>
      <c r="N18" s="295"/>
      <c r="O18" s="3"/>
      <c r="P18" s="330"/>
      <c r="Q18" s="337" t="s">
        <v>8114</v>
      </c>
      <c r="R18" s="343"/>
      <c r="S18" s="343"/>
      <c r="T18" s="343"/>
      <c r="U18" s="343"/>
      <c r="V18" s="330"/>
      <c r="X18" s="295"/>
      <c r="Y18" s="312" t="s">
        <v>8115</v>
      </c>
      <c r="Z18" s="311" t="s">
        <v>8116</v>
      </c>
      <c r="AA18" s="334" t="s">
        <v>7988</v>
      </c>
      <c r="AB18" s="295"/>
      <c r="AD18" s="295"/>
      <c r="AE18" s="326" t="s">
        <v>9948</v>
      </c>
      <c r="AF18" s="295"/>
    </row>
    <row r="19" spans="8:8">
      <c r="A19" s="295"/>
      <c r="B19" s="311" t="s">
        <v>8117</v>
      </c>
      <c r="C19" s="312" t="s">
        <v>8118</v>
      </c>
      <c r="D19" s="311">
        <v>36.0</v>
      </c>
      <c r="E19" s="312" t="s">
        <v>8119</v>
      </c>
      <c r="F19" s="311" t="s">
        <v>8120</v>
      </c>
      <c r="G19" s="327" t="s">
        <v>7972</v>
      </c>
      <c r="H19" s="311" t="s">
        <v>8121</v>
      </c>
      <c r="I19" s="312" t="s">
        <v>8122</v>
      </c>
      <c r="J19" s="311">
        <v>484.0</v>
      </c>
      <c r="K19" s="312" t="s">
        <v>8123</v>
      </c>
      <c r="L19" s="311" t="s">
        <v>8124</v>
      </c>
      <c r="M19" s="327" t="s">
        <v>7972</v>
      </c>
      <c r="N19" s="295"/>
      <c r="O19" s="3"/>
      <c r="P19" s="330"/>
      <c r="Q19" s="336" t="s">
        <v>8125</v>
      </c>
      <c r="R19" s="333"/>
      <c r="S19" s="332"/>
      <c r="T19" s="333"/>
      <c r="U19" s="332"/>
      <c r="V19" s="330"/>
      <c r="X19" s="295"/>
      <c r="Y19" s="311" t="s">
        <v>8126</v>
      </c>
      <c r="Z19" s="312" t="s">
        <v>8127</v>
      </c>
      <c r="AA19" s="328" t="s">
        <v>7988</v>
      </c>
      <c r="AB19" s="295"/>
      <c r="AD19" s="295"/>
      <c r="AE19" s="329" t="s">
        <v>9949</v>
      </c>
      <c r="AF19" s="295"/>
    </row>
    <row r="20" spans="8:8">
      <c r="A20" s="295"/>
      <c r="B20" s="312" t="s">
        <v>8128</v>
      </c>
      <c r="C20" s="311" t="s">
        <v>8129</v>
      </c>
      <c r="D20" s="312">
        <v>533.0</v>
      </c>
      <c r="E20" s="311" t="s">
        <v>8130</v>
      </c>
      <c r="F20" s="312" t="s">
        <v>8131</v>
      </c>
      <c r="G20" s="327" t="s">
        <v>7972</v>
      </c>
      <c r="H20" s="312" t="s">
        <v>8132</v>
      </c>
      <c r="I20" s="311" t="s">
        <v>8133</v>
      </c>
      <c r="J20" s="312">
        <v>458.0</v>
      </c>
      <c r="K20" s="311" t="s">
        <v>8134</v>
      </c>
      <c r="L20" s="312" t="s">
        <v>8135</v>
      </c>
      <c r="M20" s="327" t="s">
        <v>7972</v>
      </c>
      <c r="N20" s="295"/>
      <c r="O20" s="3"/>
      <c r="P20" s="330"/>
      <c r="Q20" s="311" t="s">
        <v>8136</v>
      </c>
      <c r="R20" s="332"/>
      <c r="S20" s="333"/>
      <c r="T20" s="332"/>
      <c r="U20" s="333"/>
      <c r="V20" s="330"/>
      <c r="X20" s="295"/>
      <c r="Y20" s="312" t="s">
        <v>8137</v>
      </c>
      <c r="Z20" s="311" t="s">
        <v>8138</v>
      </c>
      <c r="AA20" s="334" t="s">
        <v>7988</v>
      </c>
      <c r="AB20" s="295"/>
      <c r="AD20" s="295"/>
      <c r="AE20" s="335"/>
      <c r="AF20" s="295"/>
    </row>
    <row r="21" spans="8:8">
      <c r="A21" s="295"/>
      <c r="B21" s="311" t="s">
        <v>8139</v>
      </c>
      <c r="C21" s="312" t="s">
        <v>8140</v>
      </c>
      <c r="D21" s="311">
        <v>248.0</v>
      </c>
      <c r="E21" s="312" t="s">
        <v>8141</v>
      </c>
      <c r="F21" s="311" t="s">
        <v>8142</v>
      </c>
      <c r="G21" s="327" t="s">
        <v>7972</v>
      </c>
      <c r="H21" s="311" t="s">
        <v>8143</v>
      </c>
      <c r="I21" s="312" t="s">
        <v>8144</v>
      </c>
      <c r="J21" s="311">
        <v>508.0</v>
      </c>
      <c r="K21" s="312" t="s">
        <v>8145</v>
      </c>
      <c r="L21" s="311" t="s">
        <v>8146</v>
      </c>
      <c r="M21" s="327" t="s">
        <v>7972</v>
      </c>
      <c r="N21" s="295"/>
      <c r="O21" s="3"/>
      <c r="P21" s="330"/>
      <c r="Q21" s="312" t="s">
        <v>8147</v>
      </c>
      <c r="R21" s="333"/>
      <c r="S21" s="332"/>
      <c r="T21" s="333"/>
      <c r="U21" s="332"/>
      <c r="V21" s="330"/>
      <c r="X21" s="295"/>
      <c r="Y21" s="311" t="s">
        <v>8148</v>
      </c>
      <c r="Z21" s="312" t="s">
        <v>8149</v>
      </c>
      <c r="AA21" s="328" t="s">
        <v>7988</v>
      </c>
      <c r="AB21" s="295"/>
      <c r="AD21" s="295"/>
      <c r="AE21" s="329" t="s">
        <v>9950</v>
      </c>
      <c r="AF21" s="295"/>
    </row>
    <row r="22" spans="8:8">
      <c r="A22" s="295"/>
      <c r="B22" s="312" t="s">
        <v>8150</v>
      </c>
      <c r="C22" s="311" t="s">
        <v>8151</v>
      </c>
      <c r="D22" s="312">
        <v>31.0</v>
      </c>
      <c r="E22" s="311" t="s">
        <v>8152</v>
      </c>
      <c r="F22" s="312" t="s">
        <v>8153</v>
      </c>
      <c r="G22" s="327" t="s">
        <v>7972</v>
      </c>
      <c r="H22" s="312" t="s">
        <v>8154</v>
      </c>
      <c r="I22" s="311" t="s">
        <v>8155</v>
      </c>
      <c r="J22" s="312">
        <v>516.0</v>
      </c>
      <c r="K22" s="311" t="s">
        <v>8156</v>
      </c>
      <c r="L22" s="312" t="s">
        <v>8157</v>
      </c>
      <c r="M22" s="327" t="s">
        <v>7972</v>
      </c>
      <c r="N22" s="295"/>
      <c r="O22" s="3"/>
      <c r="P22" s="330"/>
      <c r="Q22" s="311" t="s">
        <v>8158</v>
      </c>
      <c r="R22" s="332"/>
      <c r="S22" s="333"/>
      <c r="T22" s="332"/>
      <c r="U22" s="333"/>
      <c r="V22" s="330"/>
      <c r="X22" s="295"/>
      <c r="Y22" s="312" t="s">
        <v>8159</v>
      </c>
      <c r="Z22" s="311" t="s">
        <v>8160</v>
      </c>
      <c r="AA22" s="334" t="s">
        <v>7988</v>
      </c>
      <c r="AB22" s="295"/>
      <c r="AD22" s="295"/>
      <c r="AE22" s="326" t="s">
        <v>9951</v>
      </c>
      <c r="AF22" s="295"/>
    </row>
    <row r="23" spans="8:8">
      <c r="A23" s="295"/>
      <c r="B23" s="311" t="s">
        <v>8161</v>
      </c>
      <c r="C23" s="312" t="s">
        <v>8162</v>
      </c>
      <c r="D23" s="311">
        <v>70.0</v>
      </c>
      <c r="E23" s="312" t="s">
        <v>8163</v>
      </c>
      <c r="F23" s="311" t="s">
        <v>8164</v>
      </c>
      <c r="G23" s="327" t="s">
        <v>7972</v>
      </c>
      <c r="H23" s="311" t="s">
        <v>8165</v>
      </c>
      <c r="I23" s="312" t="s">
        <v>8166</v>
      </c>
      <c r="J23" s="311">
        <v>540.0</v>
      </c>
      <c r="K23" s="312" t="s">
        <v>8167</v>
      </c>
      <c r="L23" s="311" t="s">
        <v>8168</v>
      </c>
      <c r="M23" s="327" t="s">
        <v>7972</v>
      </c>
      <c r="N23" s="295"/>
      <c r="O23" s="3"/>
      <c r="P23" s="330"/>
      <c r="Q23" s="312" t="s">
        <v>8169</v>
      </c>
      <c r="R23" s="333"/>
      <c r="S23" s="332"/>
      <c r="T23" s="333"/>
      <c r="U23" s="332"/>
      <c r="V23" s="330"/>
      <c r="X23" s="295"/>
      <c r="Y23" s="311" t="s">
        <v>8170</v>
      </c>
      <c r="Z23" s="312" t="s">
        <v>8171</v>
      </c>
      <c r="AA23" s="328" t="s">
        <v>7988</v>
      </c>
      <c r="AB23" s="295"/>
      <c r="AD23" s="295"/>
      <c r="AE23" s="335"/>
      <c r="AF23" s="295"/>
    </row>
    <row r="24" spans="8:8">
      <c r="A24" s="295"/>
      <c r="B24" s="312" t="s">
        <v>8172</v>
      </c>
      <c r="C24" s="311" t="s">
        <v>8173</v>
      </c>
      <c r="D24" s="312">
        <v>52.0</v>
      </c>
      <c r="E24" s="311" t="s">
        <v>8174</v>
      </c>
      <c r="F24" s="312" t="s">
        <v>8175</v>
      </c>
      <c r="G24" s="327" t="s">
        <v>7972</v>
      </c>
      <c r="H24" s="312" t="s">
        <v>8176</v>
      </c>
      <c r="I24" s="311" t="s">
        <v>8177</v>
      </c>
      <c r="J24" s="312">
        <v>562.0</v>
      </c>
      <c r="K24" s="311" t="s">
        <v>8178</v>
      </c>
      <c r="L24" s="312" t="s">
        <v>8179</v>
      </c>
      <c r="M24" s="327" t="s">
        <v>7972</v>
      </c>
      <c r="N24" s="295"/>
      <c r="O24" s="3"/>
      <c r="P24" s="330"/>
      <c r="Q24" s="311" t="s">
        <v>8180</v>
      </c>
      <c r="R24" s="332"/>
      <c r="S24" s="333"/>
      <c r="T24" s="332"/>
      <c r="U24" s="333"/>
      <c r="V24" s="330"/>
      <c r="X24" s="295"/>
      <c r="Y24" s="312"/>
      <c r="Z24" s="311"/>
      <c r="AA24" s="312"/>
      <c r="AB24" s="295"/>
      <c r="AD24" s="295"/>
      <c r="AE24" s="326" t="s">
        <v>10044</v>
      </c>
      <c r="AF24" s="295"/>
    </row>
    <row r="25" spans="8:8" ht="25.75">
      <c r="A25" s="295"/>
      <c r="B25" s="311" t="s">
        <v>8181</v>
      </c>
      <c r="C25" s="312" t="s">
        <v>8182</v>
      </c>
      <c r="D25" s="311">
        <v>50.0</v>
      </c>
      <c r="E25" s="312" t="s">
        <v>8183</v>
      </c>
      <c r="F25" s="311" t="s">
        <v>8184</v>
      </c>
      <c r="G25" s="327" t="s">
        <v>7972</v>
      </c>
      <c r="H25" s="311" t="s">
        <v>8185</v>
      </c>
      <c r="I25" s="312" t="s">
        <v>8186</v>
      </c>
      <c r="J25" s="311">
        <v>574.0</v>
      </c>
      <c r="K25" s="312" t="s">
        <v>8187</v>
      </c>
      <c r="L25" s="311" t="s">
        <v>8188</v>
      </c>
      <c r="M25" s="327" t="s">
        <v>7972</v>
      </c>
      <c r="N25" s="295"/>
      <c r="O25" s="3"/>
      <c r="P25" s="330"/>
      <c r="Q25" s="312" t="s">
        <v>8189</v>
      </c>
      <c r="R25" s="333"/>
      <c r="S25" s="332"/>
      <c r="T25" s="333"/>
      <c r="U25" s="332"/>
      <c r="V25" s="330"/>
      <c r="X25" s="295"/>
      <c r="Y25" s="344" t="s">
        <v>8190</v>
      </c>
      <c r="Z25" s="345"/>
      <c r="AA25" s="345"/>
      <c r="AB25" s="295"/>
      <c r="AD25" s="295"/>
      <c r="AE25" s="329" t="s">
        <v>9953</v>
      </c>
      <c r="AF25" s="295"/>
    </row>
    <row r="26" spans="8:8">
      <c r="A26" s="295"/>
      <c r="B26" s="312" t="s">
        <v>8191</v>
      </c>
      <c r="C26" s="311" t="s">
        <v>8192</v>
      </c>
      <c r="D26" s="312">
        <v>56.0</v>
      </c>
      <c r="E26" s="311" t="s">
        <v>8193</v>
      </c>
      <c r="F26" s="312" t="s">
        <v>8194</v>
      </c>
      <c r="G26" s="327" t="s">
        <v>7972</v>
      </c>
      <c r="H26" s="312" t="s">
        <v>8195</v>
      </c>
      <c r="I26" s="311" t="s">
        <v>8196</v>
      </c>
      <c r="J26" s="312">
        <v>566.0</v>
      </c>
      <c r="K26" s="311" t="s">
        <v>8197</v>
      </c>
      <c r="L26" s="312" t="s">
        <v>8198</v>
      </c>
      <c r="M26" s="327" t="s">
        <v>7972</v>
      </c>
      <c r="N26" s="295"/>
      <c r="O26" s="3"/>
      <c r="P26" s="330"/>
      <c r="Q26" s="311" t="s">
        <v>8199</v>
      </c>
      <c r="R26" s="332"/>
      <c r="S26" s="333"/>
      <c r="T26" s="332"/>
      <c r="U26" s="333"/>
      <c r="V26" s="330"/>
      <c r="X26" s="295"/>
      <c r="Y26" s="311" t="s">
        <v>8200</v>
      </c>
      <c r="Z26" s="312" t="s">
        <v>8201</v>
      </c>
      <c r="AA26" s="311" t="s">
        <v>8202</v>
      </c>
      <c r="AB26" s="295"/>
      <c r="AD26" s="295"/>
      <c r="AE26" s="335"/>
      <c r="AF26" s="295"/>
    </row>
    <row r="27" spans="8:8" ht="25.3">
      <c r="A27" s="295"/>
      <c r="B27" s="321"/>
      <c r="C27" s="322"/>
      <c r="D27" s="321"/>
      <c r="E27" s="322"/>
      <c r="F27" s="321"/>
      <c r="G27" s="322"/>
      <c r="H27" s="321"/>
      <c r="I27" s="322"/>
      <c r="J27" s="321"/>
      <c r="K27" s="322"/>
      <c r="L27" s="321"/>
      <c r="M27" s="322"/>
      <c r="N27" s="295"/>
      <c r="O27" s="3"/>
      <c r="P27" s="330"/>
      <c r="Q27" s="337" t="s">
        <v>5896</v>
      </c>
      <c r="R27" s="338"/>
      <c r="S27" s="338"/>
      <c r="T27" s="338"/>
      <c r="U27" s="338"/>
      <c r="V27" s="330"/>
      <c r="X27" s="295"/>
      <c r="Y27" s="312"/>
      <c r="Z27" s="311"/>
      <c r="AA27" s="312"/>
      <c r="AB27" s="295"/>
      <c r="AD27" s="295"/>
      <c r="AE27" s="335"/>
      <c r="AF27" s="295"/>
    </row>
    <row r="28" spans="8:8" ht="25.75">
      <c r="A28" s="295"/>
      <c r="B28" s="324" t="s">
        <v>7968</v>
      </c>
      <c r="C28" s="324" t="s">
        <v>7969</v>
      </c>
      <c r="D28" s="324" t="s">
        <v>5397</v>
      </c>
      <c r="E28" s="324" t="s">
        <v>8211</v>
      </c>
      <c r="F28" s="324" t="s">
        <v>7971</v>
      </c>
      <c r="G28" s="325" t="s">
        <v>7972</v>
      </c>
      <c r="H28" s="324" t="s">
        <v>7968</v>
      </c>
      <c r="I28" s="324" t="s">
        <v>7969</v>
      </c>
      <c r="J28" s="324" t="s">
        <v>5397</v>
      </c>
      <c r="K28" s="324" t="s">
        <v>8211</v>
      </c>
      <c r="L28" s="324" t="s">
        <v>7971</v>
      </c>
      <c r="M28" s="325" t="s">
        <v>7972</v>
      </c>
      <c r="N28" s="295"/>
      <c r="O28" s="3"/>
      <c r="P28" s="330"/>
      <c r="Q28" s="321"/>
      <c r="R28" s="332"/>
      <c r="S28" s="333"/>
      <c r="T28" s="332"/>
      <c r="U28" s="333"/>
      <c r="V28" s="330"/>
      <c r="X28" s="295"/>
      <c r="Y28" s="344" t="s">
        <v>8212</v>
      </c>
      <c r="Z28" s="345"/>
      <c r="AA28" s="345"/>
      <c r="AB28" s="295"/>
      <c r="AD28" s="295"/>
      <c r="AE28" s="326" t="s">
        <v>10046</v>
      </c>
      <c r="AF28" s="295"/>
    </row>
    <row r="29" spans="8:8" ht="25.3">
      <c r="A29" s="295"/>
      <c r="B29" s="311" t="s">
        <v>7977</v>
      </c>
      <c r="C29" s="312" t="s">
        <v>7978</v>
      </c>
      <c r="D29" s="311">
        <v>44.6578947368421</v>
      </c>
      <c r="E29" s="312" t="s">
        <v>8213</v>
      </c>
      <c r="F29" s="311" t="s">
        <v>7980</v>
      </c>
      <c r="G29" s="327" t="s">
        <v>7972</v>
      </c>
      <c r="H29" s="311" t="s">
        <v>7981</v>
      </c>
      <c r="I29" s="312" t="s">
        <v>7982</v>
      </c>
      <c r="J29" s="311">
        <v>571.042105263158</v>
      </c>
      <c r="K29" s="312" t="s">
        <v>8214</v>
      </c>
      <c r="L29" s="311" t="s">
        <v>7984</v>
      </c>
      <c r="M29" s="327" t="s">
        <v>7972</v>
      </c>
      <c r="N29" s="295"/>
      <c r="O29" s="3"/>
      <c r="P29" s="330"/>
      <c r="Q29" s="337" t="s">
        <v>8215</v>
      </c>
      <c r="R29" s="338"/>
      <c r="S29" s="338"/>
      <c r="T29" s="338"/>
      <c r="U29" s="338"/>
      <c r="V29" s="330"/>
      <c r="X29" s="295"/>
      <c r="Y29" s="312" t="s">
        <v>8216</v>
      </c>
      <c r="Z29" s="311" t="s">
        <v>8217</v>
      </c>
      <c r="AA29" s="334" t="s">
        <v>7988</v>
      </c>
      <c r="AB29" s="295"/>
      <c r="AD29" s="295"/>
      <c r="AE29" s="329" t="s">
        <v>10047</v>
      </c>
      <c r="AF29" s="295"/>
    </row>
    <row r="30" spans="8:8">
      <c r="A30" s="295"/>
      <c r="B30" s="312" t="s">
        <v>7989</v>
      </c>
      <c r="C30" s="311" t="s">
        <v>7990</v>
      </c>
      <c r="D30" s="312">
        <v>35.8015037593985</v>
      </c>
      <c r="E30" s="311" t="s">
        <v>8218</v>
      </c>
      <c r="F30" s="312" t="s">
        <v>7992</v>
      </c>
      <c r="G30" s="327" t="s">
        <v>7972</v>
      </c>
      <c r="H30" s="312" t="s">
        <v>7993</v>
      </c>
      <c r="I30" s="311" t="s">
        <v>7994</v>
      </c>
      <c r="J30" s="312">
        <v>579.627067669173</v>
      </c>
      <c r="K30" s="311" t="s">
        <v>8219</v>
      </c>
      <c r="L30" s="312" t="s">
        <v>7996</v>
      </c>
      <c r="M30" s="327" t="s">
        <v>7972</v>
      </c>
      <c r="N30" s="295"/>
      <c r="O30" s="3"/>
      <c r="P30" s="330"/>
      <c r="Q30" s="312" t="s">
        <v>8220</v>
      </c>
      <c r="R30" s="342"/>
      <c r="S30" s="341"/>
      <c r="T30" s="342" t="s">
        <v>8221</v>
      </c>
      <c r="U30" s="332"/>
      <c r="V30" s="330"/>
      <c r="X30" s="295"/>
      <c r="Y30" s="311" t="s">
        <v>8222</v>
      </c>
      <c r="Z30" s="312" t="s">
        <v>8223</v>
      </c>
      <c r="AA30" s="328" t="s">
        <v>7988</v>
      </c>
      <c r="AB30" s="295"/>
      <c r="AD30" s="295"/>
      <c r="AE30" s="335"/>
      <c r="AF30" s="295"/>
    </row>
    <row r="31" spans="8:8" ht="28.4" customHeight="1">
      <c r="A31" s="295"/>
      <c r="B31" s="311" t="s">
        <v>8000</v>
      </c>
      <c r="C31" s="312" t="s">
        <v>8001</v>
      </c>
      <c r="D31" s="311">
        <v>26.9451127819549</v>
      </c>
      <c r="E31" s="312" t="s">
        <v>8224</v>
      </c>
      <c r="F31" s="311" t="s">
        <v>8003</v>
      </c>
      <c r="G31" s="327" t="s">
        <v>7972</v>
      </c>
      <c r="H31" s="311" t="s">
        <v>8004</v>
      </c>
      <c r="I31" s="312" t="s">
        <v>8005</v>
      </c>
      <c r="J31" s="311">
        <v>588.212030075188</v>
      </c>
      <c r="K31" s="312" t="s">
        <v>8225</v>
      </c>
      <c r="L31" s="311" t="s">
        <v>8007</v>
      </c>
      <c r="M31" s="327" t="s">
        <v>7972</v>
      </c>
      <c r="N31" s="295"/>
      <c r="O31" s="3"/>
      <c r="P31" s="330"/>
      <c r="Q31" s="311" t="s">
        <v>8226</v>
      </c>
      <c r="R31" s="341"/>
      <c r="S31" s="342"/>
      <c r="T31" s="341" t="s">
        <v>8227</v>
      </c>
      <c r="U31" s="333"/>
      <c r="V31" s="330"/>
      <c r="X31" s="295"/>
      <c r="Y31" s="312" t="s">
        <v>8228</v>
      </c>
      <c r="Z31" s="311" t="s">
        <v>8229</v>
      </c>
      <c r="AA31" s="334" t="s">
        <v>7988</v>
      </c>
      <c r="AB31" s="295"/>
      <c r="AD31" s="295"/>
      <c r="AE31" s="329" t="s">
        <v>9958</v>
      </c>
      <c r="AF31" s="295"/>
    </row>
    <row r="32" spans="8:8">
      <c r="A32" s="295"/>
      <c r="B32" s="312" t="s">
        <v>8012</v>
      </c>
      <c r="C32" s="311" t="s">
        <v>8013</v>
      </c>
      <c r="D32" s="312">
        <v>18.0887218045113</v>
      </c>
      <c r="E32" s="311" t="s">
        <v>8230</v>
      </c>
      <c r="F32" s="312" t="s">
        <v>8015</v>
      </c>
      <c r="G32" s="327" t="s">
        <v>7972</v>
      </c>
      <c r="H32" s="312" t="s">
        <v>8016</v>
      </c>
      <c r="I32" s="311" t="s">
        <v>8017</v>
      </c>
      <c r="J32" s="312">
        <v>596.796992481203</v>
      </c>
      <c r="K32" s="311" t="s">
        <v>8231</v>
      </c>
      <c r="L32" s="312" t="s">
        <v>8019</v>
      </c>
      <c r="M32" s="327" t="s">
        <v>7972</v>
      </c>
      <c r="N32" s="295"/>
      <c r="O32" s="3"/>
      <c r="P32" s="330"/>
      <c r="Q32" s="312" t="s">
        <v>8232</v>
      </c>
      <c r="R32" s="342"/>
      <c r="S32" s="341"/>
      <c r="T32" s="342" t="s">
        <v>8233</v>
      </c>
      <c r="U32" s="332"/>
      <c r="V32" s="330"/>
      <c r="X32" s="295"/>
      <c r="Y32" s="311" t="s">
        <v>8234</v>
      </c>
      <c r="Z32" s="312" t="s">
        <v>8235</v>
      </c>
      <c r="AA32" s="328" t="s">
        <v>7988</v>
      </c>
      <c r="AB32" s="295"/>
      <c r="AD32" s="295"/>
      <c r="AE32" s="326" t="s">
        <v>10048</v>
      </c>
      <c r="AF32" s="295"/>
    </row>
    <row r="33" spans="8:8">
      <c r="A33" s="295"/>
      <c r="B33" s="311" t="s">
        <v>2000</v>
      </c>
      <c r="C33" s="312" t="s">
        <v>8024</v>
      </c>
      <c r="D33" s="311">
        <v>9.23233082706767</v>
      </c>
      <c r="E33" s="312" t="s">
        <v>8236</v>
      </c>
      <c r="F33" s="311" t="s">
        <v>8026</v>
      </c>
      <c r="G33" s="327" t="s">
        <v>7972</v>
      </c>
      <c r="H33" s="311" t="s">
        <v>8027</v>
      </c>
      <c r="I33" s="312" t="s">
        <v>8028</v>
      </c>
      <c r="J33" s="311">
        <v>605.381954887218</v>
      </c>
      <c r="K33" s="312" t="s">
        <v>8237</v>
      </c>
      <c r="L33" s="311" t="s">
        <v>8030</v>
      </c>
      <c r="M33" s="327" t="s">
        <v>7972</v>
      </c>
      <c r="N33" s="295"/>
      <c r="O33" s="3"/>
      <c r="P33" s="330"/>
      <c r="Q33" s="311" t="s">
        <v>8238</v>
      </c>
      <c r="R33" s="341"/>
      <c r="S33" s="342"/>
      <c r="T33" s="341" t="s">
        <v>8239</v>
      </c>
      <c r="U33" s="333"/>
      <c r="V33" s="330"/>
      <c r="X33" s="295"/>
      <c r="Y33" s="312" t="s">
        <v>8240</v>
      </c>
      <c r="Z33" s="328" t="s">
        <v>7988</v>
      </c>
      <c r="AA33" s="334" t="s">
        <v>7988</v>
      </c>
      <c r="AB33" s="295"/>
      <c r="AD33" s="295"/>
      <c r="AE33" s="335"/>
      <c r="AF33" s="295"/>
    </row>
    <row r="34" spans="8:8">
      <c r="A34" s="295"/>
      <c r="B34" s="312" t="s">
        <v>8034</v>
      </c>
      <c r="C34" s="311" t="s">
        <v>8035</v>
      </c>
      <c r="D34" s="312">
        <v>0.375939849624075</v>
      </c>
      <c r="E34" s="311" t="s">
        <v>8241</v>
      </c>
      <c r="F34" s="312" t="s">
        <v>8037</v>
      </c>
      <c r="G34" s="327" t="s">
        <v>7972</v>
      </c>
      <c r="H34" s="312" t="s">
        <v>8038</v>
      </c>
      <c r="I34" s="311" t="s">
        <v>8039</v>
      </c>
      <c r="J34" s="312">
        <v>613.966917293233</v>
      </c>
      <c r="K34" s="311" t="s">
        <v>8242</v>
      </c>
      <c r="L34" s="312" t="s">
        <v>8041</v>
      </c>
      <c r="M34" s="327" t="s">
        <v>7972</v>
      </c>
      <c r="N34" s="295"/>
      <c r="O34" s="3"/>
      <c r="P34" s="330"/>
      <c r="Q34" s="312" t="s">
        <v>8243</v>
      </c>
      <c r="R34" s="342"/>
      <c r="S34" s="341"/>
      <c r="T34" s="342" t="s">
        <v>8244</v>
      </c>
      <c r="U34" s="332"/>
      <c r="V34" s="330"/>
      <c r="X34" s="295"/>
      <c r="Y34" s="311" t="s">
        <v>8245</v>
      </c>
      <c r="Z34" s="312" t="s">
        <v>8246</v>
      </c>
      <c r="AA34" s="328" t="s">
        <v>7988</v>
      </c>
      <c r="AB34" s="295"/>
      <c r="AD34" s="295"/>
      <c r="AE34" s="326" t="s">
        <v>9960</v>
      </c>
      <c r="AF34" s="295"/>
    </row>
    <row r="35" spans="8:8">
      <c r="A35" s="295"/>
      <c r="B35" s="311" t="s">
        <v>8046</v>
      </c>
      <c r="C35" s="312" t="s">
        <v>8047</v>
      </c>
      <c r="D35" s="311">
        <v>-8.48045112781955</v>
      </c>
      <c r="E35" s="312" t="s">
        <v>8247</v>
      </c>
      <c r="F35" s="311" t="s">
        <v>8049</v>
      </c>
      <c r="G35" s="327" t="s">
        <v>7972</v>
      </c>
      <c r="H35" s="311" t="s">
        <v>8050</v>
      </c>
      <c r="I35" s="312" t="s">
        <v>8051</v>
      </c>
      <c r="J35" s="311">
        <v>622.551879699248</v>
      </c>
      <c r="K35" s="312" t="s">
        <v>8248</v>
      </c>
      <c r="L35" s="311" t="s">
        <v>8053</v>
      </c>
      <c r="M35" s="327" t="s">
        <v>7972</v>
      </c>
      <c r="N35" s="295"/>
      <c r="O35" s="3"/>
      <c r="P35" s="330"/>
      <c r="Q35" s="321"/>
      <c r="R35" s="332"/>
      <c r="S35" s="333"/>
      <c r="T35" s="332"/>
      <c r="U35" s="333"/>
      <c r="V35" s="330"/>
      <c r="X35" s="295"/>
      <c r="Y35" s="312" t="s">
        <v>8249</v>
      </c>
      <c r="Z35" s="311" t="s">
        <v>8250</v>
      </c>
      <c r="AA35" s="334" t="s">
        <v>7988</v>
      </c>
      <c r="AB35" s="295"/>
      <c r="AD35" s="295"/>
      <c r="AE35" s="329" t="s">
        <v>10049</v>
      </c>
      <c r="AF35" s="295"/>
    </row>
    <row r="36" spans="8:8" ht="25.3">
      <c r="A36" s="295"/>
      <c r="B36" s="312" t="s">
        <v>8059</v>
      </c>
      <c r="C36" s="311" t="s">
        <v>8060</v>
      </c>
      <c r="D36" s="312">
        <v>-17.3368421052632</v>
      </c>
      <c r="E36" s="311" t="s">
        <v>8251</v>
      </c>
      <c r="F36" s="312" t="s">
        <v>8062</v>
      </c>
      <c r="G36" s="327" t="s">
        <v>7972</v>
      </c>
      <c r="H36" s="312" t="s">
        <v>8063</v>
      </c>
      <c r="I36" s="311" t="s">
        <v>8064</v>
      </c>
      <c r="J36" s="312">
        <v>631.136842105263</v>
      </c>
      <c r="K36" s="311" t="s">
        <v>8252</v>
      </c>
      <c r="L36" s="312" t="s">
        <v>8066</v>
      </c>
      <c r="M36" s="327" t="s">
        <v>7972</v>
      </c>
      <c r="N36" s="295"/>
      <c r="O36" s="3"/>
      <c r="P36" s="330"/>
      <c r="Q36" s="337" t="s">
        <v>8253</v>
      </c>
      <c r="R36" s="338"/>
      <c r="S36" s="338"/>
      <c r="T36" s="338"/>
      <c r="U36" s="338"/>
      <c r="V36" s="330"/>
      <c r="X36" s="295"/>
      <c r="Y36" s="311" t="s">
        <v>8254</v>
      </c>
      <c r="Z36" s="312" t="s">
        <v>8255</v>
      </c>
      <c r="AA36" s="328" t="s">
        <v>7988</v>
      </c>
      <c r="AB36" s="295"/>
      <c r="AD36" s="295"/>
      <c r="AE36" s="335"/>
      <c r="AF36" s="295"/>
    </row>
    <row r="37" spans="8:8">
      <c r="A37" s="295"/>
      <c r="B37" s="311" t="s">
        <v>8072</v>
      </c>
      <c r="C37" s="312" t="s">
        <v>8073</v>
      </c>
      <c r="D37" s="311">
        <v>-26.1932330827068</v>
      </c>
      <c r="E37" s="312" t="s">
        <v>8256</v>
      </c>
      <c r="F37" s="311" t="s">
        <v>8075</v>
      </c>
      <c r="G37" s="327" t="s">
        <v>7972</v>
      </c>
      <c r="H37" s="311" t="s">
        <v>8076</v>
      </c>
      <c r="I37" s="312" t="s">
        <v>8077</v>
      </c>
      <c r="J37" s="311">
        <v>639.721804511278</v>
      </c>
      <c r="K37" s="312" t="s">
        <v>8257</v>
      </c>
      <c r="L37" s="311" t="s">
        <v>8079</v>
      </c>
      <c r="M37" s="327" t="s">
        <v>7972</v>
      </c>
      <c r="N37" s="295"/>
      <c r="O37" s="3"/>
      <c r="P37" s="330"/>
      <c r="Q37" s="346" t="s">
        <v>8258</v>
      </c>
      <c r="R37" s="332"/>
      <c r="S37" s="333"/>
      <c r="T37" s="332"/>
      <c r="U37" s="333"/>
      <c r="V37" s="330"/>
      <c r="X37" s="295"/>
      <c r="Y37" s="312" t="s">
        <v>8259</v>
      </c>
      <c r="Z37" s="311" t="s">
        <v>8260</v>
      </c>
      <c r="AA37" s="334" t="s">
        <v>7988</v>
      </c>
      <c r="AB37" s="295"/>
      <c r="AD37" s="295"/>
      <c r="AE37" s="329" t="s">
        <v>9962</v>
      </c>
      <c r="AF37" s="295"/>
    </row>
    <row r="38" spans="8:8">
      <c r="A38" s="295"/>
      <c r="B38" s="312" t="s">
        <v>8084</v>
      </c>
      <c r="C38" s="311" t="s">
        <v>8085</v>
      </c>
      <c r="D38" s="312">
        <v>-35.0496240601504</v>
      </c>
      <c r="E38" s="311" t="s">
        <v>8261</v>
      </c>
      <c r="F38" s="312" t="s">
        <v>8087</v>
      </c>
      <c r="G38" s="327" t="s">
        <v>7972</v>
      </c>
      <c r="H38" s="312" t="s">
        <v>8088</v>
      </c>
      <c r="I38" s="311" t="s">
        <v>8089</v>
      </c>
      <c r="J38" s="312">
        <v>648.306766917293</v>
      </c>
      <c r="K38" s="311" t="s">
        <v>8262</v>
      </c>
      <c r="L38" s="312" t="s">
        <v>8091</v>
      </c>
      <c r="M38" s="327" t="s">
        <v>7972</v>
      </c>
      <c r="N38" s="295"/>
      <c r="O38" s="3"/>
      <c r="P38" s="330"/>
      <c r="Q38" s="312" t="s">
        <v>8263</v>
      </c>
      <c r="R38" s="333"/>
      <c r="S38" s="332"/>
      <c r="T38" s="333"/>
      <c r="U38" s="332"/>
      <c r="V38" s="330"/>
      <c r="X38" s="295"/>
      <c r="Y38" s="311" t="s">
        <v>8264</v>
      </c>
      <c r="Z38" s="312" t="s">
        <v>8265</v>
      </c>
      <c r="AA38" s="328" t="s">
        <v>7988</v>
      </c>
      <c r="AB38" s="295"/>
      <c r="AD38" s="295"/>
      <c r="AE38" s="326" t="s">
        <v>10050</v>
      </c>
      <c r="AF38" s="295"/>
    </row>
    <row r="39" spans="8:8">
      <c r="A39" s="295"/>
      <c r="B39" s="311" t="s">
        <v>8096</v>
      </c>
      <c r="C39" s="312" t="s">
        <v>8097</v>
      </c>
      <c r="D39" s="311">
        <v>-43.906015037594</v>
      </c>
      <c r="E39" s="312" t="s">
        <v>8266</v>
      </c>
      <c r="F39" s="311" t="s">
        <v>8099</v>
      </c>
      <c r="G39" s="327" t="s">
        <v>7972</v>
      </c>
      <c r="H39" s="311" t="s">
        <v>8100</v>
      </c>
      <c r="I39" s="312" t="s">
        <v>8101</v>
      </c>
      <c r="J39" s="311">
        <v>656.891729323308</v>
      </c>
      <c r="K39" s="312" t="s">
        <v>8267</v>
      </c>
      <c r="L39" s="311" t="s">
        <v>8103</v>
      </c>
      <c r="M39" s="327" t="s">
        <v>7972</v>
      </c>
      <c r="N39" s="295"/>
      <c r="O39" s="3"/>
      <c r="P39" s="330"/>
      <c r="Q39" s="331" t="s">
        <v>8268</v>
      </c>
      <c r="R39" s="332"/>
      <c r="S39" s="333"/>
      <c r="T39" s="332"/>
      <c r="U39" s="333"/>
      <c r="V39" s="330"/>
      <c r="X39" s="295"/>
      <c r="Y39" s="312" t="s">
        <v>8269</v>
      </c>
      <c r="Z39" s="311" t="s">
        <v>8270</v>
      </c>
      <c r="AA39" s="334" t="s">
        <v>7988</v>
      </c>
      <c r="AB39" s="295"/>
      <c r="AD39" s="295"/>
      <c r="AE39" s="335"/>
      <c r="AF39" s="295"/>
    </row>
    <row r="40" spans="8:8">
      <c r="A40" s="295"/>
      <c r="B40" s="312" t="s">
        <v>8106</v>
      </c>
      <c r="C40" s="311" t="s">
        <v>8107</v>
      </c>
      <c r="D40" s="312">
        <v>-52.7624060150376</v>
      </c>
      <c r="E40" s="311" t="s">
        <v>8271</v>
      </c>
      <c r="F40" s="312" t="s">
        <v>8109</v>
      </c>
      <c r="G40" s="327" t="s">
        <v>7972</v>
      </c>
      <c r="H40" s="312" t="s">
        <v>8110</v>
      </c>
      <c r="I40" s="311" t="s">
        <v>8111</v>
      </c>
      <c r="J40" s="312">
        <v>665.476691729323</v>
      </c>
      <c r="K40" s="311" t="s">
        <v>8272</v>
      </c>
      <c r="L40" s="312" t="s">
        <v>8113</v>
      </c>
      <c r="M40" s="327" t="s">
        <v>7972</v>
      </c>
      <c r="N40" s="295"/>
      <c r="O40" s="3"/>
      <c r="P40" s="330"/>
      <c r="Q40" s="312" t="s">
        <v>8273</v>
      </c>
      <c r="R40" s="333"/>
      <c r="S40" s="332"/>
      <c r="T40" s="333"/>
      <c r="U40" s="332"/>
      <c r="V40" s="330"/>
      <c r="X40" s="295"/>
      <c r="Y40" s="311" t="s">
        <v>8274</v>
      </c>
      <c r="Z40" s="312" t="s">
        <v>8275</v>
      </c>
      <c r="AA40" s="328" t="s">
        <v>7988</v>
      </c>
      <c r="AB40" s="295"/>
      <c r="AD40" s="295"/>
      <c r="AE40" s="326" t="s">
        <v>9964</v>
      </c>
      <c r="AF40" s="295"/>
    </row>
    <row r="41" spans="8:8">
      <c r="A41" s="295"/>
      <c r="B41" s="311" t="s">
        <v>8117</v>
      </c>
      <c r="C41" s="312" t="s">
        <v>8118</v>
      </c>
      <c r="D41" s="311">
        <v>-61.6187969924812</v>
      </c>
      <c r="E41" s="312" t="s">
        <v>8276</v>
      </c>
      <c r="F41" s="311" t="s">
        <v>8120</v>
      </c>
      <c r="G41" s="327" t="s">
        <v>7972</v>
      </c>
      <c r="H41" s="311" t="s">
        <v>8121</v>
      </c>
      <c r="I41" s="312" t="s">
        <v>8122</v>
      </c>
      <c r="J41" s="311">
        <v>674.061654135338</v>
      </c>
      <c r="K41" s="312" t="s">
        <v>8277</v>
      </c>
      <c r="L41" s="311" t="s">
        <v>8124</v>
      </c>
      <c r="M41" s="327" t="s">
        <v>7972</v>
      </c>
      <c r="N41" s="295"/>
      <c r="O41" s="3"/>
      <c r="P41" s="330"/>
      <c r="Q41" s="311" t="s">
        <v>8278</v>
      </c>
      <c r="R41" s="332"/>
      <c r="S41" s="333"/>
      <c r="T41" s="332"/>
      <c r="U41" s="333"/>
      <c r="V41" s="330"/>
      <c r="X41" s="295"/>
      <c r="Y41" s="312" t="s">
        <v>8279</v>
      </c>
      <c r="Z41" s="311" t="s">
        <v>8280</v>
      </c>
      <c r="AA41" s="334" t="s">
        <v>7988</v>
      </c>
      <c r="AB41" s="295"/>
      <c r="AD41" s="295"/>
      <c r="AE41" s="329" t="s">
        <v>10051</v>
      </c>
      <c r="AF41" s="295"/>
    </row>
    <row r="42" spans="8:8">
      <c r="A42" s="295"/>
      <c r="B42" s="312" t="s">
        <v>8128</v>
      </c>
      <c r="C42" s="311" t="s">
        <v>8129</v>
      </c>
      <c r="D42" s="312">
        <v>-70.4751879699248</v>
      </c>
      <c r="E42" s="311" t="s">
        <v>8281</v>
      </c>
      <c r="F42" s="312" t="s">
        <v>8131</v>
      </c>
      <c r="G42" s="327" t="s">
        <v>7972</v>
      </c>
      <c r="H42" s="312" t="s">
        <v>8132</v>
      </c>
      <c r="I42" s="311" t="s">
        <v>8133</v>
      </c>
      <c r="J42" s="312">
        <v>682.646616541353</v>
      </c>
      <c r="K42" s="311" t="s">
        <v>8282</v>
      </c>
      <c r="L42" s="312" t="s">
        <v>8135</v>
      </c>
      <c r="M42" s="327" t="s">
        <v>7972</v>
      </c>
      <c r="N42" s="295"/>
      <c r="O42" s="3"/>
      <c r="P42" s="330"/>
      <c r="Q42" s="312" t="s">
        <v>8283</v>
      </c>
      <c r="R42" s="333"/>
      <c r="S42" s="332"/>
      <c r="T42" s="333"/>
      <c r="U42" s="332"/>
      <c r="V42" s="330"/>
      <c r="X42" s="295"/>
      <c r="Y42" s="311" t="s">
        <v>8284</v>
      </c>
      <c r="Z42" s="312" t="s">
        <v>8285</v>
      </c>
      <c r="AA42" s="328" t="s">
        <v>7988</v>
      </c>
      <c r="AB42" s="295"/>
      <c r="AD42" s="295"/>
      <c r="AE42" s="335"/>
      <c r="AF42" s="295"/>
    </row>
    <row r="43" spans="8:8">
      <c r="A43" s="295"/>
      <c r="B43" s="311" t="s">
        <v>8139</v>
      </c>
      <c r="C43" s="312" t="s">
        <v>8140</v>
      </c>
      <c r="D43" s="311">
        <v>-79.3315789473684</v>
      </c>
      <c r="E43" s="312" t="s">
        <v>8286</v>
      </c>
      <c r="F43" s="311" t="s">
        <v>8142</v>
      </c>
      <c r="G43" s="327" t="s">
        <v>7972</v>
      </c>
      <c r="H43" s="311" t="s">
        <v>8143</v>
      </c>
      <c r="I43" s="312" t="s">
        <v>8144</v>
      </c>
      <c r="J43" s="311">
        <v>691.231578947368</v>
      </c>
      <c r="K43" s="312" t="s">
        <v>8287</v>
      </c>
      <c r="L43" s="311" t="s">
        <v>8146</v>
      </c>
      <c r="M43" s="327" t="s">
        <v>7972</v>
      </c>
      <c r="N43" s="295"/>
      <c r="O43" s="3"/>
      <c r="P43" s="330"/>
      <c r="Q43" s="311" t="s">
        <v>8288</v>
      </c>
      <c r="R43" s="332"/>
      <c r="S43" s="333"/>
      <c r="T43" s="332"/>
      <c r="U43" s="333"/>
      <c r="V43" s="330"/>
      <c r="X43" s="295"/>
      <c r="Y43" s="312" t="s">
        <v>8289</v>
      </c>
      <c r="Z43" s="311" t="s">
        <v>8290</v>
      </c>
      <c r="AA43" s="334" t="s">
        <v>7988</v>
      </c>
      <c r="AB43" s="295"/>
      <c r="AD43" s="295"/>
      <c r="AE43" s="329" t="s">
        <v>9966</v>
      </c>
      <c r="AF43" s="295"/>
    </row>
    <row r="44" spans="8:8">
      <c r="A44" s="295"/>
      <c r="B44" s="312" t="s">
        <v>8150</v>
      </c>
      <c r="C44" s="311" t="s">
        <v>8151</v>
      </c>
      <c r="D44" s="312">
        <v>-88.1879699248121</v>
      </c>
      <c r="E44" s="311" t="s">
        <v>8291</v>
      </c>
      <c r="F44" s="312" t="s">
        <v>8153</v>
      </c>
      <c r="G44" s="327" t="s">
        <v>7972</v>
      </c>
      <c r="H44" s="312" t="s">
        <v>8154</v>
      </c>
      <c r="I44" s="311" t="s">
        <v>8155</v>
      </c>
      <c r="J44" s="312">
        <v>699.816541353383</v>
      </c>
      <c r="K44" s="311" t="s">
        <v>8292</v>
      </c>
      <c r="L44" s="312" t="s">
        <v>8157</v>
      </c>
      <c r="M44" s="327" t="s">
        <v>7972</v>
      </c>
      <c r="N44" s="295"/>
      <c r="O44" s="3"/>
      <c r="P44" s="330"/>
      <c r="Q44" s="312" t="s">
        <v>8293</v>
      </c>
      <c r="R44" s="333"/>
      <c r="S44" s="332"/>
      <c r="T44" s="333"/>
      <c r="U44" s="332"/>
      <c r="V44" s="330"/>
      <c r="X44" s="295"/>
      <c r="Y44" s="311" t="s">
        <v>8294</v>
      </c>
      <c r="Z44" s="312" t="s">
        <v>8295</v>
      </c>
      <c r="AA44" s="328" t="s">
        <v>7988</v>
      </c>
      <c r="AB44" s="295"/>
      <c r="AD44" s="295"/>
      <c r="AE44" s="326" t="s">
        <v>10052</v>
      </c>
      <c r="AF44" s="295"/>
    </row>
    <row r="45" spans="8:8">
      <c r="A45" s="295"/>
      <c r="B45" s="311" t="s">
        <v>8161</v>
      </c>
      <c r="C45" s="312" t="s">
        <v>8162</v>
      </c>
      <c r="D45" s="311">
        <v>-97.0443609022556</v>
      </c>
      <c r="E45" s="312" t="s">
        <v>8296</v>
      </c>
      <c r="F45" s="311" t="s">
        <v>8164</v>
      </c>
      <c r="G45" s="327" t="s">
        <v>7972</v>
      </c>
      <c r="H45" s="311" t="s">
        <v>8165</v>
      </c>
      <c r="I45" s="312" t="s">
        <v>8166</v>
      </c>
      <c r="J45" s="311">
        <v>708.401503759399</v>
      </c>
      <c r="K45" s="312" t="s">
        <v>8297</v>
      </c>
      <c r="L45" s="311" t="s">
        <v>8168</v>
      </c>
      <c r="M45" s="327" t="s">
        <v>7972</v>
      </c>
      <c r="N45" s="295"/>
      <c r="O45" s="3"/>
      <c r="P45" s="330"/>
      <c r="Q45" s="311" t="s">
        <v>8298</v>
      </c>
      <c r="R45" s="332"/>
      <c r="S45" s="333"/>
      <c r="T45" s="332"/>
      <c r="U45" s="333"/>
      <c r="V45" s="330"/>
      <c r="X45" s="295"/>
      <c r="Y45" s="312" t="s">
        <v>8299</v>
      </c>
      <c r="Z45" s="311" t="s">
        <v>8300</v>
      </c>
      <c r="AA45" s="312"/>
      <c r="AB45" s="295"/>
      <c r="AD45" s="295"/>
      <c r="AE45" s="335"/>
      <c r="AF45" s="295"/>
    </row>
    <row r="46" spans="8:8">
      <c r="A46" s="295"/>
      <c r="B46" s="312" t="s">
        <v>8172</v>
      </c>
      <c r="C46" s="311" t="s">
        <v>8173</v>
      </c>
      <c r="D46" s="312">
        <v>-105.900751879699</v>
      </c>
      <c r="E46" s="311" t="s">
        <v>8301</v>
      </c>
      <c r="F46" s="312" t="s">
        <v>8175</v>
      </c>
      <c r="G46" s="327" t="s">
        <v>7972</v>
      </c>
      <c r="H46" s="312" t="s">
        <v>8176</v>
      </c>
      <c r="I46" s="311" t="s">
        <v>8177</v>
      </c>
      <c r="J46" s="312">
        <v>716.986466165414</v>
      </c>
      <c r="K46" s="311" t="s">
        <v>8302</v>
      </c>
      <c r="L46" s="312" t="s">
        <v>8179</v>
      </c>
      <c r="M46" s="327" t="s">
        <v>7972</v>
      </c>
      <c r="N46" s="295"/>
      <c r="O46" s="3"/>
      <c r="P46" s="330"/>
      <c r="Q46" s="336" t="s">
        <v>8303</v>
      </c>
      <c r="R46" s="333"/>
      <c r="S46" s="332"/>
      <c r="T46" s="333"/>
      <c r="U46" s="332"/>
      <c r="V46" s="330"/>
      <c r="X46" s="295"/>
      <c r="Y46" s="311"/>
      <c r="Z46" s="312"/>
      <c r="AA46" s="311"/>
      <c r="AB46" s="295"/>
      <c r="AD46" s="295"/>
      <c r="AE46" s="326" t="s">
        <v>9968</v>
      </c>
      <c r="AF46" s="295"/>
    </row>
    <row r="47" spans="8:8" ht="26.95">
      <c r="A47" s="295"/>
      <c r="B47" s="311" t="s">
        <v>8181</v>
      </c>
      <c r="C47" s="312" t="s">
        <v>8182</v>
      </c>
      <c r="D47" s="311">
        <v>-114.757142857143</v>
      </c>
      <c r="E47" s="312" t="s">
        <v>8304</v>
      </c>
      <c r="F47" s="311" t="s">
        <v>8184</v>
      </c>
      <c r="G47" s="327" t="s">
        <v>7972</v>
      </c>
      <c r="H47" s="311" t="s">
        <v>8185</v>
      </c>
      <c r="I47" s="312" t="s">
        <v>8186</v>
      </c>
      <c r="J47" s="311">
        <v>725.571428571429</v>
      </c>
      <c r="K47" s="312" t="s">
        <v>8305</v>
      </c>
      <c r="L47" s="311" t="s">
        <v>8188</v>
      </c>
      <c r="M47" s="327" t="s">
        <v>7972</v>
      </c>
      <c r="N47" s="295"/>
      <c r="O47" s="3"/>
      <c r="P47" s="330"/>
      <c r="Q47" s="331" t="s">
        <v>10159</v>
      </c>
      <c r="R47" s="332"/>
      <c r="S47" s="333"/>
      <c r="T47" s="332"/>
      <c r="U47" s="333"/>
      <c r="V47" s="330"/>
      <c r="X47" s="295"/>
      <c r="Y47" s="344" t="s">
        <v>8307</v>
      </c>
      <c r="Z47" s="345"/>
      <c r="AA47" s="345"/>
      <c r="AB47" s="295"/>
      <c r="AD47" s="295"/>
      <c r="AE47" s="329" t="s">
        <v>10053</v>
      </c>
      <c r="AF47" s="295"/>
    </row>
    <row r="48" spans="8:8">
      <c r="A48" s="295"/>
      <c r="B48" s="312" t="s">
        <v>8191</v>
      </c>
      <c r="C48" s="311" t="s">
        <v>8192</v>
      </c>
      <c r="D48" s="312">
        <v>-123.613533834586</v>
      </c>
      <c r="E48" s="311" t="s">
        <v>8308</v>
      </c>
      <c r="F48" s="312" t="s">
        <v>8194</v>
      </c>
      <c r="G48" s="327" t="s">
        <v>7972</v>
      </c>
      <c r="H48" s="312" t="s">
        <v>8195</v>
      </c>
      <c r="I48" s="311" t="s">
        <v>8196</v>
      </c>
      <c r="J48" s="312">
        <v>734.156390977444</v>
      </c>
      <c r="K48" s="311" t="s">
        <v>8309</v>
      </c>
      <c r="L48" s="312" t="s">
        <v>8198</v>
      </c>
      <c r="M48" s="327" t="s">
        <v>7972</v>
      </c>
      <c r="N48" s="295"/>
      <c r="O48" s="3"/>
      <c r="P48" s="330"/>
      <c r="Q48" s="312" t="s">
        <v>8310</v>
      </c>
      <c r="R48" s="333"/>
      <c r="S48" s="332"/>
      <c r="T48" s="333"/>
      <c r="U48" s="332"/>
      <c r="V48" s="330"/>
      <c r="X48" s="295"/>
      <c r="Y48" s="311" t="s">
        <v>8311</v>
      </c>
      <c r="Z48" s="312" t="s">
        <v>8312</v>
      </c>
      <c r="AA48" s="328" t="s">
        <v>7988</v>
      </c>
      <c r="AB48" s="295"/>
      <c r="AD48" s="295"/>
      <c r="AE48" s="335"/>
      <c r="AF48" s="295"/>
    </row>
    <row r="49" spans="8:8">
      <c r="A49" s="295"/>
      <c r="B49" s="311" t="s">
        <v>8313</v>
      </c>
      <c r="C49" s="312" t="s">
        <v>8314</v>
      </c>
      <c r="D49" s="311">
        <v>184.0</v>
      </c>
      <c r="E49" s="312" t="s">
        <v>8315</v>
      </c>
      <c r="F49" s="311" t="s">
        <v>8316</v>
      </c>
      <c r="G49" s="327" t="s">
        <v>7972</v>
      </c>
      <c r="H49" s="311" t="s">
        <v>8317</v>
      </c>
      <c r="I49" s="312" t="s">
        <v>8318</v>
      </c>
      <c r="J49" s="311">
        <v>642.0</v>
      </c>
      <c r="K49" s="312" t="s">
        <v>8319</v>
      </c>
      <c r="L49" s="311" t="s">
        <v>8320</v>
      </c>
      <c r="M49" s="327" t="s">
        <v>7972</v>
      </c>
      <c r="N49" s="295"/>
      <c r="O49" s="3"/>
      <c r="P49" s="330"/>
      <c r="Q49" s="331" t="s">
        <v>8321</v>
      </c>
      <c r="R49" s="332"/>
      <c r="S49" s="333"/>
      <c r="T49" s="332"/>
      <c r="U49" s="333"/>
      <c r="V49" s="330"/>
      <c r="X49" s="295"/>
      <c r="Y49" s="312" t="s">
        <v>8322</v>
      </c>
      <c r="Z49" s="311" t="s">
        <v>8323</v>
      </c>
      <c r="AA49" s="334" t="s">
        <v>7988</v>
      </c>
      <c r="AB49" s="295"/>
      <c r="AD49" s="295"/>
      <c r="AE49" s="329" t="s">
        <v>10054</v>
      </c>
      <c r="AF49" s="295"/>
    </row>
    <row r="50" spans="8:8">
      <c r="A50" s="295"/>
      <c r="B50" s="312" t="s">
        <v>8324</v>
      </c>
      <c r="C50" s="311" t="s">
        <v>8325</v>
      </c>
      <c r="D50" s="312">
        <v>152.0</v>
      </c>
      <c r="E50" s="311" t="s">
        <v>8326</v>
      </c>
      <c r="F50" s="312" t="s">
        <v>8327</v>
      </c>
      <c r="G50" s="327" t="s">
        <v>7972</v>
      </c>
      <c r="H50" s="312" t="s">
        <v>8328</v>
      </c>
      <c r="I50" s="311" t="s">
        <v>8329</v>
      </c>
      <c r="J50" s="312">
        <v>688.0</v>
      </c>
      <c r="K50" s="311" t="s">
        <v>8330</v>
      </c>
      <c r="L50" s="312" t="s">
        <v>8331</v>
      </c>
      <c r="M50" s="327" t="s">
        <v>7972</v>
      </c>
      <c r="N50" s="295"/>
      <c r="O50" s="3"/>
      <c r="P50" s="330"/>
      <c r="Q50" s="312" t="s">
        <v>8332</v>
      </c>
      <c r="R50" s="333"/>
      <c r="S50" s="332"/>
      <c r="T50" s="333"/>
      <c r="U50" s="332"/>
      <c r="V50" s="330"/>
      <c r="X50" s="295"/>
      <c r="Y50" s="311" t="s">
        <v>8333</v>
      </c>
      <c r="Z50" s="312" t="s">
        <v>8334</v>
      </c>
      <c r="AA50" s="328" t="s">
        <v>7988</v>
      </c>
      <c r="AB50" s="295"/>
      <c r="AD50" s="295"/>
      <c r="AE50" s="326" t="s">
        <v>10055</v>
      </c>
      <c r="AF50" s="295"/>
    </row>
    <row r="51" spans="8:8">
      <c r="A51" s="295"/>
      <c r="B51" s="311" t="s">
        <v>8335</v>
      </c>
      <c r="C51" s="312" t="s">
        <v>8336</v>
      </c>
      <c r="D51" s="311">
        <v>120.0</v>
      </c>
      <c r="E51" s="312" t="s">
        <v>8337</v>
      </c>
      <c r="F51" s="311" t="s">
        <v>8338</v>
      </c>
      <c r="G51" s="327" t="s">
        <v>7972</v>
      </c>
      <c r="H51" s="311" t="s">
        <v>8339</v>
      </c>
      <c r="I51" s="312" t="s">
        <v>8340</v>
      </c>
      <c r="J51" s="311">
        <v>643.0</v>
      </c>
      <c r="K51" s="312" t="s">
        <v>8341</v>
      </c>
      <c r="L51" s="311" t="s">
        <v>8342</v>
      </c>
      <c r="M51" s="327" t="s">
        <v>7972</v>
      </c>
      <c r="N51" s="295"/>
      <c r="O51" s="3"/>
      <c r="P51" s="330"/>
      <c r="Q51" s="311" t="s">
        <v>8343</v>
      </c>
      <c r="R51" s="332"/>
      <c r="S51" s="333"/>
      <c r="T51" s="332"/>
      <c r="U51" s="333"/>
      <c r="V51" s="330"/>
      <c r="X51" s="295"/>
      <c r="Y51" s="312" t="s">
        <v>8344</v>
      </c>
      <c r="Z51" s="311" t="s">
        <v>8345</v>
      </c>
      <c r="AA51" s="334" t="s">
        <v>7988</v>
      </c>
      <c r="AB51" s="295"/>
      <c r="AD51" s="295"/>
      <c r="AE51" s="347"/>
      <c r="AF51" s="295"/>
    </row>
    <row r="52" spans="8:8">
      <c r="A52" s="295"/>
      <c r="B52" s="312" t="s">
        <v>8346</v>
      </c>
      <c r="C52" s="311" t="s">
        <v>8347</v>
      </c>
      <c r="D52" s="312">
        <v>156.0</v>
      </c>
      <c r="E52" s="311" t="s">
        <v>8348</v>
      </c>
      <c r="F52" s="312" t="s">
        <v>8349</v>
      </c>
      <c r="G52" s="327" t="s">
        <v>7972</v>
      </c>
      <c r="H52" s="312" t="s">
        <v>8350</v>
      </c>
      <c r="I52" s="311" t="s">
        <v>8351</v>
      </c>
      <c r="J52" s="312">
        <v>646.0</v>
      </c>
      <c r="K52" s="311" t="s">
        <v>8352</v>
      </c>
      <c r="L52" s="312" t="s">
        <v>8353</v>
      </c>
      <c r="M52" s="327" t="s">
        <v>7972</v>
      </c>
      <c r="N52" s="295"/>
      <c r="O52" s="3"/>
      <c r="P52" s="330"/>
      <c r="Q52" s="312" t="s">
        <v>8354</v>
      </c>
      <c r="R52" s="333"/>
      <c r="S52" s="332"/>
      <c r="T52" s="333"/>
      <c r="U52" s="332"/>
      <c r="V52" s="330"/>
      <c r="X52" s="295"/>
      <c r="Y52" s="311" t="s">
        <v>8355</v>
      </c>
      <c r="Z52" s="312" t="s">
        <v>8356</v>
      </c>
      <c r="AA52" s="328" t="s">
        <v>7988</v>
      </c>
      <c r="AB52" s="295"/>
      <c r="AD52" s="295"/>
      <c r="AE52" s="326" t="s">
        <v>4821</v>
      </c>
      <c r="AF52" s="295"/>
    </row>
    <row r="53" spans="8:8">
      <c r="A53" s="295"/>
      <c r="B53" s="311" t="s">
        <v>8357</v>
      </c>
      <c r="C53" s="312" t="s">
        <v>8358</v>
      </c>
      <c r="D53" s="311">
        <v>170.0</v>
      </c>
      <c r="E53" s="312" t="s">
        <v>8359</v>
      </c>
      <c r="F53" s="311" t="s">
        <v>8360</v>
      </c>
      <c r="G53" s="327" t="s">
        <v>7972</v>
      </c>
      <c r="H53" s="311" t="s">
        <v>8361</v>
      </c>
      <c r="I53" s="312" t="s">
        <v>8362</v>
      </c>
      <c r="J53" s="311">
        <v>682.0</v>
      </c>
      <c r="K53" s="312" t="s">
        <v>8363</v>
      </c>
      <c r="L53" s="311" t="s">
        <v>8364</v>
      </c>
      <c r="M53" s="327" t="s">
        <v>7972</v>
      </c>
      <c r="N53" s="295"/>
      <c r="O53" s="3"/>
      <c r="P53" s="330"/>
      <c r="Q53" s="311" t="s">
        <v>8365</v>
      </c>
      <c r="R53" s="332"/>
      <c r="S53" s="333"/>
      <c r="T53" s="332"/>
      <c r="U53" s="333"/>
      <c r="V53" s="330"/>
      <c r="X53" s="295"/>
      <c r="Y53" s="312" t="s">
        <v>8366</v>
      </c>
      <c r="Z53" s="311" t="s">
        <v>8367</v>
      </c>
      <c r="AA53" s="334" t="s">
        <v>7988</v>
      </c>
      <c r="AB53" s="295"/>
      <c r="AD53" s="295"/>
      <c r="AE53" s="329" t="s">
        <v>10056</v>
      </c>
      <c r="AF53" s="295"/>
    </row>
    <row r="54" spans="8:8">
      <c r="A54" s="295"/>
      <c r="B54" s="312" t="s">
        <v>8368</v>
      </c>
      <c r="C54" s="311" t="s">
        <v>8369</v>
      </c>
      <c r="D54" s="312">
        <v>188.0</v>
      </c>
      <c r="E54" s="311" t="s">
        <v>8370</v>
      </c>
      <c r="F54" s="312" t="s">
        <v>8371</v>
      </c>
      <c r="G54" s="327" t="s">
        <v>7972</v>
      </c>
      <c r="H54" s="312" t="s">
        <v>8372</v>
      </c>
      <c r="I54" s="311" t="s">
        <v>8373</v>
      </c>
      <c r="J54" s="312">
        <v>90.0</v>
      </c>
      <c r="K54" s="311" t="s">
        <v>8374</v>
      </c>
      <c r="L54" s="312" t="s">
        <v>8375</v>
      </c>
      <c r="M54" s="327" t="s">
        <v>7972</v>
      </c>
      <c r="N54" s="295"/>
      <c r="O54" s="3"/>
      <c r="P54" s="330"/>
      <c r="Q54" s="312" t="s">
        <v>8376</v>
      </c>
      <c r="R54" s="333"/>
      <c r="S54" s="332"/>
      <c r="T54" s="333"/>
      <c r="U54" s="332"/>
      <c r="V54" s="330"/>
      <c r="X54" s="295"/>
      <c r="Y54" s="311" t="s">
        <v>8377</v>
      </c>
      <c r="Z54" s="312" t="s">
        <v>8378</v>
      </c>
      <c r="AA54" s="328" t="s">
        <v>7988</v>
      </c>
      <c r="AB54" s="295"/>
      <c r="AD54" s="295"/>
      <c r="AE54" s="347"/>
      <c r="AF54" s="295"/>
    </row>
    <row r="55" spans="8:8">
      <c r="A55" s="295"/>
      <c r="B55" s="311" t="s">
        <v>8379</v>
      </c>
      <c r="C55" s="312" t="s">
        <v>8380</v>
      </c>
      <c r="D55" s="311">
        <v>192.0</v>
      </c>
      <c r="E55" s="312" t="s">
        <v>8381</v>
      </c>
      <c r="F55" s="311" t="s">
        <v>8382</v>
      </c>
      <c r="G55" s="327" t="s">
        <v>7972</v>
      </c>
      <c r="H55" s="311" t="s">
        <v>8383</v>
      </c>
      <c r="I55" s="312" t="s">
        <v>8384</v>
      </c>
      <c r="J55" s="311">
        <v>690.0</v>
      </c>
      <c r="K55" s="312" t="s">
        <v>8385</v>
      </c>
      <c r="L55" s="311" t="s">
        <v>8386</v>
      </c>
      <c r="M55" s="327" t="s">
        <v>7972</v>
      </c>
      <c r="N55" s="295"/>
      <c r="O55" s="3"/>
      <c r="P55" s="330"/>
      <c r="Q55" s="311" t="s">
        <v>8387</v>
      </c>
      <c r="R55" s="332"/>
      <c r="S55" s="333"/>
      <c r="T55" s="332"/>
      <c r="U55" s="333"/>
      <c r="V55" s="330"/>
      <c r="X55" s="295"/>
      <c r="Y55" s="312" t="s">
        <v>8388</v>
      </c>
      <c r="Z55" s="311" t="s">
        <v>8389</v>
      </c>
      <c r="AA55" s="334" t="s">
        <v>7988</v>
      </c>
      <c r="AB55" s="295"/>
      <c r="AD55" s="295"/>
      <c r="AE55" s="329" t="s">
        <v>9973</v>
      </c>
      <c r="AF55" s="295"/>
    </row>
    <row r="56" spans="8:8">
      <c r="A56" s="295"/>
      <c r="B56" s="312" t="s">
        <v>8390</v>
      </c>
      <c r="C56" s="311" t="s">
        <v>8391</v>
      </c>
      <c r="D56" s="312">
        <v>132.0</v>
      </c>
      <c r="E56" s="311" t="s">
        <v>8392</v>
      </c>
      <c r="F56" s="312" t="s">
        <v>8393</v>
      </c>
      <c r="G56" s="327" t="s">
        <v>7972</v>
      </c>
      <c r="H56" s="312" t="s">
        <v>8394</v>
      </c>
      <c r="I56" s="311" t="s">
        <v>8395</v>
      </c>
      <c r="J56" s="312">
        <v>729.0</v>
      </c>
      <c r="K56" s="311" t="s">
        <v>8396</v>
      </c>
      <c r="L56" s="312" t="s">
        <v>8397</v>
      </c>
      <c r="M56" s="327" t="s">
        <v>7972</v>
      </c>
      <c r="N56" s="295"/>
      <c r="O56" s="3"/>
      <c r="P56" s="330"/>
      <c r="Q56" s="312" t="s">
        <v>10157</v>
      </c>
      <c r="R56" s="333"/>
      <c r="S56" s="332"/>
      <c r="T56" s="333"/>
      <c r="U56" s="332"/>
      <c r="V56" s="330"/>
      <c r="X56" s="295"/>
      <c r="Y56" s="311" t="s">
        <v>8399</v>
      </c>
      <c r="Z56" s="312" t="s">
        <v>8400</v>
      </c>
      <c r="AA56" s="328" t="s">
        <v>7988</v>
      </c>
      <c r="AB56" s="295"/>
      <c r="AD56" s="295"/>
      <c r="AE56" s="326" t="s">
        <v>10057</v>
      </c>
      <c r="AF56" s="295"/>
    </row>
    <row r="57" spans="8:8">
      <c r="A57" s="295"/>
      <c r="B57" s="311" t="s">
        <v>8401</v>
      </c>
      <c r="C57" s="312" t="s">
        <v>8402</v>
      </c>
      <c r="D57" s="311">
        <v>531.0</v>
      </c>
      <c r="E57" s="312" t="s">
        <v>8403</v>
      </c>
      <c r="F57" s="311" t="s">
        <v>8404</v>
      </c>
      <c r="G57" s="327" t="s">
        <v>7972</v>
      </c>
      <c r="H57" s="311" t="s">
        <v>8405</v>
      </c>
      <c r="I57" s="312" t="s">
        <v>8406</v>
      </c>
      <c r="J57" s="311">
        <v>752.0</v>
      </c>
      <c r="K57" s="312" t="s">
        <v>8407</v>
      </c>
      <c r="L57" s="311" t="s">
        <v>8408</v>
      </c>
      <c r="M57" s="327" t="s">
        <v>7972</v>
      </c>
      <c r="N57" s="295"/>
      <c r="O57" s="3"/>
      <c r="P57" s="330"/>
      <c r="Q57" s="331" t="s">
        <v>8409</v>
      </c>
      <c r="R57" s="332"/>
      <c r="S57" s="333"/>
      <c r="T57" s="332"/>
      <c r="U57" s="333"/>
      <c r="V57" s="330"/>
      <c r="X57" s="295"/>
      <c r="Y57" s="312" t="s">
        <v>8410</v>
      </c>
      <c r="Z57" s="311" t="s">
        <v>8411</v>
      </c>
      <c r="AA57" s="334" t="s">
        <v>7988</v>
      </c>
      <c r="AB57" s="295"/>
      <c r="AD57" s="295"/>
      <c r="AE57" s="347"/>
      <c r="AF57" s="295"/>
    </row>
    <row r="58" spans="8:8">
      <c r="A58" s="295"/>
      <c r="B58" s="312" t="s">
        <v>8412</v>
      </c>
      <c r="C58" s="311" t="s">
        <v>8413</v>
      </c>
      <c r="D58" s="312">
        <v>162.0</v>
      </c>
      <c r="E58" s="311" t="s">
        <v>8414</v>
      </c>
      <c r="F58" s="312" t="s">
        <v>8415</v>
      </c>
      <c r="G58" s="327" t="s">
        <v>7972</v>
      </c>
      <c r="H58" s="312" t="s">
        <v>8416</v>
      </c>
      <c r="I58" s="311" t="s">
        <v>8417</v>
      </c>
      <c r="J58" s="312">
        <v>702.0</v>
      </c>
      <c r="K58" s="311" t="s">
        <v>8418</v>
      </c>
      <c r="L58" s="312" t="s">
        <v>8419</v>
      </c>
      <c r="M58" s="327" t="s">
        <v>7972</v>
      </c>
      <c r="N58" s="295"/>
      <c r="O58" s="3"/>
      <c r="P58" s="330"/>
      <c r="Q58" s="336" t="s">
        <v>8420</v>
      </c>
      <c r="R58" s="333"/>
      <c r="S58" s="332"/>
      <c r="T58" s="333"/>
      <c r="U58" s="332"/>
      <c r="V58" s="330"/>
      <c r="X58" s="295"/>
      <c r="Y58" s="311" t="s">
        <v>8421</v>
      </c>
      <c r="Z58" s="312" t="s">
        <v>8422</v>
      </c>
      <c r="AA58" s="328" t="s">
        <v>7988</v>
      </c>
      <c r="AB58" s="295"/>
      <c r="AD58" s="295"/>
      <c r="AE58" s="326" t="s">
        <v>9975</v>
      </c>
      <c r="AF58" s="295"/>
    </row>
    <row r="59" spans="8:8" ht="17.95">
      <c r="A59" s="295"/>
      <c r="B59" s="311" t="s">
        <v>8423</v>
      </c>
      <c r="C59" s="312" t="s">
        <v>8424</v>
      </c>
      <c r="D59" s="311">
        <v>196.0</v>
      </c>
      <c r="E59" s="312" t="s">
        <v>8425</v>
      </c>
      <c r="F59" s="311" t="s">
        <v>8426</v>
      </c>
      <c r="G59" s="327" t="s">
        <v>7972</v>
      </c>
      <c r="H59" s="311" t="s">
        <v>8427</v>
      </c>
      <c r="I59" s="312" t="s">
        <v>8428</v>
      </c>
      <c r="J59" s="311">
        <v>654.0</v>
      </c>
      <c r="K59" s="312" t="s">
        <v>8429</v>
      </c>
      <c r="L59" s="311" t="s">
        <v>8430</v>
      </c>
      <c r="M59" s="327" t="s">
        <v>7972</v>
      </c>
      <c r="N59" s="295"/>
      <c r="O59" s="3"/>
      <c r="P59" s="330"/>
      <c r="Q59" s="311" t="s">
        <v>10160</v>
      </c>
      <c r="R59" s="332"/>
      <c r="S59" s="333"/>
      <c r="T59" s="332"/>
      <c r="U59" s="333"/>
      <c r="V59" s="330"/>
      <c r="X59" s="295"/>
      <c r="Y59" s="312" t="s">
        <v>8432</v>
      </c>
      <c r="Z59" s="311" t="s">
        <v>8433</v>
      </c>
      <c r="AA59" s="334" t="s">
        <v>7988</v>
      </c>
      <c r="AB59" s="295"/>
      <c r="AD59" s="295"/>
      <c r="AE59" s="329" t="s">
        <v>10058</v>
      </c>
      <c r="AF59" s="295"/>
    </row>
    <row r="60" spans="8:8">
      <c r="A60" s="295"/>
      <c r="B60" s="312" t="s">
        <v>8434</v>
      </c>
      <c r="C60" s="311" t="s">
        <v>8435</v>
      </c>
      <c r="D60" s="312">
        <v>203.0</v>
      </c>
      <c r="E60" s="311" t="s">
        <v>8436</v>
      </c>
      <c r="F60" s="312" t="s">
        <v>8437</v>
      </c>
      <c r="G60" s="327" t="s">
        <v>7972</v>
      </c>
      <c r="H60" s="312" t="s">
        <v>8438</v>
      </c>
      <c r="I60" s="311" t="s">
        <v>8439</v>
      </c>
      <c r="J60" s="312">
        <v>705.0</v>
      </c>
      <c r="K60" s="311" t="s">
        <v>8440</v>
      </c>
      <c r="L60" s="312" t="s">
        <v>8441</v>
      </c>
      <c r="M60" s="327" t="s">
        <v>7972</v>
      </c>
      <c r="N60" s="295"/>
      <c r="O60" s="3"/>
      <c r="P60" s="330"/>
      <c r="Q60" s="336" t="s">
        <v>817</v>
      </c>
      <c r="R60" s="333"/>
      <c r="S60" s="332"/>
      <c r="T60" s="333"/>
      <c r="U60" s="332"/>
      <c r="V60" s="330"/>
      <c r="X60" s="295"/>
      <c r="Y60" s="311" t="s">
        <v>8442</v>
      </c>
      <c r="Z60" s="312" t="s">
        <v>8443</v>
      </c>
      <c r="AA60" s="328" t="s">
        <v>7988</v>
      </c>
      <c r="AB60" s="295"/>
      <c r="AD60" s="295"/>
      <c r="AE60" s="347"/>
      <c r="AF60" s="295"/>
    </row>
    <row r="61" spans="8:8">
      <c r="A61" s="295"/>
      <c r="B61" s="311" t="s">
        <v>8444</v>
      </c>
      <c r="C61" s="312" t="s">
        <v>8445</v>
      </c>
      <c r="D61" s="311">
        <v>276.0</v>
      </c>
      <c r="E61" s="312" t="s">
        <v>8446</v>
      </c>
      <c r="F61" s="311" t="s">
        <v>8447</v>
      </c>
      <c r="G61" s="327" t="s">
        <v>7972</v>
      </c>
      <c r="H61" s="311" t="s">
        <v>8448</v>
      </c>
      <c r="I61" s="312" t="s">
        <v>8449</v>
      </c>
      <c r="J61" s="311">
        <v>744.0</v>
      </c>
      <c r="K61" s="312" t="s">
        <v>8450</v>
      </c>
      <c r="L61" s="311" t="s">
        <v>8451</v>
      </c>
      <c r="M61" s="327" t="s">
        <v>7972</v>
      </c>
      <c r="N61" s="295"/>
      <c r="O61" s="3"/>
      <c r="P61" s="330"/>
      <c r="Q61" s="311" t="s">
        <v>8452</v>
      </c>
      <c r="R61" s="332"/>
      <c r="S61" s="333"/>
      <c r="T61" s="332"/>
      <c r="U61" s="333"/>
      <c r="V61" s="330"/>
      <c r="X61" s="295"/>
      <c r="Y61" s="312" t="s">
        <v>8453</v>
      </c>
      <c r="Z61" s="311" t="s">
        <v>8454</v>
      </c>
      <c r="AA61" s="334" t="s">
        <v>7988</v>
      </c>
      <c r="AB61" s="295"/>
      <c r="AD61" s="295"/>
      <c r="AE61" s="329" t="s">
        <v>9977</v>
      </c>
      <c r="AF61" s="295"/>
    </row>
    <row r="62" spans="8:8">
      <c r="A62" s="295"/>
      <c r="B62" s="312" t="s">
        <v>8455</v>
      </c>
      <c r="C62" s="311" t="s">
        <v>8456</v>
      </c>
      <c r="D62" s="312">
        <v>262.0</v>
      </c>
      <c r="E62" s="311" t="s">
        <v>8457</v>
      </c>
      <c r="F62" s="312" t="s">
        <v>8458</v>
      </c>
      <c r="G62" s="327" t="s">
        <v>7972</v>
      </c>
      <c r="H62" s="312" t="s">
        <v>8459</v>
      </c>
      <c r="I62" s="311" t="s">
        <v>8460</v>
      </c>
      <c r="J62" s="312">
        <v>703.0</v>
      </c>
      <c r="K62" s="311" t="s">
        <v>8461</v>
      </c>
      <c r="L62" s="312" t="s">
        <v>8462</v>
      </c>
      <c r="M62" s="327" t="s">
        <v>7972</v>
      </c>
      <c r="N62" s="295"/>
      <c r="O62" s="3"/>
      <c r="P62" s="330"/>
      <c r="Q62" s="312" t="s">
        <v>8463</v>
      </c>
      <c r="R62" s="333"/>
      <c r="S62" s="332"/>
      <c r="T62" s="333"/>
      <c r="U62" s="332"/>
      <c r="V62" s="330"/>
      <c r="X62" s="295"/>
      <c r="Y62" s="311" t="s">
        <v>8464</v>
      </c>
      <c r="Z62" s="312" t="s">
        <v>8465</v>
      </c>
      <c r="AA62" s="328" t="s">
        <v>7988</v>
      </c>
      <c r="AB62" s="295"/>
      <c r="AD62" s="295"/>
      <c r="AE62" s="326" t="s">
        <v>10059</v>
      </c>
      <c r="AF62" s="295"/>
    </row>
    <row r="63" spans="8:8">
      <c r="A63" s="295"/>
      <c r="B63" s="311" t="s">
        <v>8466</v>
      </c>
      <c r="C63" s="312" t="s">
        <v>8467</v>
      </c>
      <c r="D63" s="311">
        <v>208.0</v>
      </c>
      <c r="E63" s="312" t="s">
        <v>8468</v>
      </c>
      <c r="F63" s="311" t="s">
        <v>8469</v>
      </c>
      <c r="G63" s="327" t="s">
        <v>7972</v>
      </c>
      <c r="H63" s="311" t="s">
        <v>8470</v>
      </c>
      <c r="I63" s="312" t="s">
        <v>8471</v>
      </c>
      <c r="J63" s="311">
        <v>694.0</v>
      </c>
      <c r="K63" s="312" t="s">
        <v>8472</v>
      </c>
      <c r="L63" s="311" t="s">
        <v>8473</v>
      </c>
      <c r="M63" s="327" t="s">
        <v>7972</v>
      </c>
      <c r="N63" s="295"/>
      <c r="O63" s="3"/>
      <c r="P63" s="330"/>
      <c r="Q63" s="311" t="s">
        <v>8474</v>
      </c>
      <c r="R63" s="332"/>
      <c r="S63" s="333"/>
      <c r="T63" s="332"/>
      <c r="U63" s="333"/>
      <c r="V63" s="330"/>
      <c r="X63" s="295"/>
      <c r="Y63" s="312" t="s">
        <v>8475</v>
      </c>
      <c r="Z63" s="311" t="s">
        <v>8476</v>
      </c>
      <c r="AA63" s="334" t="s">
        <v>7988</v>
      </c>
      <c r="AB63" s="295"/>
      <c r="AD63" s="295"/>
      <c r="AE63" s="347"/>
      <c r="AF63" s="295"/>
    </row>
    <row r="64" spans="8:8" ht="17.95">
      <c r="A64" s="295"/>
      <c r="B64" s="312" t="s">
        <v>8477</v>
      </c>
      <c r="C64" s="311" t="s">
        <v>8478</v>
      </c>
      <c r="D64" s="312">
        <v>212.0</v>
      </c>
      <c r="E64" s="311" t="s">
        <v>8479</v>
      </c>
      <c r="F64" s="312" t="s">
        <v>8480</v>
      </c>
      <c r="G64" s="327" t="s">
        <v>7972</v>
      </c>
      <c r="H64" s="312" t="s">
        <v>8481</v>
      </c>
      <c r="I64" s="311" t="s">
        <v>8482</v>
      </c>
      <c r="J64" s="312">
        <v>674.0</v>
      </c>
      <c r="K64" s="311" t="s">
        <v>8483</v>
      </c>
      <c r="L64" s="312" t="s">
        <v>8484</v>
      </c>
      <c r="M64" s="327" t="s">
        <v>7972</v>
      </c>
      <c r="N64" s="295"/>
      <c r="O64" s="3"/>
      <c r="P64" s="330"/>
      <c r="Q64" s="336" t="s">
        <v>10161</v>
      </c>
      <c r="R64" s="333"/>
      <c r="S64" s="332"/>
      <c r="T64" s="333"/>
      <c r="U64" s="332"/>
      <c r="V64" s="330"/>
      <c r="X64" s="295"/>
      <c r="Y64" s="311" t="s">
        <v>8486</v>
      </c>
      <c r="Z64" s="312" t="s">
        <v>8487</v>
      </c>
      <c r="AA64" s="328" t="s">
        <v>7988</v>
      </c>
      <c r="AB64" s="295"/>
      <c r="AD64" s="295"/>
      <c r="AE64" s="326" t="s">
        <v>10060</v>
      </c>
      <c r="AF64" s="295"/>
    </row>
    <row r="65" spans="8:8">
      <c r="A65" s="295"/>
      <c r="B65" s="311" t="s">
        <v>8488</v>
      </c>
      <c r="C65" s="312" t="s">
        <v>8489</v>
      </c>
      <c r="D65" s="311">
        <v>214.0</v>
      </c>
      <c r="E65" s="312" t="s">
        <v>8490</v>
      </c>
      <c r="F65" s="311" t="s">
        <v>8491</v>
      </c>
      <c r="G65" s="327" t="s">
        <v>7972</v>
      </c>
      <c r="H65" s="311" t="s">
        <v>8492</v>
      </c>
      <c r="I65" s="312" t="s">
        <v>8493</v>
      </c>
      <c r="J65" s="311">
        <v>686.0</v>
      </c>
      <c r="K65" s="312" t="s">
        <v>8494</v>
      </c>
      <c r="L65" s="311" t="s">
        <v>8495</v>
      </c>
      <c r="M65" s="327" t="s">
        <v>7972</v>
      </c>
      <c r="N65" s="295"/>
      <c r="O65" s="3"/>
      <c r="P65" s="330"/>
      <c r="Q65" s="321"/>
      <c r="R65" s="332"/>
      <c r="S65" s="333"/>
      <c r="T65" s="332"/>
      <c r="U65" s="333"/>
      <c r="V65" s="330"/>
      <c r="X65" s="295"/>
      <c r="Y65" s="312" t="s">
        <v>8496</v>
      </c>
      <c r="Z65" s="311" t="s">
        <v>8497</v>
      </c>
      <c r="AA65" s="334" t="s">
        <v>7988</v>
      </c>
      <c r="AB65" s="295"/>
      <c r="AD65" s="295"/>
      <c r="AE65" s="329" t="s">
        <v>10061</v>
      </c>
      <c r="AF65" s="295"/>
    </row>
    <row r="66" spans="8:8" ht="26.25">
      <c r="A66" s="295"/>
      <c r="B66" s="312" t="s">
        <v>8498</v>
      </c>
      <c r="C66" s="311" t="s">
        <v>8499</v>
      </c>
      <c r="D66" s="312">
        <v>12.0</v>
      </c>
      <c r="E66" s="311" t="s">
        <v>8500</v>
      </c>
      <c r="F66" s="312" t="s">
        <v>8501</v>
      </c>
      <c r="G66" s="327" t="s">
        <v>7972</v>
      </c>
      <c r="H66" s="312" t="s">
        <v>8502</v>
      </c>
      <c r="I66" s="311" t="s">
        <v>8503</v>
      </c>
      <c r="J66" s="312">
        <v>706.0</v>
      </c>
      <c r="K66" s="311" t="s">
        <v>8504</v>
      </c>
      <c r="L66" s="312" t="s">
        <v>8505</v>
      </c>
      <c r="M66" s="327" t="s">
        <v>7972</v>
      </c>
      <c r="N66" s="295"/>
      <c r="O66" s="3"/>
      <c r="P66" s="330"/>
      <c r="Q66" s="337" t="s">
        <v>4752</v>
      </c>
      <c r="R66" s="338"/>
      <c r="S66" s="338"/>
      <c r="T66" s="338"/>
      <c r="U66" s="338"/>
      <c r="V66" s="330"/>
      <c r="X66" s="295"/>
      <c r="Y66" s="311" t="s">
        <v>8506</v>
      </c>
      <c r="Z66" s="312" t="s">
        <v>8507</v>
      </c>
      <c r="AA66" s="328" t="s">
        <v>7988</v>
      </c>
      <c r="AB66" s="295"/>
      <c r="AD66" s="295"/>
      <c r="AE66" s="347"/>
      <c r="AF66" s="295"/>
    </row>
    <row r="67" spans="8:8">
      <c r="A67" s="295"/>
      <c r="B67" s="311" t="s">
        <v>8508</v>
      </c>
      <c r="C67" s="312" t="s">
        <v>8509</v>
      </c>
      <c r="D67" s="311">
        <v>218.0</v>
      </c>
      <c r="E67" s="312" t="s">
        <v>8510</v>
      </c>
      <c r="F67" s="311" t="s">
        <v>8511</v>
      </c>
      <c r="G67" s="327" t="s">
        <v>7972</v>
      </c>
      <c r="H67" s="311" t="s">
        <v>8512</v>
      </c>
      <c r="I67" s="312" t="s">
        <v>8513</v>
      </c>
      <c r="J67" s="311">
        <v>740.0</v>
      </c>
      <c r="K67" s="312" t="s">
        <v>8514</v>
      </c>
      <c r="L67" s="311" t="s">
        <v>8515</v>
      </c>
      <c r="M67" s="327" t="s">
        <v>7972</v>
      </c>
      <c r="N67" s="295"/>
      <c r="O67" s="3"/>
      <c r="P67" s="330"/>
      <c r="Q67" s="348" t="s">
        <v>10099</v>
      </c>
      <c r="R67" s="332"/>
      <c r="S67" s="333"/>
      <c r="T67" s="332"/>
      <c r="U67" s="333"/>
      <c r="V67" s="330"/>
      <c r="X67" s="295"/>
      <c r="Y67" s="312" t="s">
        <v>8516</v>
      </c>
      <c r="Z67" s="311" t="s">
        <v>8517</v>
      </c>
      <c r="AA67" s="334" t="s">
        <v>7988</v>
      </c>
      <c r="AB67" s="295"/>
      <c r="AD67" s="295"/>
      <c r="AE67" s="329" t="s">
        <v>9981</v>
      </c>
      <c r="AF67" s="295"/>
    </row>
    <row r="68" spans="8:8">
      <c r="A68" s="295"/>
      <c r="B68" s="312" t="s">
        <v>8518</v>
      </c>
      <c r="C68" s="311" t="s">
        <v>8519</v>
      </c>
      <c r="D68" s="312">
        <v>233.0</v>
      </c>
      <c r="E68" s="311" t="s">
        <v>8520</v>
      </c>
      <c r="F68" s="312" t="s">
        <v>8521</v>
      </c>
      <c r="G68" s="327" t="s">
        <v>7972</v>
      </c>
      <c r="H68" s="312" t="s">
        <v>8522</v>
      </c>
      <c r="I68" s="311" t="s">
        <v>8523</v>
      </c>
      <c r="J68" s="312">
        <v>728.0</v>
      </c>
      <c r="K68" s="311" t="s">
        <v>8524</v>
      </c>
      <c r="L68" s="312" t="s">
        <v>8525</v>
      </c>
      <c r="M68" s="327" t="s">
        <v>7972</v>
      </c>
      <c r="N68" s="295"/>
      <c r="O68" s="3"/>
      <c r="P68" s="330"/>
      <c r="Q68" s="349" t="s">
        <v>10100</v>
      </c>
      <c r="R68" s="333"/>
      <c r="S68" s="332"/>
      <c r="T68" s="333"/>
      <c r="U68" s="332"/>
      <c r="V68" s="330"/>
      <c r="X68" s="295"/>
      <c r="Y68" s="311" t="s">
        <v>8526</v>
      </c>
      <c r="Z68" s="312" t="s">
        <v>8527</v>
      </c>
      <c r="AA68" s="328" t="s">
        <v>7988</v>
      </c>
      <c r="AB68" s="295"/>
      <c r="AD68" s="295"/>
      <c r="AE68" s="326" t="s">
        <v>10062</v>
      </c>
      <c r="AF68" s="295"/>
    </row>
    <row r="69" spans="8:8">
      <c r="A69" s="295"/>
      <c r="B69" s="311" t="s">
        <v>8528</v>
      </c>
      <c r="C69" s="312" t="s">
        <v>8529</v>
      </c>
      <c r="D69" s="311">
        <v>818.0</v>
      </c>
      <c r="E69" s="312" t="s">
        <v>8530</v>
      </c>
      <c r="F69" s="311" t="s">
        <v>8531</v>
      </c>
      <c r="G69" s="327" t="s">
        <v>7972</v>
      </c>
      <c r="H69" s="311" t="s">
        <v>8532</v>
      </c>
      <c r="I69" s="312" t="s">
        <v>8533</v>
      </c>
      <c r="J69" s="311">
        <v>678.0</v>
      </c>
      <c r="K69" s="312" t="s">
        <v>8534</v>
      </c>
      <c r="L69" s="311" t="s">
        <v>8535</v>
      </c>
      <c r="M69" s="327" t="s">
        <v>7972</v>
      </c>
      <c r="N69" s="295"/>
      <c r="O69" s="3"/>
      <c r="P69" s="330"/>
      <c r="Q69" s="348" t="s">
        <v>10101</v>
      </c>
      <c r="R69" s="332"/>
      <c r="S69" s="333"/>
      <c r="T69" s="332"/>
      <c r="U69" s="333"/>
      <c r="V69" s="330"/>
      <c r="X69" s="295"/>
      <c r="Y69" s="312" t="s">
        <v>8536</v>
      </c>
      <c r="Z69" s="311" t="s">
        <v>8537</v>
      </c>
      <c r="AA69" s="334" t="s">
        <v>7988</v>
      </c>
      <c r="AB69" s="295"/>
      <c r="AD69" s="295"/>
      <c r="AE69" s="347"/>
      <c r="AF69" s="295"/>
    </row>
    <row r="70" spans="8:8">
      <c r="A70" s="295"/>
      <c r="B70" s="312" t="s">
        <v>8538</v>
      </c>
      <c r="C70" s="311" t="s">
        <v>8539</v>
      </c>
      <c r="D70" s="312">
        <v>732.0</v>
      </c>
      <c r="E70" s="311" t="s">
        <v>8540</v>
      </c>
      <c r="F70" s="312" t="s">
        <v>8541</v>
      </c>
      <c r="G70" s="327" t="s">
        <v>7972</v>
      </c>
      <c r="H70" s="312" t="s">
        <v>8542</v>
      </c>
      <c r="I70" s="311" t="s">
        <v>8543</v>
      </c>
      <c r="J70" s="312">
        <v>222.0</v>
      </c>
      <c r="K70" s="311" t="s">
        <v>8544</v>
      </c>
      <c r="L70" s="312" t="s">
        <v>8545</v>
      </c>
      <c r="M70" s="327" t="s">
        <v>7972</v>
      </c>
      <c r="N70" s="295"/>
      <c r="O70" s="3"/>
      <c r="P70" s="330"/>
      <c r="Q70" s="349" t="s">
        <v>10102</v>
      </c>
      <c r="R70" s="333"/>
      <c r="S70" s="332"/>
      <c r="T70" s="333"/>
      <c r="U70" s="332"/>
      <c r="V70" s="330"/>
      <c r="X70" s="295"/>
      <c r="Y70" s="311" t="s">
        <v>8546</v>
      </c>
      <c r="Z70" s="312" t="s">
        <v>8547</v>
      </c>
      <c r="AA70" s="328" t="s">
        <v>7988</v>
      </c>
      <c r="AB70" s="295"/>
      <c r="AD70" s="295"/>
      <c r="AE70" s="326" t="s">
        <v>9983</v>
      </c>
      <c r="AF70" s="295"/>
    </row>
    <row r="71" spans="8:8">
      <c r="A71" s="295"/>
      <c r="B71" s="311" t="s">
        <v>8548</v>
      </c>
      <c r="C71" s="312" t="s">
        <v>8549</v>
      </c>
      <c r="D71" s="311">
        <v>232.0</v>
      </c>
      <c r="E71" s="312" t="s">
        <v>8550</v>
      </c>
      <c r="F71" s="311" t="s">
        <v>8551</v>
      </c>
      <c r="G71" s="327" t="s">
        <v>7972</v>
      </c>
      <c r="H71" s="311" t="s">
        <v>8552</v>
      </c>
      <c r="I71" s="312" t="s">
        <v>8553</v>
      </c>
      <c r="J71" s="311">
        <v>534.0</v>
      </c>
      <c r="K71" s="312" t="s">
        <v>8554</v>
      </c>
      <c r="L71" s="311" t="s">
        <v>8555</v>
      </c>
      <c r="M71" s="327" t="s">
        <v>7972</v>
      </c>
      <c r="N71" s="295"/>
      <c r="O71" s="3"/>
      <c r="P71" s="330"/>
      <c r="Q71" s="348" t="s">
        <v>10103</v>
      </c>
      <c r="R71" s="332"/>
      <c r="S71" s="333"/>
      <c r="T71" s="332"/>
      <c r="U71" s="333"/>
      <c r="V71" s="330"/>
      <c r="X71" s="295"/>
      <c r="Y71" s="312" t="s">
        <v>8556</v>
      </c>
      <c r="Z71" s="311" t="s">
        <v>8557</v>
      </c>
      <c r="AA71" s="334" t="s">
        <v>7988</v>
      </c>
      <c r="AB71" s="295"/>
      <c r="AD71" s="295"/>
      <c r="AE71" s="329" t="s">
        <v>10063</v>
      </c>
      <c r="AF71" s="295"/>
    </row>
    <row r="72" spans="8:8" ht="20.25">
      <c r="A72" s="295"/>
      <c r="B72" s="312" t="s">
        <v>8558</v>
      </c>
      <c r="C72" s="311" t="s">
        <v>8559</v>
      </c>
      <c r="D72" s="312">
        <v>724.0</v>
      </c>
      <c r="E72" s="311" t="s">
        <v>8560</v>
      </c>
      <c r="F72" s="312" t="s">
        <v>8561</v>
      </c>
      <c r="G72" s="327" t="s">
        <v>7972</v>
      </c>
      <c r="H72" s="312" t="s">
        <v>8562</v>
      </c>
      <c r="I72" s="311" t="s">
        <v>8563</v>
      </c>
      <c r="J72" s="312">
        <v>760.0</v>
      </c>
      <c r="K72" s="311" t="s">
        <v>8564</v>
      </c>
      <c r="L72" s="312" t="s">
        <v>8565</v>
      </c>
      <c r="M72" s="327" t="s">
        <v>7972</v>
      </c>
      <c r="N72" s="295"/>
      <c r="O72" s="3"/>
      <c r="P72" s="330"/>
      <c r="Q72" s="349"/>
      <c r="R72" s="333"/>
      <c r="S72" s="332"/>
      <c r="T72" s="333"/>
      <c r="U72" s="332"/>
      <c r="V72" s="330"/>
      <c r="X72" s="295"/>
      <c r="Y72" s="311" t="s">
        <v>8566</v>
      </c>
      <c r="Z72" s="312" t="s">
        <v>8567</v>
      </c>
      <c r="AA72" s="328" t="s">
        <v>7988</v>
      </c>
      <c r="AB72" s="295"/>
      <c r="AD72" s="295"/>
      <c r="AE72" s="347"/>
      <c r="AF72" s="295"/>
    </row>
    <row r="73" spans="8:8" ht="18.85">
      <c r="A73" s="295"/>
      <c r="B73" s="311" t="s">
        <v>8568</v>
      </c>
      <c r="C73" s="312" t="s">
        <v>8569</v>
      </c>
      <c r="D73" s="311">
        <v>231.0</v>
      </c>
      <c r="E73" s="312" t="s">
        <v>8570</v>
      </c>
      <c r="F73" s="311" t="s">
        <v>8571</v>
      </c>
      <c r="G73" s="327" t="s">
        <v>7972</v>
      </c>
      <c r="H73" s="311" t="s">
        <v>8572</v>
      </c>
      <c r="I73" s="312" t="s">
        <v>8573</v>
      </c>
      <c r="J73" s="311">
        <v>748.0</v>
      </c>
      <c r="K73" s="312" t="s">
        <v>8574</v>
      </c>
      <c r="L73" s="311" t="s">
        <v>8575</v>
      </c>
      <c r="M73" s="327" t="s">
        <v>7972</v>
      </c>
      <c r="N73" s="295"/>
      <c r="O73" s="3"/>
      <c r="P73" s="330"/>
      <c r="Q73" s="348" t="s">
        <v>10104</v>
      </c>
      <c r="R73" s="332"/>
      <c r="S73" s="333"/>
      <c r="T73" s="332"/>
      <c r="U73" s="333"/>
      <c r="V73" s="330"/>
      <c r="X73" s="295"/>
      <c r="Y73" s="312" t="s">
        <v>8576</v>
      </c>
      <c r="Z73" s="311" t="s">
        <v>8577</v>
      </c>
      <c r="AA73" s="334" t="s">
        <v>7988</v>
      </c>
      <c r="AB73" s="295"/>
      <c r="AD73" s="295"/>
      <c r="AE73" s="329" t="s">
        <v>10064</v>
      </c>
      <c r="AF73" s="295"/>
    </row>
    <row r="74" spans="8:8">
      <c r="A74" s="295"/>
      <c r="B74" s="312" t="s">
        <v>8578</v>
      </c>
      <c r="C74" s="311" t="s">
        <v>8579</v>
      </c>
      <c r="D74" s="312">
        <v>246.0</v>
      </c>
      <c r="E74" s="311" t="s">
        <v>8580</v>
      </c>
      <c r="F74" s="312" t="s">
        <v>8581</v>
      </c>
      <c r="G74" s="327" t="s">
        <v>7972</v>
      </c>
      <c r="H74" s="312" t="s">
        <v>8582</v>
      </c>
      <c r="I74" s="311" t="s">
        <v>8583</v>
      </c>
      <c r="J74" s="312">
        <v>796.0</v>
      </c>
      <c r="K74" s="311" t="s">
        <v>8584</v>
      </c>
      <c r="L74" s="312" t="s">
        <v>8585</v>
      </c>
      <c r="M74" s="327" t="s">
        <v>7972</v>
      </c>
      <c r="N74" s="295"/>
      <c r="O74" s="3"/>
      <c r="P74" s="330"/>
      <c r="Q74" s="349" t="s">
        <v>10107</v>
      </c>
      <c r="R74" s="333"/>
      <c r="S74" s="332"/>
      <c r="T74" s="333"/>
      <c r="U74" s="332"/>
      <c r="V74" s="330"/>
      <c r="X74" s="295"/>
      <c r="Y74" s="311" t="s">
        <v>8586</v>
      </c>
      <c r="Z74" s="312" t="s">
        <v>8587</v>
      </c>
      <c r="AA74" s="328" t="s">
        <v>7988</v>
      </c>
      <c r="AB74" s="295"/>
      <c r="AD74" s="295"/>
      <c r="AE74" s="326" t="s">
        <v>10065</v>
      </c>
      <c r="AF74" s="295"/>
    </row>
    <row r="75" spans="8:8">
      <c r="A75" s="295"/>
      <c r="B75" s="311" t="s">
        <v>8588</v>
      </c>
      <c r="C75" s="312" t="s">
        <v>8589</v>
      </c>
      <c r="D75" s="311">
        <v>242.0</v>
      </c>
      <c r="E75" s="312" t="s">
        <v>8590</v>
      </c>
      <c r="F75" s="311" t="s">
        <v>8591</v>
      </c>
      <c r="G75" s="327" t="s">
        <v>7972</v>
      </c>
      <c r="H75" s="311" t="s">
        <v>8592</v>
      </c>
      <c r="I75" s="312" t="s">
        <v>8593</v>
      </c>
      <c r="J75" s="311">
        <v>148.0</v>
      </c>
      <c r="K75" s="312" t="s">
        <v>8594</v>
      </c>
      <c r="L75" s="311" t="s">
        <v>8595</v>
      </c>
      <c r="M75" s="327" t="s">
        <v>7972</v>
      </c>
      <c r="N75" s="295"/>
      <c r="O75" s="3"/>
      <c r="P75" s="330"/>
      <c r="Q75" s="348"/>
      <c r="R75" s="332"/>
      <c r="S75" s="333"/>
      <c r="T75" s="332"/>
      <c r="U75" s="333"/>
      <c r="V75" s="330"/>
      <c r="X75" s="295"/>
      <c r="Y75" s="312" t="s">
        <v>8596</v>
      </c>
      <c r="Z75" s="311" t="s">
        <v>8597</v>
      </c>
      <c r="AA75" s="334" t="s">
        <v>7988</v>
      </c>
      <c r="AB75" s="295"/>
      <c r="AD75" s="295"/>
      <c r="AE75" s="347"/>
      <c r="AF75" s="295"/>
    </row>
    <row r="76" spans="8:8">
      <c r="A76" s="295"/>
      <c r="B76" s="312" t="s">
        <v>8598</v>
      </c>
      <c r="C76" s="311" t="s">
        <v>8599</v>
      </c>
      <c r="D76" s="312">
        <v>238.0</v>
      </c>
      <c r="E76" s="311" t="s">
        <v>8600</v>
      </c>
      <c r="F76" s="312" t="s">
        <v>8601</v>
      </c>
      <c r="G76" s="327" t="s">
        <v>7972</v>
      </c>
      <c r="H76" s="312" t="s">
        <v>8602</v>
      </c>
      <c r="I76" s="311" t="s">
        <v>8603</v>
      </c>
      <c r="J76" s="312">
        <v>260.0</v>
      </c>
      <c r="K76" s="311" t="s">
        <v>8604</v>
      </c>
      <c r="L76" s="312" t="s">
        <v>8605</v>
      </c>
      <c r="M76" s="327" t="s">
        <v>7972</v>
      </c>
      <c r="N76" s="295"/>
      <c r="O76" s="3"/>
      <c r="P76" s="330"/>
      <c r="Q76" s="349" t="s">
        <v>10108</v>
      </c>
      <c r="R76" s="333"/>
      <c r="S76" s="332"/>
      <c r="T76" s="333"/>
      <c r="U76" s="332"/>
      <c r="V76" s="330"/>
      <c r="X76" s="295"/>
      <c r="Y76" s="311" t="s">
        <v>8606</v>
      </c>
      <c r="Z76" s="312" t="s">
        <v>8607</v>
      </c>
      <c r="AA76" s="328" t="s">
        <v>7988</v>
      </c>
      <c r="AB76" s="295"/>
      <c r="AD76" s="295"/>
      <c r="AE76" s="326" t="s">
        <v>10066</v>
      </c>
      <c r="AF76" s="295"/>
    </row>
    <row r="77" spans="8:8" ht="17.8">
      <c r="A77" s="295"/>
      <c r="B77" s="311" t="s">
        <v>8608</v>
      </c>
      <c r="C77" s="312" t="s">
        <v>8609</v>
      </c>
      <c r="D77" s="311">
        <v>583.0</v>
      </c>
      <c r="E77" s="312" t="s">
        <v>8610</v>
      </c>
      <c r="F77" s="311" t="s">
        <v>8611</v>
      </c>
      <c r="G77" s="327" t="s">
        <v>7972</v>
      </c>
      <c r="H77" s="311" t="s">
        <v>8612</v>
      </c>
      <c r="I77" s="312" t="s">
        <v>8613</v>
      </c>
      <c r="J77" s="311">
        <v>768.0</v>
      </c>
      <c r="K77" s="312" t="s">
        <v>8614</v>
      </c>
      <c r="L77" s="311" t="s">
        <v>8615</v>
      </c>
      <c r="M77" s="327" t="s">
        <v>7972</v>
      </c>
      <c r="N77" s="295"/>
      <c r="O77" s="3"/>
      <c r="P77" s="330"/>
      <c r="Q77" s="348"/>
      <c r="R77" s="332"/>
      <c r="S77" s="333"/>
      <c r="T77" s="332"/>
      <c r="U77" s="333"/>
      <c r="V77" s="330"/>
      <c r="X77" s="295"/>
      <c r="Y77" s="312" t="s">
        <v>8616</v>
      </c>
      <c r="Z77" s="311" t="s">
        <v>8617</v>
      </c>
      <c r="AA77" s="334" t="s">
        <v>7988</v>
      </c>
      <c r="AB77" s="295"/>
      <c r="AD77" s="295"/>
      <c r="AE77" s="329" t="s">
        <v>10067</v>
      </c>
      <c r="AF77" s="295"/>
    </row>
    <row r="78" spans="8:8" ht="25.35" customHeight="1">
      <c r="A78" s="295"/>
      <c r="B78" s="312" t="s">
        <v>8618</v>
      </c>
      <c r="C78" s="311" t="s">
        <v>8619</v>
      </c>
      <c r="D78" s="312">
        <v>234.0</v>
      </c>
      <c r="E78" s="311" t="s">
        <v>8620</v>
      </c>
      <c r="F78" s="312" t="s">
        <v>8621</v>
      </c>
      <c r="G78" s="327" t="s">
        <v>7972</v>
      </c>
      <c r="H78" s="312" t="s">
        <v>8622</v>
      </c>
      <c r="I78" s="311" t="s">
        <v>8623</v>
      </c>
      <c r="J78" s="312">
        <v>764.0</v>
      </c>
      <c r="K78" s="311" t="s">
        <v>8624</v>
      </c>
      <c r="L78" s="312" t="s">
        <v>8625</v>
      </c>
      <c r="M78" s="327" t="s">
        <v>7972</v>
      </c>
      <c r="N78" s="295"/>
      <c r="O78" s="3"/>
      <c r="P78" s="330"/>
      <c r="Q78" s="337" t="s">
        <v>10186</v>
      </c>
      <c r="R78" s="338"/>
      <c r="S78" s="338"/>
      <c r="T78" s="338"/>
      <c r="U78" s="338"/>
      <c r="V78" s="330"/>
      <c r="X78" s="295"/>
      <c r="Y78" s="321"/>
      <c r="Z78" s="322"/>
      <c r="AA78" s="321"/>
      <c r="AB78" s="295"/>
      <c r="AD78" s="295"/>
      <c r="AE78" s="347"/>
      <c r="AF78" s="295"/>
    </row>
    <row r="79" spans="8:8">
      <c r="A79" s="295"/>
      <c r="B79" s="311" t="s">
        <v>8626</v>
      </c>
      <c r="C79" s="312" t="s">
        <v>8627</v>
      </c>
      <c r="D79" s="311">
        <v>250.0</v>
      </c>
      <c r="E79" s="312" t="s">
        <v>8628</v>
      </c>
      <c r="F79" s="311" t="s">
        <v>8629</v>
      </c>
      <c r="G79" s="327" t="s">
        <v>7972</v>
      </c>
      <c r="H79" s="311" t="s">
        <v>8630</v>
      </c>
      <c r="I79" s="312" t="s">
        <v>8631</v>
      </c>
      <c r="J79" s="311">
        <v>762.0</v>
      </c>
      <c r="K79" s="312" t="s">
        <v>8632</v>
      </c>
      <c r="L79" s="311" t="s">
        <v>8633</v>
      </c>
      <c r="M79" s="327" t="s">
        <v>7972</v>
      </c>
      <c r="N79" s="295"/>
      <c r="O79" s="3"/>
      <c r="P79" s="330"/>
      <c r="Q79" s="348" t="s">
        <v>10187</v>
      </c>
      <c r="R79" s="332"/>
      <c r="S79" s="333"/>
      <c r="T79" s="332"/>
      <c r="U79" s="333"/>
      <c r="V79" s="330"/>
      <c r="X79" s="295"/>
      <c r="Y79" s="322"/>
      <c r="Z79" s="321"/>
      <c r="AA79" s="322"/>
      <c r="AB79" s="295"/>
      <c r="AD79" s="295"/>
      <c r="AE79" s="329" t="s">
        <v>10068</v>
      </c>
      <c r="AF79" s="295"/>
    </row>
    <row r="80" spans="8:8">
      <c r="A80" s="295"/>
      <c r="B80" s="312" t="s">
        <v>8634</v>
      </c>
      <c r="C80" s="311" t="s">
        <v>8635</v>
      </c>
      <c r="D80" s="312">
        <v>266.0</v>
      </c>
      <c r="E80" s="311" t="s">
        <v>8636</v>
      </c>
      <c r="F80" s="312" t="s">
        <v>8637</v>
      </c>
      <c r="G80" s="327" t="s">
        <v>7972</v>
      </c>
      <c r="H80" s="312" t="s">
        <v>8638</v>
      </c>
      <c r="I80" s="311" t="s">
        <v>8639</v>
      </c>
      <c r="J80" s="312">
        <v>772.0</v>
      </c>
      <c r="K80" s="311" t="s">
        <v>8640</v>
      </c>
      <c r="L80" s="312" t="s">
        <v>8641</v>
      </c>
      <c r="M80" s="327" t="s">
        <v>7972</v>
      </c>
      <c r="N80" s="295"/>
      <c r="O80" s="3"/>
      <c r="P80" s="330"/>
      <c r="Q80" s="349" t="s">
        <v>10188</v>
      </c>
      <c r="R80" s="333"/>
      <c r="S80" s="332"/>
      <c r="T80" s="333"/>
      <c r="U80" s="332"/>
      <c r="V80" s="330"/>
      <c r="X80" s="295"/>
      <c r="Y80" s="321"/>
      <c r="Z80" s="322"/>
      <c r="AA80" s="321"/>
      <c r="AB80" s="295"/>
      <c r="AD80" s="295"/>
      <c r="AE80" s="326" t="s">
        <v>10069</v>
      </c>
      <c r="AF80" s="295"/>
    </row>
    <row r="81" spans="8:8">
      <c r="A81" s="295"/>
      <c r="B81" s="311" t="s">
        <v>8642</v>
      </c>
      <c r="C81" s="312" t="s">
        <v>8643</v>
      </c>
      <c r="D81" s="311">
        <v>826.0</v>
      </c>
      <c r="E81" s="312" t="s">
        <v>8644</v>
      </c>
      <c r="F81" s="311" t="s">
        <v>8645</v>
      </c>
      <c r="G81" s="327" t="s">
        <v>7972</v>
      </c>
      <c r="H81" s="311" t="s">
        <v>8646</v>
      </c>
      <c r="I81" s="312" t="s">
        <v>8647</v>
      </c>
      <c r="J81" s="311">
        <v>626.0</v>
      </c>
      <c r="K81" s="312" t="s">
        <v>8648</v>
      </c>
      <c r="L81" s="311" t="s">
        <v>8649</v>
      </c>
      <c r="M81" s="327" t="s">
        <v>7972</v>
      </c>
      <c r="N81" s="295"/>
      <c r="O81" s="3"/>
      <c r="P81" s="330"/>
      <c r="Q81" s="348" t="s">
        <v>10189</v>
      </c>
      <c r="R81" s="332"/>
      <c r="S81" s="333"/>
      <c r="T81" s="332"/>
      <c r="U81" s="333"/>
      <c r="V81" s="330"/>
      <c r="X81" s="295"/>
      <c r="Y81" s="322"/>
      <c r="Z81" s="321"/>
      <c r="AA81" s="322"/>
      <c r="AB81" s="295"/>
      <c r="AD81" s="295"/>
      <c r="AE81" s="347"/>
      <c r="AF81" s="295"/>
    </row>
    <row r="82" spans="8:8">
      <c r="A82" s="295"/>
      <c r="B82" s="312" t="s">
        <v>8650</v>
      </c>
      <c r="C82" s="311" t="s">
        <v>8651</v>
      </c>
      <c r="D82" s="312">
        <v>308.0</v>
      </c>
      <c r="E82" s="311" t="s">
        <v>8652</v>
      </c>
      <c r="F82" s="312" t="s">
        <v>8653</v>
      </c>
      <c r="G82" s="327" t="s">
        <v>7972</v>
      </c>
      <c r="H82" s="312" t="s">
        <v>8654</v>
      </c>
      <c r="I82" s="311" t="s">
        <v>8655</v>
      </c>
      <c r="J82" s="312">
        <v>795.0</v>
      </c>
      <c r="K82" s="311" t="s">
        <v>8656</v>
      </c>
      <c r="L82" s="312" t="s">
        <v>8657</v>
      </c>
      <c r="M82" s="327" t="s">
        <v>7972</v>
      </c>
      <c r="N82" s="295"/>
      <c r="O82" s="3"/>
      <c r="P82" s="330"/>
      <c r="Q82" s="349" t="s">
        <v>10190</v>
      </c>
      <c r="R82" s="333"/>
      <c r="S82" s="332"/>
      <c r="T82" s="333"/>
      <c r="U82" s="332"/>
      <c r="V82" s="330"/>
      <c r="X82" s="295"/>
      <c r="Y82" s="321"/>
      <c r="Z82" s="322"/>
      <c r="AA82" s="321"/>
      <c r="AB82" s="295"/>
      <c r="AD82" s="295"/>
      <c r="AE82" s="326" t="s">
        <v>10070</v>
      </c>
      <c r="AF82" s="295"/>
    </row>
    <row r="83" spans="8:8" ht="17.8">
      <c r="A83" s="295"/>
      <c r="B83" s="311" t="s">
        <v>8658</v>
      </c>
      <c r="C83" s="312" t="s">
        <v>8659</v>
      </c>
      <c r="D83" s="311">
        <v>268.0</v>
      </c>
      <c r="E83" s="312" t="s">
        <v>8660</v>
      </c>
      <c r="F83" s="311" t="s">
        <v>8661</v>
      </c>
      <c r="G83" s="327" t="s">
        <v>7972</v>
      </c>
      <c r="H83" s="311" t="s">
        <v>8662</v>
      </c>
      <c r="I83" s="312" t="s">
        <v>8663</v>
      </c>
      <c r="J83" s="311">
        <v>788.0</v>
      </c>
      <c r="K83" s="312" t="s">
        <v>8664</v>
      </c>
      <c r="L83" s="311" t="s">
        <v>8665</v>
      </c>
      <c r="M83" s="327" t="s">
        <v>7972</v>
      </c>
      <c r="N83" s="295"/>
      <c r="O83" s="3"/>
      <c r="P83" s="330"/>
      <c r="Q83" s="348"/>
      <c r="R83" s="332"/>
      <c r="S83" s="333"/>
      <c r="T83" s="332"/>
      <c r="U83" s="333"/>
      <c r="V83" s="330"/>
      <c r="X83" s="295"/>
      <c r="Y83" s="322"/>
      <c r="Z83" s="321"/>
      <c r="AA83" s="322"/>
      <c r="AB83" s="295"/>
      <c r="AD83" s="295"/>
      <c r="AE83" s="329" t="s">
        <v>10071</v>
      </c>
      <c r="AF83" s="295"/>
    </row>
    <row r="84" spans="8:8">
      <c r="A84" s="295"/>
      <c r="B84" s="312" t="s">
        <v>8666</v>
      </c>
      <c r="C84" s="311" t="s">
        <v>8667</v>
      </c>
      <c r="D84" s="312">
        <v>254.0</v>
      </c>
      <c r="E84" s="311" t="s">
        <v>8668</v>
      </c>
      <c r="F84" s="312" t="s">
        <v>8669</v>
      </c>
      <c r="G84" s="327" t="s">
        <v>7972</v>
      </c>
      <c r="H84" s="312" t="s">
        <v>8670</v>
      </c>
      <c r="I84" s="311" t="s">
        <v>8671</v>
      </c>
      <c r="J84" s="312">
        <v>776.0</v>
      </c>
      <c r="K84" s="311" t="s">
        <v>8672</v>
      </c>
      <c r="L84" s="312" t="s">
        <v>8673</v>
      </c>
      <c r="M84" s="327" t="s">
        <v>7972</v>
      </c>
      <c r="N84" s="295"/>
      <c r="O84" s="3"/>
      <c r="P84" s="330"/>
      <c r="Q84" s="349" t="s">
        <v>10191</v>
      </c>
      <c r="R84" s="333"/>
      <c r="S84" s="332"/>
      <c r="T84" s="333"/>
      <c r="U84" s="332"/>
      <c r="V84" s="330"/>
      <c r="X84" s="295"/>
      <c r="Y84" s="321"/>
      <c r="Z84" s="322"/>
      <c r="AA84" s="321"/>
      <c r="AB84" s="295"/>
      <c r="AD84" s="295"/>
      <c r="AE84" s="347"/>
      <c r="AF84" s="295"/>
    </row>
    <row r="85" spans="8:8">
      <c r="A85" s="295"/>
      <c r="B85" s="311" t="s">
        <v>8674</v>
      </c>
      <c r="C85" s="312" t="s">
        <v>8675</v>
      </c>
      <c r="D85" s="311">
        <v>831.0</v>
      </c>
      <c r="E85" s="312" t="s">
        <v>8676</v>
      </c>
      <c r="F85" s="311" t="s">
        <v>8677</v>
      </c>
      <c r="G85" s="327" t="s">
        <v>7972</v>
      </c>
      <c r="H85" s="311" t="s">
        <v>8678</v>
      </c>
      <c r="I85" s="312" t="s">
        <v>8679</v>
      </c>
      <c r="J85" s="311">
        <v>792.0</v>
      </c>
      <c r="K85" s="312" t="s">
        <v>8680</v>
      </c>
      <c r="L85" s="311" t="s">
        <v>8681</v>
      </c>
      <c r="M85" s="327" t="s">
        <v>7972</v>
      </c>
      <c r="N85" s="295"/>
      <c r="O85" s="3"/>
      <c r="P85" s="330"/>
      <c r="Q85" s="348" t="s">
        <v>10192</v>
      </c>
      <c r="R85" s="332"/>
      <c r="S85" s="333"/>
      <c r="T85" s="332"/>
      <c r="U85" s="333"/>
      <c r="V85" s="330"/>
      <c r="X85" s="295"/>
      <c r="Y85" s="322"/>
      <c r="Z85" s="321"/>
      <c r="AA85" s="322"/>
      <c r="AB85" s="295"/>
      <c r="AD85" s="295"/>
      <c r="AE85" s="329" t="s">
        <v>9993</v>
      </c>
      <c r="AF85" s="295"/>
    </row>
    <row r="86" spans="8:8">
      <c r="A86" s="295"/>
      <c r="B86" s="312" t="s">
        <v>8682</v>
      </c>
      <c r="C86" s="311" t="s">
        <v>8683</v>
      </c>
      <c r="D86" s="312">
        <v>288.0</v>
      </c>
      <c r="E86" s="311" t="s">
        <v>8684</v>
      </c>
      <c r="F86" s="312" t="s">
        <v>8685</v>
      </c>
      <c r="G86" s="327" t="s">
        <v>7972</v>
      </c>
      <c r="H86" s="312" t="s">
        <v>8686</v>
      </c>
      <c r="I86" s="311" t="s">
        <v>8687</v>
      </c>
      <c r="J86" s="312">
        <v>780.0</v>
      </c>
      <c r="K86" s="311" t="s">
        <v>8688</v>
      </c>
      <c r="L86" s="312" t="s">
        <v>8689</v>
      </c>
      <c r="M86" s="327" t="s">
        <v>7972</v>
      </c>
      <c r="N86" s="295"/>
      <c r="O86" s="3"/>
      <c r="P86" s="330"/>
      <c r="Q86" s="349" t="s">
        <v>10194</v>
      </c>
      <c r="R86" s="333"/>
      <c r="S86" s="332"/>
      <c r="T86" s="333"/>
      <c r="U86" s="332"/>
      <c r="V86" s="330"/>
      <c r="X86" s="295"/>
      <c r="Y86" s="321"/>
      <c r="Z86" s="322"/>
      <c r="AA86" s="321"/>
      <c r="AB86" s="295"/>
      <c r="AD86" s="295"/>
      <c r="AE86" s="326" t="s">
        <v>10072</v>
      </c>
      <c r="AF86" s="295"/>
    </row>
    <row r="87" spans="8:8">
      <c r="A87" s="295"/>
      <c r="B87" s="311" t="s">
        <v>8690</v>
      </c>
      <c r="C87" s="312" t="s">
        <v>8691</v>
      </c>
      <c r="D87" s="311">
        <v>292.0</v>
      </c>
      <c r="E87" s="312" t="s">
        <v>8692</v>
      </c>
      <c r="F87" s="311" t="s">
        <v>8693</v>
      </c>
      <c r="G87" s="327" t="s">
        <v>7972</v>
      </c>
      <c r="H87" s="311" t="s">
        <v>8694</v>
      </c>
      <c r="I87" s="312" t="s">
        <v>8695</v>
      </c>
      <c r="J87" s="311">
        <v>798.0</v>
      </c>
      <c r="K87" s="312" t="s">
        <v>8696</v>
      </c>
      <c r="L87" s="311" t="s">
        <v>8697</v>
      </c>
      <c r="M87" s="327" t="s">
        <v>7972</v>
      </c>
      <c r="N87" s="295"/>
      <c r="O87" s="3"/>
      <c r="P87" s="330"/>
      <c r="Q87" s="348" t="s">
        <v>10195</v>
      </c>
      <c r="R87" s="332"/>
      <c r="S87" s="333"/>
      <c r="T87" s="332"/>
      <c r="U87" s="333"/>
      <c r="V87" s="330"/>
      <c r="X87" s="295"/>
      <c r="Y87" s="322"/>
      <c r="Z87" s="321"/>
      <c r="AA87" s="322"/>
      <c r="AB87" s="295"/>
      <c r="AD87" s="295"/>
      <c r="AE87" s="329" t="s">
        <v>10073</v>
      </c>
      <c r="AF87" s="295"/>
    </row>
    <row r="88" spans="8:8">
      <c r="A88" s="295"/>
      <c r="B88" s="312" t="s">
        <v>8698</v>
      </c>
      <c r="C88" s="311" t="s">
        <v>8699</v>
      </c>
      <c r="D88" s="312">
        <v>304.0</v>
      </c>
      <c r="E88" s="311" t="s">
        <v>8700</v>
      </c>
      <c r="F88" s="312" t="s">
        <v>8701</v>
      </c>
      <c r="G88" s="327" t="s">
        <v>7972</v>
      </c>
      <c r="H88" s="312" t="s">
        <v>8702</v>
      </c>
      <c r="I88" s="311" t="s">
        <v>8703</v>
      </c>
      <c r="J88" s="312">
        <v>158.0</v>
      </c>
      <c r="K88" s="311" t="s">
        <v>8704</v>
      </c>
      <c r="L88" s="312" t="s">
        <v>8705</v>
      </c>
      <c r="M88" s="327" t="s">
        <v>7972</v>
      </c>
      <c r="N88" s="295"/>
      <c r="O88" s="3"/>
      <c r="P88" s="330"/>
      <c r="Q88" s="349" t="s">
        <v>10196</v>
      </c>
      <c r="R88" s="333"/>
      <c r="S88" s="332"/>
      <c r="T88" s="333"/>
      <c r="U88" s="332"/>
      <c r="V88" s="330"/>
      <c r="X88" s="295"/>
      <c r="Y88" s="321"/>
      <c r="Z88" s="322"/>
      <c r="AA88" s="321"/>
      <c r="AB88" s="295"/>
      <c r="AD88" s="295"/>
      <c r="AE88" s="347"/>
      <c r="AF88" s="295"/>
    </row>
    <row r="89" spans="8:8">
      <c r="A89" s="295"/>
      <c r="B89" s="311" t="s">
        <v>8706</v>
      </c>
      <c r="C89" s="312" t="s">
        <v>8707</v>
      </c>
      <c r="D89" s="311">
        <v>270.0</v>
      </c>
      <c r="E89" s="312" t="s">
        <v>8708</v>
      </c>
      <c r="F89" s="311" t="s">
        <v>8709</v>
      </c>
      <c r="G89" s="327" t="s">
        <v>7972</v>
      </c>
      <c r="H89" s="311" t="s">
        <v>8710</v>
      </c>
      <c r="I89" s="312" t="s">
        <v>8711</v>
      </c>
      <c r="J89" s="311">
        <v>834.0</v>
      </c>
      <c r="K89" s="312" t="s">
        <v>8712</v>
      </c>
      <c r="L89" s="311" t="s">
        <v>8713</v>
      </c>
      <c r="M89" s="327" t="s">
        <v>7972</v>
      </c>
      <c r="N89" s="295"/>
      <c r="O89" s="3"/>
      <c r="P89" s="330"/>
      <c r="Q89" s="348" t="s">
        <v>10197</v>
      </c>
      <c r="R89" s="332"/>
      <c r="S89" s="333"/>
      <c r="T89" s="332"/>
      <c r="U89" s="333"/>
      <c r="V89" s="330"/>
      <c r="X89" s="295"/>
      <c r="Y89" s="322"/>
      <c r="Z89" s="321"/>
      <c r="AA89" s="322"/>
      <c r="AB89" s="295"/>
      <c r="AD89" s="295"/>
      <c r="AE89" s="329" t="s">
        <v>9996</v>
      </c>
      <c r="AF89" s="295"/>
    </row>
    <row r="90" spans="8:8">
      <c r="A90" s="295"/>
      <c r="B90" s="312" t="s">
        <v>8714</v>
      </c>
      <c r="C90" s="311" t="s">
        <v>8715</v>
      </c>
      <c r="D90" s="312">
        <v>324.0</v>
      </c>
      <c r="E90" s="311" t="s">
        <v>8716</v>
      </c>
      <c r="F90" s="312" t="s">
        <v>8717</v>
      </c>
      <c r="G90" s="327" t="s">
        <v>7972</v>
      </c>
      <c r="H90" s="312" t="s">
        <v>8718</v>
      </c>
      <c r="I90" s="311" t="s">
        <v>8719</v>
      </c>
      <c r="J90" s="312">
        <v>804.0</v>
      </c>
      <c r="K90" s="311" t="s">
        <v>8720</v>
      </c>
      <c r="L90" s="312" t="s">
        <v>8721</v>
      </c>
      <c r="M90" s="327" t="s">
        <v>7972</v>
      </c>
      <c r="N90" s="295"/>
      <c r="O90" s="3"/>
      <c r="P90" s="330"/>
      <c r="Q90" s="349" t="s">
        <v>10198</v>
      </c>
      <c r="R90" s="333"/>
      <c r="S90" s="332"/>
      <c r="T90" s="333"/>
      <c r="U90" s="332"/>
      <c r="V90" s="330"/>
      <c r="X90" s="295"/>
      <c r="Y90" s="321"/>
      <c r="Z90" s="322"/>
      <c r="AA90" s="321"/>
      <c r="AB90" s="295"/>
      <c r="AD90" s="295"/>
      <c r="AE90" s="326" t="s">
        <v>10074</v>
      </c>
      <c r="AF90" s="295"/>
    </row>
    <row r="91" spans="8:8" ht="17.8">
      <c r="A91" s="295"/>
      <c r="B91" s="311" t="s">
        <v>8722</v>
      </c>
      <c r="C91" s="312" t="s">
        <v>8723</v>
      </c>
      <c r="D91" s="311">
        <v>312.0</v>
      </c>
      <c r="E91" s="312" t="s">
        <v>8724</v>
      </c>
      <c r="F91" s="311" t="s">
        <v>8725</v>
      </c>
      <c r="G91" s="327" t="s">
        <v>7972</v>
      </c>
      <c r="H91" s="311" t="s">
        <v>8726</v>
      </c>
      <c r="I91" s="312" t="s">
        <v>8727</v>
      </c>
      <c r="J91" s="311">
        <v>800.0</v>
      </c>
      <c r="K91" s="312" t="s">
        <v>8728</v>
      </c>
      <c r="L91" s="311" t="s">
        <v>8729</v>
      </c>
      <c r="M91" s="327" t="s">
        <v>7972</v>
      </c>
      <c r="N91" s="295"/>
      <c r="O91" s="3"/>
      <c r="P91" s="330"/>
      <c r="Q91" s="348"/>
      <c r="R91" s="332"/>
      <c r="S91" s="333"/>
      <c r="T91" s="332"/>
      <c r="U91" s="333"/>
      <c r="V91" s="330"/>
      <c r="X91" s="295"/>
      <c r="Y91" s="322"/>
      <c r="Z91" s="321"/>
      <c r="AA91" s="322"/>
      <c r="AB91" s="295"/>
      <c r="AD91" s="295"/>
      <c r="AE91" s="347"/>
      <c r="AF91" s="295"/>
    </row>
    <row r="92" spans="8:8" ht="16.7">
      <c r="A92" s="295"/>
      <c r="B92" s="312" t="s">
        <v>8730</v>
      </c>
      <c r="C92" s="311" t="s">
        <v>8731</v>
      </c>
      <c r="D92" s="312">
        <v>226.0</v>
      </c>
      <c r="E92" s="311" t="s">
        <v>8732</v>
      </c>
      <c r="F92" s="312" t="s">
        <v>8733</v>
      </c>
      <c r="G92" s="327" t="s">
        <v>7972</v>
      </c>
      <c r="H92" s="312" t="s">
        <v>8734</v>
      </c>
      <c r="I92" s="311" t="s">
        <v>8735</v>
      </c>
      <c r="J92" s="312">
        <v>581.0</v>
      </c>
      <c r="K92" s="311" t="s">
        <v>8736</v>
      </c>
      <c r="L92" s="312" t="s">
        <v>8737</v>
      </c>
      <c r="M92" s="327" t="s">
        <v>7972</v>
      </c>
      <c r="N92" s="295"/>
      <c r="O92" s="3"/>
      <c r="P92" s="330"/>
      <c r="Q92" s="349" t="s">
        <v>10201</v>
      </c>
      <c r="R92" s="333"/>
      <c r="S92" s="332"/>
      <c r="T92" s="333"/>
      <c r="U92" s="332"/>
      <c r="V92" s="330"/>
      <c r="X92" s="295"/>
      <c r="Y92" s="321"/>
      <c r="Z92" s="322"/>
      <c r="AA92" s="321"/>
      <c r="AB92" s="295"/>
      <c r="AD92" s="295"/>
      <c r="AE92" s="326" t="s">
        <v>9998</v>
      </c>
      <c r="AF92" s="295"/>
    </row>
    <row r="93" spans="8:8" ht="16.7">
      <c r="A93" s="295"/>
      <c r="B93" s="311" t="s">
        <v>8738</v>
      </c>
      <c r="C93" s="312" t="s">
        <v>8739</v>
      </c>
      <c r="D93" s="311">
        <v>300.0</v>
      </c>
      <c r="E93" s="312" t="s">
        <v>8740</v>
      </c>
      <c r="F93" s="311" t="s">
        <v>8741</v>
      </c>
      <c r="G93" s="327" t="s">
        <v>7972</v>
      </c>
      <c r="H93" s="311" t="s">
        <v>8742</v>
      </c>
      <c r="I93" s="312" t="s">
        <v>8743</v>
      </c>
      <c r="J93" s="311">
        <v>840.0</v>
      </c>
      <c r="K93" s="312" t="s">
        <v>8744</v>
      </c>
      <c r="L93" s="311" t="s">
        <v>8745</v>
      </c>
      <c r="M93" s="327" t="s">
        <v>7972</v>
      </c>
      <c r="N93" s="295"/>
      <c r="O93" s="3"/>
      <c r="P93" s="330"/>
      <c r="Q93" s="348" t="s">
        <v>10202</v>
      </c>
      <c r="R93" s="332"/>
      <c r="S93" s="333"/>
      <c r="T93" s="332"/>
      <c r="U93" s="333"/>
      <c r="V93" s="330"/>
      <c r="X93" s="295"/>
      <c r="Y93" s="322"/>
      <c r="Z93" s="321"/>
      <c r="AA93" s="322"/>
      <c r="AB93" s="295"/>
      <c r="AD93" s="295"/>
      <c r="AE93" s="329" t="s">
        <v>10075</v>
      </c>
      <c r="AF93" s="295"/>
    </row>
    <row r="94" spans="8:8" ht="17.95">
      <c r="A94" s="295"/>
      <c r="B94" s="312" t="s">
        <v>8746</v>
      </c>
      <c r="C94" s="311" t="s">
        <v>8747</v>
      </c>
      <c r="D94" s="312">
        <v>239.0</v>
      </c>
      <c r="E94" s="311" t="s">
        <v>8748</v>
      </c>
      <c r="F94" s="312" t="s">
        <v>8749</v>
      </c>
      <c r="G94" s="327" t="s">
        <v>7972</v>
      </c>
      <c r="H94" s="312" t="s">
        <v>8750</v>
      </c>
      <c r="I94" s="311" t="s">
        <v>8751</v>
      </c>
      <c r="J94" s="312">
        <v>858.0</v>
      </c>
      <c r="K94" s="311" t="s">
        <v>8752</v>
      </c>
      <c r="L94" s="312" t="s">
        <v>8753</v>
      </c>
      <c r="M94" s="327" t="s">
        <v>7972</v>
      </c>
      <c r="N94" s="295"/>
      <c r="O94" s="3"/>
      <c r="P94" s="330"/>
      <c r="Q94" s="349" t="s">
        <v>10203</v>
      </c>
      <c r="R94" s="333"/>
      <c r="S94" s="332"/>
      <c r="T94" s="333"/>
      <c r="U94" s="332"/>
      <c r="V94" s="330"/>
      <c r="X94" s="295"/>
      <c r="Y94" s="321"/>
      <c r="Z94" s="322"/>
      <c r="AA94" s="321"/>
      <c r="AB94" s="295"/>
      <c r="AD94" s="295"/>
      <c r="AE94" s="347"/>
      <c r="AF94" s="295"/>
    </row>
    <row r="95" spans="8:8" ht="16.7">
      <c r="A95" s="295"/>
      <c r="B95" s="311" t="s">
        <v>8754</v>
      </c>
      <c r="C95" s="312" t="s">
        <v>8755</v>
      </c>
      <c r="D95" s="311">
        <v>320.0</v>
      </c>
      <c r="E95" s="312" t="s">
        <v>8756</v>
      </c>
      <c r="F95" s="311" t="s">
        <v>8757</v>
      </c>
      <c r="G95" s="327" t="s">
        <v>7972</v>
      </c>
      <c r="H95" s="311" t="s">
        <v>8758</v>
      </c>
      <c r="I95" s="312" t="s">
        <v>8759</v>
      </c>
      <c r="J95" s="311">
        <v>860.0</v>
      </c>
      <c r="K95" s="312" t="s">
        <v>8760</v>
      </c>
      <c r="L95" s="311" t="s">
        <v>8761</v>
      </c>
      <c r="M95" s="327" t="s">
        <v>7972</v>
      </c>
      <c r="N95" s="295"/>
      <c r="O95" s="3"/>
      <c r="P95" s="330"/>
      <c r="Q95" s="348" t="s">
        <v>10188</v>
      </c>
      <c r="R95" s="332"/>
      <c r="S95" s="333"/>
      <c r="T95" s="332"/>
      <c r="U95" s="333"/>
      <c r="V95" s="330"/>
      <c r="X95" s="295"/>
      <c r="Y95" s="322"/>
      <c r="Z95" s="321"/>
      <c r="AA95" s="322"/>
      <c r="AB95" s="295"/>
      <c r="AD95" s="295"/>
      <c r="AE95" s="329" t="s">
        <v>10076</v>
      </c>
      <c r="AF95" s="295"/>
    </row>
    <row r="96" spans="8:8" ht="16.7">
      <c r="A96" s="295"/>
      <c r="B96" s="312" t="s">
        <v>8762</v>
      </c>
      <c r="C96" s="311" t="s">
        <v>8763</v>
      </c>
      <c r="D96" s="312">
        <v>316.0</v>
      </c>
      <c r="E96" s="311" t="s">
        <v>8764</v>
      </c>
      <c r="F96" s="312" t="s">
        <v>8765</v>
      </c>
      <c r="G96" s="327" t="s">
        <v>7972</v>
      </c>
      <c r="H96" s="312" t="s">
        <v>8766</v>
      </c>
      <c r="I96" s="311" t="s">
        <v>8767</v>
      </c>
      <c r="J96" s="312">
        <v>336.0</v>
      </c>
      <c r="K96" s="311" t="s">
        <v>8768</v>
      </c>
      <c r="L96" s="312" t="s">
        <v>8769</v>
      </c>
      <c r="M96" s="327" t="s">
        <v>7972</v>
      </c>
      <c r="N96" s="295"/>
      <c r="O96" s="3"/>
      <c r="P96" s="330"/>
      <c r="Q96" s="349" t="s">
        <v>10205</v>
      </c>
      <c r="R96" s="333"/>
      <c r="S96" s="332"/>
      <c r="T96" s="333"/>
      <c r="U96" s="332"/>
      <c r="V96" s="330"/>
      <c r="X96" s="295"/>
      <c r="Y96" s="321"/>
      <c r="Z96" s="322"/>
      <c r="AA96" s="321"/>
      <c r="AB96" s="295"/>
      <c r="AD96" s="295"/>
      <c r="AE96" s="326" t="s">
        <v>10077</v>
      </c>
      <c r="AF96" s="295"/>
    </row>
    <row r="97" spans="8:8" ht="17.8">
      <c r="A97" s="295"/>
      <c r="B97" s="311" t="s">
        <v>8770</v>
      </c>
      <c r="C97" s="312" t="s">
        <v>8771</v>
      </c>
      <c r="D97" s="311">
        <v>624.0</v>
      </c>
      <c r="E97" s="312" t="s">
        <v>8772</v>
      </c>
      <c r="F97" s="311" t="s">
        <v>8773</v>
      </c>
      <c r="G97" s="327" t="s">
        <v>7972</v>
      </c>
      <c r="H97" s="311" t="s">
        <v>8774</v>
      </c>
      <c r="I97" s="312" t="s">
        <v>8775</v>
      </c>
      <c r="J97" s="311">
        <v>670.0</v>
      </c>
      <c r="K97" s="312" t="s">
        <v>8776</v>
      </c>
      <c r="L97" s="311" t="s">
        <v>8777</v>
      </c>
      <c r="M97" s="327" t="s">
        <v>7972</v>
      </c>
      <c r="N97" s="295"/>
      <c r="O97" s="3"/>
      <c r="P97" s="330"/>
      <c r="Q97" s="348"/>
      <c r="R97" s="332"/>
      <c r="S97" s="333"/>
      <c r="T97" s="332"/>
      <c r="U97" s="333"/>
      <c r="V97" s="330"/>
      <c r="X97" s="295"/>
      <c r="Y97" s="322"/>
      <c r="Z97" s="321"/>
      <c r="AA97" s="322"/>
      <c r="AB97" s="295"/>
      <c r="AD97" s="295"/>
      <c r="AE97" s="347"/>
      <c r="AF97" s="295"/>
    </row>
    <row r="98" spans="8:8" ht="16.7">
      <c r="A98" s="295"/>
      <c r="B98" s="312" t="s">
        <v>8778</v>
      </c>
      <c r="C98" s="311" t="s">
        <v>8779</v>
      </c>
      <c r="D98" s="312">
        <v>328.0</v>
      </c>
      <c r="E98" s="311" t="s">
        <v>8780</v>
      </c>
      <c r="F98" s="312" t="s">
        <v>8781</v>
      </c>
      <c r="G98" s="327" t="s">
        <v>7972</v>
      </c>
      <c r="H98" s="312" t="s">
        <v>8782</v>
      </c>
      <c r="I98" s="311" t="s">
        <v>8783</v>
      </c>
      <c r="J98" s="312">
        <v>862.0</v>
      </c>
      <c r="K98" s="311" t="s">
        <v>8784</v>
      </c>
      <c r="L98" s="312" t="s">
        <v>8785</v>
      </c>
      <c r="M98" s="327" t="s">
        <v>7972</v>
      </c>
      <c r="N98" s="295"/>
      <c r="O98" s="3"/>
      <c r="P98" s="330"/>
      <c r="Q98" s="349" t="s">
        <v>10206</v>
      </c>
      <c r="R98" s="333"/>
      <c r="S98" s="332"/>
      <c r="T98" s="333"/>
      <c r="U98" s="332"/>
      <c r="V98" s="330"/>
      <c r="X98" s="295"/>
      <c r="Y98" s="321"/>
      <c r="Z98" s="322"/>
      <c r="AA98" s="321"/>
      <c r="AB98" s="295"/>
      <c r="AD98" s="295"/>
      <c r="AE98" s="326" t="s">
        <v>10078</v>
      </c>
      <c r="AF98" s="295"/>
    </row>
    <row r="99" spans="8:8" ht="17.8">
      <c r="A99" s="295"/>
      <c r="B99" s="311" t="s">
        <v>8786</v>
      </c>
      <c r="C99" s="312" t="s">
        <v>8787</v>
      </c>
      <c r="D99" s="311">
        <v>344.0</v>
      </c>
      <c r="E99" s="312" t="s">
        <v>8788</v>
      </c>
      <c r="F99" s="311" t="s">
        <v>8789</v>
      </c>
      <c r="G99" s="327" t="s">
        <v>7972</v>
      </c>
      <c r="H99" s="311" t="s">
        <v>8790</v>
      </c>
      <c r="I99" s="312" t="s">
        <v>8791</v>
      </c>
      <c r="J99" s="311">
        <v>92.0</v>
      </c>
      <c r="K99" s="312" t="s">
        <v>8792</v>
      </c>
      <c r="L99" s="311" t="s">
        <v>8793</v>
      </c>
      <c r="M99" s="327" t="s">
        <v>7972</v>
      </c>
      <c r="N99" s="295"/>
      <c r="O99" s="3"/>
      <c r="P99" s="330"/>
      <c r="Q99" s="348"/>
      <c r="R99" s="332"/>
      <c r="S99" s="333"/>
      <c r="T99" s="332"/>
      <c r="U99" s="333"/>
      <c r="V99" s="330"/>
      <c r="X99" s="295"/>
      <c r="Y99" s="322"/>
      <c r="Z99" s="321"/>
      <c r="AA99" s="322"/>
      <c r="AB99" s="295"/>
      <c r="AD99" s="295"/>
      <c r="AE99" s="329" t="s">
        <v>10079</v>
      </c>
      <c r="AF99" s="295"/>
    </row>
    <row r="100" spans="8:8" ht="17.95" customHeight="1">
      <c r="A100" s="295"/>
      <c r="B100" s="312" t="s">
        <v>8794</v>
      </c>
      <c r="C100" s="311" t="s">
        <v>8795</v>
      </c>
      <c r="D100" s="312">
        <v>334.0</v>
      </c>
      <c r="E100" s="311" t="s">
        <v>8796</v>
      </c>
      <c r="F100" s="312" t="s">
        <v>8797</v>
      </c>
      <c r="G100" s="327" t="s">
        <v>7972</v>
      </c>
      <c r="H100" s="312" t="s">
        <v>8798</v>
      </c>
      <c r="I100" s="311" t="s">
        <v>8799</v>
      </c>
      <c r="J100" s="312">
        <v>850.0</v>
      </c>
      <c r="K100" s="311" t="s">
        <v>8800</v>
      </c>
      <c r="L100" s="312" t="s">
        <v>8801</v>
      </c>
      <c r="M100" s="327" t="s">
        <v>7972</v>
      </c>
      <c r="N100" s="295"/>
      <c r="O100" s="3"/>
      <c r="P100" s="330"/>
      <c r="Q100" s="349" t="s">
        <v>10208</v>
      </c>
      <c r="R100" s="333"/>
      <c r="S100" s="332"/>
      <c r="T100" s="333"/>
      <c r="U100" s="332"/>
      <c r="V100" s="330"/>
      <c r="X100" s="295"/>
      <c r="Y100" s="321"/>
      <c r="Z100" s="322"/>
      <c r="AA100" s="321"/>
      <c r="AB100" s="295"/>
      <c r="AD100" s="295"/>
      <c r="AE100" s="347"/>
      <c r="AF100" s="295"/>
    </row>
    <row r="101" spans="8:8">
      <c r="A101" s="295"/>
      <c r="B101" s="311" t="s">
        <v>8802</v>
      </c>
      <c r="C101" s="312" t="s">
        <v>8803</v>
      </c>
      <c r="D101" s="311">
        <v>340.0</v>
      </c>
      <c r="E101" s="312" t="s">
        <v>8804</v>
      </c>
      <c r="F101" s="311" t="s">
        <v>8805</v>
      </c>
      <c r="G101" s="327" t="s">
        <v>7972</v>
      </c>
      <c r="H101" s="311" t="s">
        <v>8806</v>
      </c>
      <c r="I101" s="312" t="s">
        <v>8807</v>
      </c>
      <c r="J101" s="311">
        <v>704.0</v>
      </c>
      <c r="K101" s="312" t="s">
        <v>8808</v>
      </c>
      <c r="L101" s="311" t="s">
        <v>8809</v>
      </c>
      <c r="M101" s="327" t="s">
        <v>7972</v>
      </c>
      <c r="N101" s="295"/>
      <c r="O101" s="3"/>
      <c r="P101" s="330"/>
      <c r="Q101" s="348" t="s">
        <v>10188</v>
      </c>
      <c r="R101" s="332"/>
      <c r="S101" s="333"/>
      <c r="T101" s="332"/>
      <c r="U101" s="333"/>
      <c r="V101" s="330"/>
      <c r="X101" s="295"/>
      <c r="Y101" s="322"/>
      <c r="Z101" s="321"/>
      <c r="AA101" s="322"/>
      <c r="AB101" s="295"/>
      <c r="AE101" s="350" t="s">
        <v>10083</v>
      </c>
    </row>
    <row r="102" spans="8:8">
      <c r="A102" s="295"/>
      <c r="B102" s="312" t="s">
        <v>8810</v>
      </c>
      <c r="C102" s="311" t="s">
        <v>8811</v>
      </c>
      <c r="D102" s="312">
        <v>191.0</v>
      </c>
      <c r="E102" s="311" t="s">
        <v>8812</v>
      </c>
      <c r="F102" s="312" t="s">
        <v>8813</v>
      </c>
      <c r="G102" s="327" t="s">
        <v>7972</v>
      </c>
      <c r="H102" s="312" t="s">
        <v>8814</v>
      </c>
      <c r="I102" s="311" t="s">
        <v>8815</v>
      </c>
      <c r="J102" s="312">
        <v>548.0</v>
      </c>
      <c r="K102" s="311" t="s">
        <v>8816</v>
      </c>
      <c r="L102" s="312" t="s">
        <v>8817</v>
      </c>
      <c r="M102" s="327" t="s">
        <v>7972</v>
      </c>
      <c r="N102" s="295"/>
      <c r="O102" s="3"/>
      <c r="P102" s="330"/>
      <c r="Q102" s="349" t="s">
        <v>10209</v>
      </c>
      <c r="R102" s="333"/>
      <c r="S102" s="332"/>
      <c r="T102" s="333"/>
      <c r="U102" s="332"/>
      <c r="V102" s="330"/>
      <c r="X102" s="295"/>
      <c r="Y102" s="321"/>
      <c r="Z102" s="322"/>
      <c r="AA102" s="321"/>
      <c r="AB102" s="295"/>
      <c r="AE102" s="350"/>
    </row>
    <row r="103" spans="8:8" ht="17.8">
      <c r="A103" s="295"/>
      <c r="B103" s="311" t="s">
        <v>8818</v>
      </c>
      <c r="C103" s="312" t="s">
        <v>8819</v>
      </c>
      <c r="D103" s="311">
        <v>332.0</v>
      </c>
      <c r="E103" s="312" t="s">
        <v>8820</v>
      </c>
      <c r="F103" s="311" t="s">
        <v>8821</v>
      </c>
      <c r="G103" s="327" t="s">
        <v>7972</v>
      </c>
      <c r="H103" s="311" t="s">
        <v>8822</v>
      </c>
      <c r="I103" s="312" t="s">
        <v>8823</v>
      </c>
      <c r="J103" s="311">
        <v>876.0</v>
      </c>
      <c r="K103" s="312" t="s">
        <v>8824</v>
      </c>
      <c r="L103" s="311" t="s">
        <v>8825</v>
      </c>
      <c r="M103" s="327" t="s">
        <v>7972</v>
      </c>
      <c r="N103" s="295"/>
      <c r="O103" s="3"/>
      <c r="P103" s="330"/>
      <c r="Q103" s="348"/>
      <c r="R103" s="332"/>
      <c r="S103" s="333"/>
      <c r="T103" s="332"/>
      <c r="U103" s="333"/>
      <c r="V103" s="330"/>
      <c r="X103" s="295"/>
      <c r="Y103" s="322"/>
      <c r="Z103" s="321"/>
      <c r="AA103" s="322"/>
      <c r="AB103" s="295"/>
      <c r="AE103" s="350"/>
    </row>
    <row r="104" spans="8:8">
      <c r="A104" s="295"/>
      <c r="B104" s="312" t="s">
        <v>8826</v>
      </c>
      <c r="C104" s="311" t="s">
        <v>8827</v>
      </c>
      <c r="D104" s="312">
        <v>348.0</v>
      </c>
      <c r="E104" s="311" t="s">
        <v>8828</v>
      </c>
      <c r="F104" s="312" t="s">
        <v>8829</v>
      </c>
      <c r="G104" s="327" t="s">
        <v>7972</v>
      </c>
      <c r="H104" s="312" t="s">
        <v>8830</v>
      </c>
      <c r="I104" s="311" t="s">
        <v>8831</v>
      </c>
      <c r="J104" s="312">
        <v>882.0</v>
      </c>
      <c r="K104" s="311" t="s">
        <v>8832</v>
      </c>
      <c r="L104" s="312" t="s">
        <v>8833</v>
      </c>
      <c r="M104" s="327" t="s">
        <v>7972</v>
      </c>
      <c r="N104" s="295"/>
      <c r="O104" s="3"/>
      <c r="P104" s="330"/>
      <c r="Q104" s="349" t="s">
        <v>10210</v>
      </c>
      <c r="R104" s="333"/>
      <c r="S104" s="332"/>
      <c r="T104" s="333"/>
      <c r="U104" s="332"/>
      <c r="V104" s="330"/>
      <c r="X104" s="295"/>
      <c r="Y104" s="321"/>
      <c r="Z104" s="322"/>
      <c r="AA104" s="321"/>
      <c r="AB104" s="295"/>
      <c r="AE104" s="350"/>
    </row>
    <row r="105" spans="8:8" ht="17.8">
      <c r="A105" s="295"/>
      <c r="B105" s="311" t="s">
        <v>5159</v>
      </c>
      <c r="C105" s="312" t="s">
        <v>8834</v>
      </c>
      <c r="D105" s="311">
        <v>360.0</v>
      </c>
      <c r="E105" s="312" t="s">
        <v>8835</v>
      </c>
      <c r="F105" s="311" t="s">
        <v>8836</v>
      </c>
      <c r="G105" s="327" t="s">
        <v>7972</v>
      </c>
      <c r="H105" s="311" t="s">
        <v>8837</v>
      </c>
      <c r="I105" s="312" t="s">
        <v>8838</v>
      </c>
      <c r="J105" s="311">
        <v>887.0</v>
      </c>
      <c r="K105" s="312" t="s">
        <v>8839</v>
      </c>
      <c r="L105" s="311" t="s">
        <v>8840</v>
      </c>
      <c r="M105" s="327" t="s">
        <v>7972</v>
      </c>
      <c r="N105" s="295"/>
      <c r="O105" s="3"/>
      <c r="P105" s="330"/>
      <c r="Q105" s="348"/>
      <c r="R105" s="332"/>
      <c r="S105" s="333"/>
      <c r="T105" s="332"/>
      <c r="U105" s="333"/>
      <c r="V105" s="330"/>
      <c r="X105" s="295"/>
      <c r="Y105" s="322"/>
      <c r="Z105" s="321"/>
      <c r="AA105" s="322"/>
      <c r="AB105" s="295"/>
      <c r="AE105" s="350"/>
    </row>
    <row r="106" spans="8:8" ht="17.8">
      <c r="A106" s="295"/>
      <c r="B106" s="312" t="s">
        <v>8841</v>
      </c>
      <c r="C106" s="311" t="s">
        <v>8842</v>
      </c>
      <c r="D106" s="312">
        <v>372.0</v>
      </c>
      <c r="E106" s="311" t="s">
        <v>8843</v>
      </c>
      <c r="F106" s="312" t="s">
        <v>8844</v>
      </c>
      <c r="G106" s="327" t="s">
        <v>7972</v>
      </c>
      <c r="H106" s="312" t="s">
        <v>8845</v>
      </c>
      <c r="I106" s="311" t="s">
        <v>8846</v>
      </c>
      <c r="J106" s="312">
        <v>175.0</v>
      </c>
      <c r="K106" s="311" t="s">
        <v>8847</v>
      </c>
      <c r="L106" s="312" t="s">
        <v>8848</v>
      </c>
      <c r="M106" s="327" t="s">
        <v>7972</v>
      </c>
      <c r="N106" s="295"/>
      <c r="O106" s="3"/>
      <c r="P106" s="330"/>
      <c r="Q106" s="349"/>
      <c r="R106" s="333"/>
      <c r="S106" s="332"/>
      <c r="T106" s="333"/>
      <c r="U106" s="332"/>
      <c r="V106" s="330"/>
      <c r="X106" s="295"/>
      <c r="Y106" s="321"/>
      <c r="Z106" s="322"/>
      <c r="AA106" s="321"/>
      <c r="AB106" s="295"/>
      <c r="AE106" s="350"/>
    </row>
    <row r="107" spans="8:8" ht="17.8">
      <c r="A107" s="295"/>
      <c r="B107" s="311" t="s">
        <v>8849</v>
      </c>
      <c r="C107" s="312" t="s">
        <v>8850</v>
      </c>
      <c r="D107" s="311">
        <v>376.0</v>
      </c>
      <c r="E107" s="312" t="s">
        <v>8851</v>
      </c>
      <c r="F107" s="311" t="s">
        <v>8852</v>
      </c>
      <c r="G107" s="327" t="s">
        <v>7972</v>
      </c>
      <c r="H107" s="311" t="s">
        <v>8853</v>
      </c>
      <c r="I107" s="312" t="s">
        <v>8854</v>
      </c>
      <c r="J107" s="311">
        <v>710.0</v>
      </c>
      <c r="K107" s="312" t="s">
        <v>8855</v>
      </c>
      <c r="L107" s="311" t="s">
        <v>8856</v>
      </c>
      <c r="M107" s="327" t="s">
        <v>7972</v>
      </c>
      <c r="N107" s="295"/>
      <c r="O107" s="3"/>
      <c r="P107" s="330"/>
      <c r="Q107" s="348"/>
      <c r="R107" s="332"/>
      <c r="S107" s="333"/>
      <c r="T107" s="332"/>
      <c r="U107" s="333"/>
      <c r="V107" s="330"/>
      <c r="X107" s="295"/>
      <c r="Y107" s="322"/>
      <c r="Z107" s="321"/>
      <c r="AA107" s="322"/>
      <c r="AB107" s="295"/>
      <c r="AE107" s="350"/>
    </row>
    <row r="108" spans="8:8" ht="17.8">
      <c r="A108" s="295"/>
      <c r="B108" s="312" t="s">
        <v>8857</v>
      </c>
      <c r="C108" s="311" t="s">
        <v>8858</v>
      </c>
      <c r="D108" s="312">
        <v>833.0</v>
      </c>
      <c r="E108" s="311" t="s">
        <v>8859</v>
      </c>
      <c r="F108" s="312" t="s">
        <v>8860</v>
      </c>
      <c r="G108" s="327" t="s">
        <v>7972</v>
      </c>
      <c r="H108" s="312" t="s">
        <v>8861</v>
      </c>
      <c r="I108" s="311" t="s">
        <v>8862</v>
      </c>
      <c r="J108" s="312">
        <v>894.0</v>
      </c>
      <c r="K108" s="311" t="s">
        <v>8863</v>
      </c>
      <c r="L108" s="312" t="s">
        <v>8864</v>
      </c>
      <c r="M108" s="327" t="s">
        <v>7972</v>
      </c>
      <c r="N108" s="295"/>
      <c r="O108" s="3"/>
      <c r="P108" s="330"/>
      <c r="Q108" s="349"/>
      <c r="R108" s="333"/>
      <c r="S108" s="332"/>
      <c r="T108" s="333"/>
      <c r="U108" s="332"/>
      <c r="V108" s="330"/>
      <c r="X108" s="295"/>
      <c r="Y108" s="321"/>
      <c r="Z108" s="322"/>
      <c r="AA108" s="321"/>
      <c r="AB108" s="295"/>
      <c r="AE108" s="350"/>
    </row>
    <row r="109" spans="8:8" ht="17.8">
      <c r="A109" s="295"/>
      <c r="B109" s="311" t="s">
        <v>8865</v>
      </c>
      <c r="C109" s="312" t="s">
        <v>8866</v>
      </c>
      <c r="D109" s="311">
        <v>356.0</v>
      </c>
      <c r="E109" s="312" t="s">
        <v>8867</v>
      </c>
      <c r="F109" s="311" t="s">
        <v>8868</v>
      </c>
      <c r="G109" s="327" t="s">
        <v>7972</v>
      </c>
      <c r="H109" s="311" t="s">
        <v>8869</v>
      </c>
      <c r="I109" s="312" t="s">
        <v>8870</v>
      </c>
      <c r="J109" s="311">
        <v>716.0</v>
      </c>
      <c r="K109" s="312" t="s">
        <v>8871</v>
      </c>
      <c r="L109" s="311" t="s">
        <v>8872</v>
      </c>
      <c r="M109" s="327" t="s">
        <v>7972</v>
      </c>
      <c r="N109" s="295"/>
      <c r="O109" s="3"/>
      <c r="P109" s="330"/>
      <c r="Q109" s="348"/>
      <c r="R109" s="332"/>
      <c r="S109" s="333"/>
      <c r="T109" s="332"/>
      <c r="U109" s="333"/>
      <c r="V109" s="330"/>
      <c r="X109" s="295"/>
      <c r="Y109" s="322"/>
      <c r="Z109" s="321"/>
      <c r="AA109" s="322"/>
      <c r="AB109" s="295"/>
      <c r="AE109" s="350"/>
    </row>
    <row r="110" spans="8:8" ht="17.8">
      <c r="A110" s="295"/>
      <c r="B110" s="312" t="s">
        <v>8873</v>
      </c>
      <c r="C110" s="311" t="s">
        <v>8874</v>
      </c>
      <c r="D110" s="312">
        <v>86.0</v>
      </c>
      <c r="E110" s="311" t="s">
        <v>8875</v>
      </c>
      <c r="F110" s="312" t="s">
        <v>8876</v>
      </c>
      <c r="G110" s="327" t="s">
        <v>7972</v>
      </c>
      <c r="H110" s="312"/>
      <c r="I110" s="311"/>
      <c r="J110" s="312"/>
      <c r="K110" s="311"/>
      <c r="L110" s="312"/>
      <c r="M110" s="327" t="s">
        <v>7972</v>
      </c>
      <c r="N110" s="295"/>
      <c r="O110" s="3"/>
      <c r="P110" s="330"/>
      <c r="Q110" s="349"/>
      <c r="R110" s="333"/>
      <c r="S110" s="332"/>
      <c r="T110" s="333"/>
      <c r="U110" s="332"/>
      <c r="V110" s="330"/>
      <c r="X110" s="295"/>
      <c r="Y110" s="321"/>
      <c r="Z110" s="322"/>
      <c r="AA110" s="321"/>
      <c r="AB110" s="295"/>
      <c r="AE110" s="350"/>
    </row>
    <row r="111" spans="8:8" ht="17.8">
      <c r="A111" s="295"/>
      <c r="B111" s="311" t="s">
        <v>8877</v>
      </c>
      <c r="C111" s="312" t="s">
        <v>8878</v>
      </c>
      <c r="D111" s="311">
        <v>368.0</v>
      </c>
      <c r="E111" s="312" t="s">
        <v>8879</v>
      </c>
      <c r="F111" s="311" t="s">
        <v>8880</v>
      </c>
      <c r="G111" s="327" t="s">
        <v>7972</v>
      </c>
      <c r="H111" s="311"/>
      <c r="I111" s="312"/>
      <c r="J111" s="311"/>
      <c r="K111" s="312"/>
      <c r="L111" s="311"/>
      <c r="M111" s="327" t="s">
        <v>7972</v>
      </c>
      <c r="N111" s="295"/>
      <c r="O111" s="3"/>
      <c r="P111" s="330"/>
      <c r="Q111" s="348"/>
      <c r="R111" s="332"/>
      <c r="S111" s="333"/>
      <c r="T111" s="332"/>
      <c r="U111" s="333"/>
      <c r="V111" s="330"/>
      <c r="X111" s="295"/>
      <c r="Y111" s="322"/>
      <c r="Z111" s="321"/>
      <c r="AA111" s="322"/>
      <c r="AB111" s="295"/>
    </row>
    <row r="112" spans="8:8" ht="17.8">
      <c r="A112" s="295"/>
      <c r="B112" s="312" t="s">
        <v>8881</v>
      </c>
      <c r="C112" s="311" t="s">
        <v>8882</v>
      </c>
      <c r="D112" s="312">
        <v>364.0</v>
      </c>
      <c r="E112" s="311" t="s">
        <v>8883</v>
      </c>
      <c r="F112" s="312" t="s">
        <v>8884</v>
      </c>
      <c r="G112" s="327" t="s">
        <v>7972</v>
      </c>
      <c r="H112" s="312"/>
      <c r="I112" s="311"/>
      <c r="J112" s="312"/>
      <c r="K112" s="311"/>
      <c r="L112" s="312"/>
      <c r="M112" s="327" t="s">
        <v>7972</v>
      </c>
      <c r="N112" s="295"/>
      <c r="O112" s="3"/>
      <c r="P112" s="330"/>
      <c r="Q112" s="349"/>
      <c r="R112" s="333"/>
      <c r="S112" s="332"/>
      <c r="T112" s="333"/>
      <c r="U112" s="332"/>
      <c r="V112" s="330"/>
      <c r="X112" s="295"/>
      <c r="Y112" s="321"/>
      <c r="Z112" s="322"/>
      <c r="AA112" s="321"/>
      <c r="AB112" s="295"/>
    </row>
    <row r="113" spans="8:8" ht="17.8">
      <c r="A113" s="295"/>
      <c r="B113" s="311" t="s">
        <v>8885</v>
      </c>
      <c r="C113" s="312" t="s">
        <v>8886</v>
      </c>
      <c r="D113" s="311">
        <v>352.0</v>
      </c>
      <c r="E113" s="312" t="s">
        <v>8887</v>
      </c>
      <c r="F113" s="311" t="s">
        <v>7423</v>
      </c>
      <c r="G113" s="327" t="s">
        <v>7972</v>
      </c>
      <c r="H113" s="311"/>
      <c r="I113" s="312"/>
      <c r="J113" s="311"/>
      <c r="K113" s="312"/>
      <c r="L113" s="311"/>
      <c r="M113" s="327" t="s">
        <v>7972</v>
      </c>
      <c r="N113" s="295"/>
      <c r="O113" s="3"/>
      <c r="P113" s="330"/>
      <c r="Q113" s="348"/>
      <c r="R113" s="332"/>
      <c r="S113" s="333"/>
      <c r="T113" s="332"/>
      <c r="U113" s="333"/>
      <c r="V113" s="330"/>
      <c r="X113" s="295"/>
      <c r="Y113" s="322"/>
      <c r="Z113" s="321"/>
      <c r="AA113" s="322"/>
      <c r="AB113" s="295"/>
    </row>
    <row r="114" spans="8:8" ht="17.8">
      <c r="A114" s="295"/>
      <c r="B114" s="312" t="s">
        <v>8888</v>
      </c>
      <c r="C114" s="311" t="s">
        <v>8889</v>
      </c>
      <c r="D114" s="312">
        <v>380.0</v>
      </c>
      <c r="E114" s="311" t="s">
        <v>8890</v>
      </c>
      <c r="F114" s="312" t="s">
        <v>8891</v>
      </c>
      <c r="G114" s="327" t="s">
        <v>7972</v>
      </c>
      <c r="H114" s="312"/>
      <c r="I114" s="311"/>
      <c r="J114" s="312"/>
      <c r="K114" s="311"/>
      <c r="L114" s="312"/>
      <c r="M114" s="327" t="s">
        <v>7972</v>
      </c>
      <c r="N114" s="295"/>
      <c r="O114" s="3"/>
      <c r="P114" s="330"/>
      <c r="Q114" s="349"/>
      <c r="R114" s="333"/>
      <c r="S114" s="332"/>
      <c r="T114" s="333"/>
      <c r="U114" s="332"/>
      <c r="V114" s="330"/>
      <c r="X114" s="295"/>
      <c r="Y114" s="321"/>
      <c r="Z114" s="322"/>
      <c r="AA114" s="321"/>
      <c r="AB114" s="295"/>
    </row>
    <row r="115" spans="8:8" ht="17.8">
      <c r="A115" s="295"/>
      <c r="B115" s="311" t="s">
        <v>8892</v>
      </c>
      <c r="C115" s="312" t="s">
        <v>8893</v>
      </c>
      <c r="D115" s="311">
        <v>832.0</v>
      </c>
      <c r="E115" s="312" t="s">
        <v>8894</v>
      </c>
      <c r="F115" s="311" t="s">
        <v>8895</v>
      </c>
      <c r="G115" s="327" t="s">
        <v>7972</v>
      </c>
      <c r="H115" s="311"/>
      <c r="I115" s="312"/>
      <c r="J115" s="311"/>
      <c r="K115" s="312"/>
      <c r="L115" s="311"/>
      <c r="M115" s="327" t="s">
        <v>7972</v>
      </c>
      <c r="N115" s="295"/>
      <c r="O115" s="3"/>
      <c r="P115" s="330"/>
      <c r="Q115" s="348"/>
      <c r="R115" s="332"/>
      <c r="S115" s="333"/>
      <c r="T115" s="332"/>
      <c r="U115" s="333"/>
      <c r="V115" s="330"/>
      <c r="X115" s="295"/>
      <c r="Y115" s="322"/>
      <c r="Z115" s="321"/>
      <c r="AA115" s="322"/>
      <c r="AB115" s="295"/>
    </row>
    <row r="116" spans="8:8" ht="17.8">
      <c r="A116" s="295"/>
      <c r="B116" s="312" t="s">
        <v>8896</v>
      </c>
      <c r="C116" s="311" t="s">
        <v>8897</v>
      </c>
      <c r="D116" s="312">
        <v>388.0</v>
      </c>
      <c r="E116" s="311" t="s">
        <v>8898</v>
      </c>
      <c r="F116" s="312" t="s">
        <v>8899</v>
      </c>
      <c r="G116" s="327" t="s">
        <v>7972</v>
      </c>
      <c r="H116" s="312"/>
      <c r="I116" s="311"/>
      <c r="J116" s="312"/>
      <c r="K116" s="311"/>
      <c r="L116" s="312"/>
      <c r="M116" s="327" t="s">
        <v>7972</v>
      </c>
      <c r="N116" s="295"/>
      <c r="O116" s="3"/>
      <c r="P116" s="330"/>
      <c r="Q116" s="349"/>
      <c r="R116" s="333"/>
      <c r="S116" s="332"/>
      <c r="T116" s="333"/>
      <c r="U116" s="332"/>
      <c r="V116" s="330"/>
      <c r="X116" s="295"/>
      <c r="Y116" s="321"/>
      <c r="Z116" s="322"/>
      <c r="AA116" s="321"/>
      <c r="AB116" s="295"/>
    </row>
    <row r="117" spans="8:8" ht="17.8">
      <c r="A117" s="295"/>
      <c r="B117" s="311" t="s">
        <v>8900</v>
      </c>
      <c r="C117" s="312" t="s">
        <v>8901</v>
      </c>
      <c r="D117" s="311">
        <v>400.0</v>
      </c>
      <c r="E117" s="312" t="s">
        <v>8902</v>
      </c>
      <c r="F117" s="311" t="s">
        <v>8903</v>
      </c>
      <c r="G117" s="327" t="s">
        <v>7972</v>
      </c>
      <c r="H117" s="311"/>
      <c r="I117" s="312"/>
      <c r="J117" s="311"/>
      <c r="K117" s="312"/>
      <c r="L117" s="311"/>
      <c r="M117" s="327" t="s">
        <v>7972</v>
      </c>
      <c r="N117" s="295"/>
      <c r="O117" s="3"/>
      <c r="P117" s="330"/>
      <c r="Q117" s="348"/>
      <c r="R117" s="332"/>
      <c r="S117" s="333"/>
      <c r="T117" s="332"/>
      <c r="U117" s="333"/>
      <c r="V117" s="330"/>
      <c r="X117" s="295"/>
      <c r="Y117" s="322"/>
      <c r="Z117" s="321"/>
      <c r="AA117" s="322"/>
      <c r="AB117" s="295"/>
    </row>
    <row r="118" spans="8:8" ht="17.8">
      <c r="A118" s="295"/>
      <c r="B118" s="312" t="s">
        <v>8904</v>
      </c>
      <c r="C118" s="311" t="s">
        <v>8905</v>
      </c>
      <c r="D118" s="312">
        <v>392.0</v>
      </c>
      <c r="E118" s="311" t="s">
        <v>8906</v>
      </c>
      <c r="F118" s="312" t="s">
        <v>8907</v>
      </c>
      <c r="G118" s="327" t="s">
        <v>7972</v>
      </c>
      <c r="H118" s="312"/>
      <c r="I118" s="311"/>
      <c r="J118" s="312"/>
      <c r="K118" s="311"/>
      <c r="L118" s="312"/>
      <c r="M118" s="327" t="s">
        <v>7972</v>
      </c>
      <c r="N118" s="295"/>
      <c r="O118" s="3"/>
      <c r="P118" s="330"/>
      <c r="Q118" s="349"/>
      <c r="R118" s="333"/>
      <c r="S118" s="332"/>
      <c r="T118" s="333"/>
      <c r="U118" s="332"/>
      <c r="V118" s="330"/>
      <c r="X118" s="295"/>
      <c r="Y118" s="321"/>
      <c r="Z118" s="322"/>
      <c r="AA118" s="321"/>
      <c r="AB118" s="295"/>
    </row>
    <row r="119" spans="8:8" ht="17.8">
      <c r="A119" s="295"/>
      <c r="B119" s="311" t="s">
        <v>8908</v>
      </c>
      <c r="C119" s="312" t="s">
        <v>8909</v>
      </c>
      <c r="D119" s="311">
        <v>404.0</v>
      </c>
      <c r="E119" s="312" t="s">
        <v>8910</v>
      </c>
      <c r="F119" s="311" t="s">
        <v>8911</v>
      </c>
      <c r="G119" s="327" t="s">
        <v>7972</v>
      </c>
      <c r="H119" s="311"/>
      <c r="I119" s="312"/>
      <c r="J119" s="311"/>
      <c r="K119" s="312"/>
      <c r="L119" s="311"/>
      <c r="M119" s="327" t="s">
        <v>7972</v>
      </c>
      <c r="N119" s="295"/>
      <c r="O119" s="3"/>
      <c r="P119" s="330"/>
      <c r="Q119" s="348"/>
      <c r="R119" s="332"/>
      <c r="S119" s="333"/>
      <c r="T119" s="332"/>
      <c r="U119" s="333"/>
      <c r="V119" s="330"/>
      <c r="X119" s="295"/>
      <c r="Y119" s="322"/>
      <c r="Z119" s="321"/>
      <c r="AA119" s="322"/>
      <c r="AB119" s="295"/>
    </row>
    <row r="120" spans="8:8" ht="17.8">
      <c r="A120" s="295"/>
      <c r="B120" s="312" t="s">
        <v>8912</v>
      </c>
      <c r="C120" s="311" t="s">
        <v>8913</v>
      </c>
      <c r="D120" s="312">
        <v>417.0</v>
      </c>
      <c r="E120" s="311" t="s">
        <v>8914</v>
      </c>
      <c r="F120" s="312" t="s">
        <v>8915</v>
      </c>
      <c r="G120" s="327" t="s">
        <v>7972</v>
      </c>
      <c r="H120" s="312"/>
      <c r="I120" s="311"/>
      <c r="J120" s="312"/>
      <c r="K120" s="311"/>
      <c r="L120" s="312"/>
      <c r="M120" s="327" t="s">
        <v>7972</v>
      </c>
      <c r="N120" s="295"/>
      <c r="O120" s="3"/>
      <c r="P120" s="330"/>
      <c r="Q120" s="349"/>
      <c r="R120" s="333"/>
      <c r="S120" s="332"/>
      <c r="T120" s="333"/>
      <c r="U120" s="332"/>
      <c r="V120" s="330"/>
      <c r="X120" s="295"/>
      <c r="Y120" s="321"/>
      <c r="Z120" s="322"/>
      <c r="AA120" s="321"/>
      <c r="AB120" s="295"/>
    </row>
    <row r="121" spans="8:8" ht="17.8">
      <c r="A121" s="295"/>
      <c r="B121" s="311" t="s">
        <v>8916</v>
      </c>
      <c r="C121" s="312" t="s">
        <v>8917</v>
      </c>
      <c r="D121" s="311">
        <v>116.0</v>
      </c>
      <c r="E121" s="312" t="s">
        <v>8918</v>
      </c>
      <c r="F121" s="311" t="s">
        <v>8919</v>
      </c>
      <c r="G121" s="327" t="s">
        <v>7972</v>
      </c>
      <c r="H121" s="311"/>
      <c r="I121" s="312"/>
      <c r="J121" s="311"/>
      <c r="K121" s="312"/>
      <c r="L121" s="311"/>
      <c r="M121" s="327" t="s">
        <v>7972</v>
      </c>
      <c r="N121" s="295"/>
      <c r="O121" s="3"/>
      <c r="P121" s="330"/>
      <c r="Q121" s="348"/>
      <c r="R121" s="332"/>
      <c r="S121" s="333"/>
      <c r="T121" s="332"/>
      <c r="U121" s="333"/>
      <c r="V121" s="330"/>
      <c r="X121" s="295"/>
      <c r="Y121" s="322"/>
      <c r="Z121" s="321"/>
      <c r="AA121" s="322"/>
      <c r="AB121" s="295"/>
    </row>
    <row r="122" spans="8:8" ht="17.8">
      <c r="A122" s="295"/>
      <c r="B122" s="312" t="s">
        <v>8920</v>
      </c>
      <c r="C122" s="311" t="s">
        <v>8921</v>
      </c>
      <c r="D122" s="312">
        <v>296.0</v>
      </c>
      <c r="E122" s="311" t="s">
        <v>8922</v>
      </c>
      <c r="F122" s="312" t="s">
        <v>8923</v>
      </c>
      <c r="G122" s="327" t="s">
        <v>7972</v>
      </c>
      <c r="H122" s="312"/>
      <c r="I122" s="311"/>
      <c r="J122" s="312"/>
      <c r="K122" s="311"/>
      <c r="L122" s="312"/>
      <c r="M122" s="327" t="s">
        <v>7972</v>
      </c>
      <c r="N122" s="295"/>
      <c r="O122" s="3"/>
      <c r="P122" s="330"/>
      <c r="Q122" s="349"/>
      <c r="R122" s="333"/>
      <c r="S122" s="332"/>
      <c r="T122" s="333"/>
      <c r="U122" s="332"/>
      <c r="V122" s="330"/>
      <c r="X122" s="295"/>
      <c r="Y122" s="321"/>
      <c r="Z122" s="322"/>
      <c r="AA122" s="321"/>
      <c r="AB122" s="295"/>
    </row>
    <row r="123" spans="8:8" ht="17.8">
      <c r="A123" s="295"/>
      <c r="B123" s="311" t="s">
        <v>8924</v>
      </c>
      <c r="C123" s="312" t="s">
        <v>8925</v>
      </c>
      <c r="D123" s="311">
        <v>174.0</v>
      </c>
      <c r="E123" s="312" t="s">
        <v>8926</v>
      </c>
      <c r="F123" s="311" t="s">
        <v>8927</v>
      </c>
      <c r="G123" s="327" t="s">
        <v>7972</v>
      </c>
      <c r="H123" s="311"/>
      <c r="I123" s="312"/>
      <c r="J123" s="311"/>
      <c r="K123" s="312"/>
      <c r="L123" s="311"/>
      <c r="M123" s="327" t="s">
        <v>7972</v>
      </c>
      <c r="N123" s="295"/>
      <c r="O123" s="3"/>
      <c r="P123" s="330"/>
      <c r="Q123" s="348"/>
      <c r="R123" s="332"/>
      <c r="S123" s="333"/>
      <c r="T123" s="332"/>
      <c r="U123" s="333"/>
      <c r="V123" s="330"/>
      <c r="X123" s="295"/>
      <c r="Y123" s="322"/>
      <c r="Z123" s="321"/>
      <c r="AA123" s="322"/>
      <c r="AB123" s="295"/>
    </row>
    <row r="124" spans="8:8" ht="17.8">
      <c r="A124" s="295"/>
      <c r="B124" s="312" t="s">
        <v>8928</v>
      </c>
      <c r="C124" s="311" t="s">
        <v>8929</v>
      </c>
      <c r="D124" s="312">
        <v>659.0</v>
      </c>
      <c r="E124" s="311" t="s">
        <v>8930</v>
      </c>
      <c r="F124" s="312" t="s">
        <v>8931</v>
      </c>
      <c r="G124" s="327" t="s">
        <v>7972</v>
      </c>
      <c r="H124" s="312"/>
      <c r="I124" s="311"/>
      <c r="J124" s="312"/>
      <c r="K124" s="311"/>
      <c r="L124" s="312"/>
      <c r="M124" s="327" t="s">
        <v>7972</v>
      </c>
      <c r="N124" s="295"/>
      <c r="O124" s="3"/>
      <c r="P124" s="330"/>
      <c r="Q124" s="349"/>
      <c r="R124" s="333"/>
      <c r="S124" s="332"/>
      <c r="T124" s="333"/>
      <c r="U124" s="332"/>
      <c r="V124" s="330"/>
      <c r="X124" s="295"/>
      <c r="Y124" s="321"/>
      <c r="Z124" s="322"/>
      <c r="AA124" s="321"/>
      <c r="AB124" s="295"/>
    </row>
    <row r="125" spans="8:8" ht="17.8">
      <c r="A125" s="295"/>
      <c r="B125" s="311" t="s">
        <v>8932</v>
      </c>
      <c r="C125" s="312" t="s">
        <v>8933</v>
      </c>
      <c r="D125" s="311">
        <v>408.0</v>
      </c>
      <c r="E125" s="312" t="s">
        <v>8934</v>
      </c>
      <c r="F125" s="311" t="s">
        <v>8935</v>
      </c>
      <c r="G125" s="327" t="s">
        <v>7972</v>
      </c>
      <c r="H125" s="311"/>
      <c r="I125" s="312"/>
      <c r="J125" s="311"/>
      <c r="K125" s="312"/>
      <c r="L125" s="311"/>
      <c r="M125" s="327" t="s">
        <v>7972</v>
      </c>
      <c r="N125" s="295"/>
      <c r="O125" s="3"/>
      <c r="P125" s="330"/>
      <c r="Q125" s="348"/>
      <c r="R125" s="332"/>
      <c r="S125" s="333"/>
      <c r="T125" s="332"/>
      <c r="U125" s="333"/>
      <c r="V125" s="330"/>
      <c r="X125" s="295"/>
      <c r="Y125" s="322"/>
      <c r="Z125" s="321"/>
      <c r="AA125" s="322"/>
      <c r="AB125" s="295"/>
    </row>
    <row r="126" spans="8:8" ht="17.8">
      <c r="A126" s="295"/>
      <c r="B126" s="312" t="s">
        <v>8936</v>
      </c>
      <c r="C126" s="311" t="s">
        <v>8937</v>
      </c>
      <c r="D126" s="312">
        <v>410.0</v>
      </c>
      <c r="E126" s="311" t="s">
        <v>8938</v>
      </c>
      <c r="F126" s="312" t="s">
        <v>8939</v>
      </c>
      <c r="G126" s="327" t="s">
        <v>7972</v>
      </c>
      <c r="H126" s="312"/>
      <c r="I126" s="311"/>
      <c r="J126" s="312"/>
      <c r="K126" s="311"/>
      <c r="L126" s="312"/>
      <c r="M126" s="327" t="s">
        <v>7972</v>
      </c>
      <c r="N126" s="295"/>
      <c r="O126" s="3"/>
      <c r="P126" s="330"/>
      <c r="Q126" s="349"/>
      <c r="R126" s="333"/>
      <c r="S126" s="332"/>
      <c r="T126" s="333"/>
      <c r="U126" s="332"/>
      <c r="V126" s="330"/>
      <c r="X126" s="295"/>
      <c r="Y126" s="321"/>
      <c r="Z126" s="322"/>
      <c r="AA126" s="321"/>
      <c r="AB126" s="295"/>
    </row>
    <row r="127" spans="8:8" ht="17.8">
      <c r="A127" s="295"/>
      <c r="B127" s="311" t="s">
        <v>8940</v>
      </c>
      <c r="C127" s="312" t="s">
        <v>8941</v>
      </c>
      <c r="D127" s="311">
        <v>414.0</v>
      </c>
      <c r="E127" s="312" t="s">
        <v>8942</v>
      </c>
      <c r="F127" s="311" t="s">
        <v>8943</v>
      </c>
      <c r="G127" s="327" t="s">
        <v>7972</v>
      </c>
      <c r="H127" s="311"/>
      <c r="I127" s="312"/>
      <c r="J127" s="311"/>
      <c r="K127" s="312"/>
      <c r="L127" s="311"/>
      <c r="M127" s="327" t="s">
        <v>7972</v>
      </c>
      <c r="N127" s="295"/>
      <c r="O127" s="3"/>
      <c r="P127" s="330"/>
      <c r="Q127" s="348"/>
      <c r="R127" s="332"/>
      <c r="S127" s="333"/>
      <c r="T127" s="332"/>
      <c r="U127" s="333"/>
      <c r="V127" s="330"/>
      <c r="X127" s="295"/>
      <c r="Y127" s="322"/>
      <c r="Z127" s="321"/>
      <c r="AA127" s="322"/>
      <c r="AB127" s="295"/>
    </row>
    <row r="128" spans="8:8" ht="17.8">
      <c r="A128" s="295"/>
      <c r="B128" s="312" t="s">
        <v>8944</v>
      </c>
      <c r="C128" s="311" t="s">
        <v>8945</v>
      </c>
      <c r="D128" s="312">
        <v>136.0</v>
      </c>
      <c r="E128" s="311" t="s">
        <v>8946</v>
      </c>
      <c r="F128" s="312" t="s">
        <v>8947</v>
      </c>
      <c r="G128" s="327" t="s">
        <v>7972</v>
      </c>
      <c r="H128" s="312"/>
      <c r="I128" s="311"/>
      <c r="J128" s="312"/>
      <c r="K128" s="311"/>
      <c r="L128" s="312"/>
      <c r="M128" s="327" t="s">
        <v>7972</v>
      </c>
      <c r="N128" s="295"/>
      <c r="O128" s="3"/>
      <c r="P128" s="330"/>
      <c r="Q128" s="349"/>
      <c r="R128" s="333"/>
      <c r="S128" s="332"/>
      <c r="T128" s="333"/>
      <c r="U128" s="332"/>
      <c r="V128" s="330"/>
      <c r="X128" s="295"/>
      <c r="Y128" s="321"/>
      <c r="Z128" s="322"/>
      <c r="AA128" s="321"/>
      <c r="AB128" s="295"/>
    </row>
    <row r="129" spans="8:8" ht="17.8">
      <c r="A129" s="295"/>
      <c r="B129" s="311" t="s">
        <v>8948</v>
      </c>
      <c r="C129" s="312" t="s">
        <v>8949</v>
      </c>
      <c r="D129" s="311">
        <v>398.0</v>
      </c>
      <c r="E129" s="312" t="s">
        <v>8950</v>
      </c>
      <c r="F129" s="311" t="s">
        <v>8951</v>
      </c>
      <c r="G129" s="327" t="s">
        <v>7972</v>
      </c>
      <c r="H129" s="311"/>
      <c r="I129" s="312"/>
      <c r="J129" s="311"/>
      <c r="K129" s="312"/>
      <c r="L129" s="311"/>
      <c r="M129" s="327" t="s">
        <v>7972</v>
      </c>
      <c r="N129" s="295"/>
      <c r="O129" s="3"/>
      <c r="P129" s="330"/>
      <c r="Q129" s="348"/>
      <c r="R129" s="332"/>
      <c r="S129" s="333"/>
      <c r="T129" s="332"/>
      <c r="U129" s="333"/>
      <c r="V129" s="330"/>
      <c r="X129" s="295"/>
      <c r="Y129" s="322"/>
      <c r="Z129" s="321"/>
      <c r="AA129" s="322"/>
      <c r="AB129" s="295"/>
    </row>
    <row r="130" spans="8:8" ht="17.8">
      <c r="A130" s="295"/>
      <c r="B130" s="312" t="s">
        <v>8952</v>
      </c>
      <c r="C130" s="311" t="s">
        <v>8953</v>
      </c>
      <c r="D130" s="312">
        <v>418.0</v>
      </c>
      <c r="E130" s="311" t="s">
        <v>8954</v>
      </c>
      <c r="F130" s="312" t="s">
        <v>8955</v>
      </c>
      <c r="G130" s="327" t="s">
        <v>7972</v>
      </c>
      <c r="H130" s="312"/>
      <c r="I130" s="311"/>
      <c r="J130" s="312"/>
      <c r="K130" s="311"/>
      <c r="L130" s="312"/>
      <c r="M130" s="327" t="s">
        <v>7972</v>
      </c>
      <c r="N130" s="295"/>
      <c r="O130" s="3"/>
      <c r="P130" s="330"/>
      <c r="Q130" s="349"/>
      <c r="R130" s="333"/>
      <c r="S130" s="332"/>
      <c r="T130" s="333"/>
      <c r="U130" s="332"/>
      <c r="V130" s="330"/>
      <c r="X130" s="295"/>
      <c r="Y130" s="321"/>
      <c r="Z130" s="322"/>
      <c r="AA130" s="321"/>
      <c r="AB130" s="295"/>
    </row>
    <row r="131" spans="8:8" ht="17.8">
      <c r="A131" s="295"/>
      <c r="B131" s="311" t="s">
        <v>8956</v>
      </c>
      <c r="C131" s="312" t="s">
        <v>8957</v>
      </c>
      <c r="D131" s="311">
        <v>422.0</v>
      </c>
      <c r="E131" s="312" t="s">
        <v>8958</v>
      </c>
      <c r="F131" s="311" t="s">
        <v>8959</v>
      </c>
      <c r="G131" s="327" t="s">
        <v>7972</v>
      </c>
      <c r="H131" s="311"/>
      <c r="I131" s="312"/>
      <c r="J131" s="311"/>
      <c r="K131" s="312"/>
      <c r="L131" s="311"/>
      <c r="M131" s="327" t="s">
        <v>7972</v>
      </c>
      <c r="N131" s="295"/>
      <c r="O131" s="3"/>
      <c r="P131" s="330"/>
      <c r="Q131" s="348"/>
      <c r="R131" s="332"/>
      <c r="S131" s="333"/>
      <c r="T131" s="332"/>
      <c r="U131" s="333"/>
      <c r="V131" s="330"/>
      <c r="X131" s="295"/>
      <c r="Y131" s="322"/>
      <c r="Z131" s="321"/>
      <c r="AA131" s="322"/>
      <c r="AB131" s="295"/>
    </row>
    <row r="132" spans="8:8" ht="17.8">
      <c r="A132" s="295"/>
      <c r="B132" s="312" t="s">
        <v>8960</v>
      </c>
      <c r="C132" s="311" t="s">
        <v>8961</v>
      </c>
      <c r="D132" s="312">
        <v>662.0</v>
      </c>
      <c r="E132" s="311" t="s">
        <v>8962</v>
      </c>
      <c r="F132" s="312" t="s">
        <v>8963</v>
      </c>
      <c r="G132" s="327" t="s">
        <v>7972</v>
      </c>
      <c r="H132" s="312"/>
      <c r="I132" s="311"/>
      <c r="J132" s="312"/>
      <c r="K132" s="311"/>
      <c r="L132" s="312"/>
      <c r="M132" s="327" t="s">
        <v>7972</v>
      </c>
      <c r="N132" s="295"/>
      <c r="O132" s="3"/>
      <c r="P132" s="330"/>
      <c r="Q132" s="349"/>
      <c r="R132" s="333"/>
      <c r="S132" s="332"/>
      <c r="T132" s="333"/>
      <c r="U132" s="332"/>
      <c r="V132" s="330"/>
      <c r="X132" s="295"/>
      <c r="Y132" s="321"/>
      <c r="Z132" s="322"/>
      <c r="AA132" s="321"/>
      <c r="AB132" s="295"/>
    </row>
    <row r="133" spans="8:8" ht="17.8">
      <c r="A133" s="295"/>
      <c r="B133" s="311" t="s">
        <v>8964</v>
      </c>
      <c r="C133" s="312" t="s">
        <v>8965</v>
      </c>
      <c r="D133" s="311">
        <v>438.0</v>
      </c>
      <c r="E133" s="312" t="s">
        <v>8966</v>
      </c>
      <c r="F133" s="311" t="s">
        <v>8967</v>
      </c>
      <c r="G133" s="327" t="s">
        <v>7972</v>
      </c>
      <c r="H133" s="311"/>
      <c r="I133" s="312"/>
      <c r="J133" s="311"/>
      <c r="K133" s="312"/>
      <c r="L133" s="311"/>
      <c r="M133" s="327" t="s">
        <v>7972</v>
      </c>
      <c r="N133" s="295"/>
      <c r="O133" s="3"/>
      <c r="P133" s="330"/>
      <c r="Q133" s="348"/>
      <c r="R133" s="332"/>
      <c r="S133" s="333"/>
      <c r="T133" s="332"/>
      <c r="U133" s="333"/>
      <c r="V133" s="330"/>
      <c r="X133" s="295"/>
      <c r="Y133" s="322"/>
      <c r="Z133" s="321"/>
      <c r="AA133" s="322"/>
      <c r="AB133" s="295"/>
    </row>
    <row r="134" spans="8:8" ht="17.8">
      <c r="A134" s="295"/>
      <c r="B134" s="312" t="s">
        <v>8968</v>
      </c>
      <c r="C134" s="311" t="s">
        <v>8969</v>
      </c>
      <c r="D134" s="312">
        <v>144.0</v>
      </c>
      <c r="E134" s="311" t="s">
        <v>8970</v>
      </c>
      <c r="F134" s="312" t="s">
        <v>8971</v>
      </c>
      <c r="G134" s="327" t="s">
        <v>7972</v>
      </c>
      <c r="H134" s="312"/>
      <c r="I134" s="311"/>
      <c r="J134" s="312"/>
      <c r="K134" s="311"/>
      <c r="L134" s="312"/>
      <c r="M134" s="327" t="s">
        <v>7972</v>
      </c>
      <c r="N134" s="295"/>
      <c r="O134" s="3"/>
      <c r="P134" s="330"/>
      <c r="Q134" s="349"/>
      <c r="R134" s="333"/>
      <c r="S134" s="332"/>
      <c r="T134" s="333"/>
      <c r="U134" s="332"/>
      <c r="V134" s="330"/>
      <c r="X134" s="295"/>
      <c r="Y134" s="321"/>
      <c r="Z134" s="322"/>
      <c r="AA134" s="321"/>
      <c r="AB134" s="295"/>
    </row>
    <row r="135" spans="8:8" ht="17.8">
      <c r="A135" s="295"/>
      <c r="B135" s="311" t="s">
        <v>8972</v>
      </c>
      <c r="C135" s="312" t="s">
        <v>8973</v>
      </c>
      <c r="D135" s="311">
        <v>430.0</v>
      </c>
      <c r="E135" s="312" t="s">
        <v>8974</v>
      </c>
      <c r="F135" s="311" t="s">
        <v>8975</v>
      </c>
      <c r="G135" s="327" t="s">
        <v>7972</v>
      </c>
      <c r="H135" s="311"/>
      <c r="I135" s="312"/>
      <c r="J135" s="311"/>
      <c r="K135" s="312"/>
      <c r="L135" s="311"/>
      <c r="M135" s="327" t="s">
        <v>7972</v>
      </c>
      <c r="N135" s="295"/>
      <c r="O135" s="3"/>
      <c r="P135" s="330"/>
      <c r="Q135" s="348"/>
      <c r="R135" s="332"/>
      <c r="S135" s="333"/>
      <c r="T135" s="332"/>
      <c r="U135" s="333"/>
      <c r="V135" s="330"/>
      <c r="X135" s="295"/>
      <c r="Y135" s="322"/>
      <c r="Z135" s="321"/>
      <c r="AA135" s="322"/>
      <c r="AB135" s="295"/>
    </row>
    <row r="136" spans="8:8" ht="17.8">
      <c r="A136" s="295"/>
      <c r="B136" s="312" t="s">
        <v>8976</v>
      </c>
      <c r="C136" s="311" t="s">
        <v>8977</v>
      </c>
      <c r="D136" s="312">
        <v>426.0</v>
      </c>
      <c r="E136" s="311" t="s">
        <v>8978</v>
      </c>
      <c r="F136" s="312" t="s">
        <v>8979</v>
      </c>
      <c r="G136" s="327" t="s">
        <v>7972</v>
      </c>
      <c r="H136" s="312"/>
      <c r="I136" s="311"/>
      <c r="J136" s="312"/>
      <c r="K136" s="311"/>
      <c r="L136" s="312"/>
      <c r="M136" s="327" t="s">
        <v>7972</v>
      </c>
      <c r="N136" s="295"/>
      <c r="O136" s="3"/>
      <c r="P136" s="330"/>
      <c r="Q136" s="349"/>
      <c r="R136" s="333"/>
      <c r="S136" s="332"/>
      <c r="T136" s="333"/>
      <c r="U136" s="332"/>
      <c r="V136" s="330"/>
      <c r="X136" s="295"/>
      <c r="Y136" s="321"/>
      <c r="Z136" s="322"/>
      <c r="AA136" s="321"/>
      <c r="AB136" s="295"/>
    </row>
    <row r="137" spans="8:8" ht="17.8">
      <c r="A137" s="295"/>
      <c r="B137" s="311" t="s">
        <v>8980</v>
      </c>
      <c r="C137" s="312" t="s">
        <v>8981</v>
      </c>
      <c r="D137" s="311">
        <v>440.0</v>
      </c>
      <c r="E137" s="312" t="s">
        <v>8982</v>
      </c>
      <c r="F137" s="311" t="s">
        <v>8983</v>
      </c>
      <c r="G137" s="327" t="s">
        <v>7972</v>
      </c>
      <c r="H137" s="311"/>
      <c r="I137" s="312"/>
      <c r="J137" s="311"/>
      <c r="K137" s="312"/>
      <c r="L137" s="311"/>
      <c r="M137" s="327" t="s">
        <v>7972</v>
      </c>
      <c r="N137" s="295"/>
      <c r="O137" s="3"/>
      <c r="P137" s="330"/>
      <c r="Q137" s="348"/>
      <c r="R137" s="332"/>
      <c r="S137" s="333"/>
      <c r="T137" s="332"/>
      <c r="U137" s="333"/>
      <c r="V137" s="330"/>
      <c r="X137" s="295"/>
      <c r="Y137" s="322"/>
      <c r="Z137" s="321"/>
      <c r="AA137" s="322"/>
      <c r="AB137" s="295"/>
    </row>
    <row r="138" spans="8:8" ht="17.8">
      <c r="A138" s="295"/>
      <c r="B138" s="312" t="s">
        <v>8984</v>
      </c>
      <c r="C138" s="311" t="s">
        <v>8985</v>
      </c>
      <c r="D138" s="312">
        <v>442.0</v>
      </c>
      <c r="E138" s="311" t="s">
        <v>8986</v>
      </c>
      <c r="F138" s="312" t="s">
        <v>8987</v>
      </c>
      <c r="G138" s="327" t="s">
        <v>7972</v>
      </c>
      <c r="H138" s="312"/>
      <c r="I138" s="311"/>
      <c r="J138" s="312"/>
      <c r="K138" s="311"/>
      <c r="L138" s="312"/>
      <c r="M138" s="327" t="s">
        <v>7972</v>
      </c>
      <c r="N138" s="295"/>
      <c r="O138" s="3"/>
      <c r="P138" s="330"/>
      <c r="Q138" s="349"/>
      <c r="R138" s="333"/>
      <c r="S138" s="332"/>
      <c r="T138" s="333"/>
      <c r="U138" s="332"/>
      <c r="V138" s="330"/>
      <c r="X138" s="295"/>
      <c r="Y138" s="321"/>
      <c r="Z138" s="322"/>
      <c r="AA138" s="321"/>
      <c r="AB138" s="295"/>
    </row>
    <row r="139" spans="8:8" ht="17.8">
      <c r="A139" s="295"/>
      <c r="B139" s="311" t="s">
        <v>8988</v>
      </c>
      <c r="C139" s="312" t="s">
        <v>8989</v>
      </c>
      <c r="D139" s="311">
        <v>428.0</v>
      </c>
      <c r="E139" s="312" t="s">
        <v>8990</v>
      </c>
      <c r="F139" s="311" t="s">
        <v>8991</v>
      </c>
      <c r="G139" s="327" t="s">
        <v>7972</v>
      </c>
      <c r="H139" s="311"/>
      <c r="I139" s="312"/>
      <c r="J139" s="311"/>
      <c r="K139" s="312"/>
      <c r="L139" s="311"/>
      <c r="M139" s="327" t="s">
        <v>7972</v>
      </c>
      <c r="N139" s="295"/>
      <c r="O139" s="3"/>
      <c r="P139" s="330"/>
      <c r="Q139" s="348"/>
      <c r="R139" s="332"/>
      <c r="S139" s="333"/>
      <c r="T139" s="332"/>
      <c r="U139" s="333"/>
      <c r="V139" s="330"/>
      <c r="X139" s="295"/>
      <c r="Y139" s="322"/>
      <c r="Z139" s="321"/>
      <c r="AA139" s="322"/>
      <c r="AB139" s="295"/>
    </row>
    <row r="140" spans="8:8" ht="17.8">
      <c r="A140" s="295"/>
      <c r="B140" s="312" t="s">
        <v>8992</v>
      </c>
      <c r="C140" s="311" t="s">
        <v>8993</v>
      </c>
      <c r="D140" s="312">
        <v>434.0</v>
      </c>
      <c r="E140" s="311" t="s">
        <v>8994</v>
      </c>
      <c r="F140" s="312" t="s">
        <v>8995</v>
      </c>
      <c r="G140" s="327" t="s">
        <v>7972</v>
      </c>
      <c r="H140" s="312"/>
      <c r="I140" s="311"/>
      <c r="J140" s="312"/>
      <c r="K140" s="311"/>
      <c r="L140" s="312"/>
      <c r="M140" s="327" t="s">
        <v>7972</v>
      </c>
      <c r="N140" s="295"/>
      <c r="O140" s="3"/>
      <c r="P140" s="330"/>
      <c r="Q140" s="349"/>
      <c r="R140" s="333"/>
      <c r="S140" s="332"/>
      <c r="T140" s="333"/>
      <c r="U140" s="332"/>
      <c r="V140" s="330"/>
      <c r="X140" s="295"/>
      <c r="Y140" s="321"/>
      <c r="Z140" s="322"/>
      <c r="AA140" s="321"/>
      <c r="AB140" s="295"/>
    </row>
    <row r="141" spans="8:8" ht="17.8">
      <c r="A141" s="295"/>
      <c r="B141" s="311" t="s">
        <v>8996</v>
      </c>
      <c r="C141" s="312" t="s">
        <v>8997</v>
      </c>
      <c r="D141" s="311">
        <v>504.0</v>
      </c>
      <c r="E141" s="312" t="s">
        <v>8998</v>
      </c>
      <c r="F141" s="311" t="s">
        <v>8999</v>
      </c>
      <c r="G141" s="327" t="s">
        <v>7972</v>
      </c>
      <c r="H141" s="311"/>
      <c r="I141" s="312"/>
      <c r="J141" s="311"/>
      <c r="K141" s="312"/>
      <c r="L141" s="311"/>
      <c r="M141" s="327" t="s">
        <v>7972</v>
      </c>
      <c r="N141" s="295"/>
      <c r="O141" s="3"/>
      <c r="P141" s="330"/>
      <c r="Q141" s="348"/>
      <c r="R141" s="332"/>
      <c r="S141" s="333"/>
      <c r="T141" s="332"/>
      <c r="U141" s="333"/>
      <c r="V141" s="330"/>
      <c r="X141" s="295"/>
      <c r="Y141" s="322"/>
      <c r="Z141" s="321"/>
      <c r="AA141" s="322"/>
      <c r="AB141" s="295"/>
    </row>
    <row r="142" spans="8:8" ht="17.8">
      <c r="A142" s="295"/>
      <c r="B142" s="312" t="s">
        <v>9000</v>
      </c>
      <c r="C142" s="311" t="s">
        <v>9001</v>
      </c>
      <c r="D142" s="312">
        <v>492.0</v>
      </c>
      <c r="E142" s="311" t="s">
        <v>9002</v>
      </c>
      <c r="F142" s="312" t="s">
        <v>9003</v>
      </c>
      <c r="G142" s="327" t="s">
        <v>7972</v>
      </c>
      <c r="H142" s="312"/>
      <c r="I142" s="311"/>
      <c r="J142" s="312"/>
      <c r="K142" s="311"/>
      <c r="L142" s="312"/>
      <c r="M142" s="327" t="s">
        <v>7972</v>
      </c>
      <c r="N142" s="295"/>
      <c r="O142" s="3"/>
      <c r="P142" s="330"/>
      <c r="Q142" s="349"/>
      <c r="R142" s="333"/>
      <c r="S142" s="332"/>
      <c r="T142" s="333"/>
      <c r="U142" s="332"/>
      <c r="V142" s="330"/>
      <c r="X142" s="295"/>
      <c r="Y142" s="321"/>
      <c r="Z142" s="322"/>
      <c r="AA142" s="321"/>
      <c r="AB142" s="295"/>
    </row>
    <row r="143" spans="8:8" ht="17.8">
      <c r="A143" s="295"/>
      <c r="B143" s="311" t="s">
        <v>9004</v>
      </c>
      <c r="C143" s="312" t="s">
        <v>9005</v>
      </c>
      <c r="D143" s="311">
        <v>498.0</v>
      </c>
      <c r="E143" s="312" t="s">
        <v>9006</v>
      </c>
      <c r="F143" s="311" t="s">
        <v>9007</v>
      </c>
      <c r="G143" s="327" t="s">
        <v>7972</v>
      </c>
      <c r="H143" s="311"/>
      <c r="I143" s="312"/>
      <c r="J143" s="311"/>
      <c r="K143" s="312"/>
      <c r="L143" s="311"/>
      <c r="M143" s="327" t="s">
        <v>7972</v>
      </c>
      <c r="N143" s="295"/>
      <c r="O143" s="3"/>
      <c r="P143" s="330"/>
      <c r="Q143" s="348"/>
      <c r="R143" s="332"/>
      <c r="S143" s="333"/>
      <c r="T143" s="332"/>
      <c r="U143" s="333"/>
      <c r="V143" s="330"/>
      <c r="X143" s="295"/>
      <c r="Y143" s="322"/>
      <c r="Z143" s="321"/>
      <c r="AA143" s="322"/>
      <c r="AB143" s="295"/>
    </row>
    <row r="144" spans="8:8" ht="17.8">
      <c r="A144" s="295"/>
      <c r="B144" s="312" t="s">
        <v>9008</v>
      </c>
      <c r="C144" s="311" t="s">
        <v>9009</v>
      </c>
      <c r="D144" s="312">
        <v>499.0</v>
      </c>
      <c r="E144" s="311" t="s">
        <v>9010</v>
      </c>
      <c r="F144" s="312" t="s">
        <v>9011</v>
      </c>
      <c r="G144" s="327" t="s">
        <v>7972</v>
      </c>
      <c r="H144" s="312"/>
      <c r="I144" s="311"/>
      <c r="J144" s="312"/>
      <c r="K144" s="311"/>
      <c r="L144" s="312"/>
      <c r="M144" s="327" t="s">
        <v>7972</v>
      </c>
      <c r="N144" s="295"/>
      <c r="O144" s="3"/>
      <c r="P144" s="330"/>
      <c r="Q144" s="349"/>
      <c r="R144" s="333"/>
      <c r="S144" s="332"/>
      <c r="T144" s="333"/>
      <c r="U144" s="332"/>
      <c r="V144" s="330"/>
      <c r="X144" s="295"/>
      <c r="Y144" s="321"/>
      <c r="Z144" s="322"/>
      <c r="AA144" s="321"/>
      <c r="AB144" s="295"/>
    </row>
    <row r="145" spans="8:8" ht="17.8">
      <c r="A145" s="295"/>
      <c r="B145" s="311" t="s">
        <v>9012</v>
      </c>
      <c r="C145" s="312" t="s">
        <v>9013</v>
      </c>
      <c r="D145" s="311">
        <v>663.0</v>
      </c>
      <c r="E145" s="312" t="s">
        <v>9014</v>
      </c>
      <c r="F145" s="311" t="s">
        <v>9015</v>
      </c>
      <c r="G145" s="327" t="s">
        <v>7972</v>
      </c>
      <c r="H145" s="311"/>
      <c r="I145" s="312"/>
      <c r="J145" s="311"/>
      <c r="K145" s="312"/>
      <c r="L145" s="311"/>
      <c r="M145" s="327" t="s">
        <v>7972</v>
      </c>
      <c r="N145" s="295"/>
      <c r="O145" s="3"/>
      <c r="P145" s="330"/>
      <c r="Q145" s="348"/>
      <c r="R145" s="332"/>
      <c r="S145" s="333"/>
      <c r="T145" s="332"/>
      <c r="U145" s="333"/>
      <c r="V145" s="330"/>
      <c r="X145" s="295"/>
      <c r="Y145" s="322"/>
      <c r="Z145" s="321"/>
      <c r="AA145" s="322"/>
      <c r="AB145" s="295"/>
    </row>
    <row r="146" spans="8:8" ht="17.8">
      <c r="A146" s="295"/>
      <c r="B146" s="312" t="s">
        <v>9016</v>
      </c>
      <c r="C146" s="311" t="s">
        <v>9017</v>
      </c>
      <c r="D146" s="312">
        <v>450.0</v>
      </c>
      <c r="E146" s="311" t="s">
        <v>9018</v>
      </c>
      <c r="F146" s="312" t="s">
        <v>9019</v>
      </c>
      <c r="G146" s="327" t="s">
        <v>7972</v>
      </c>
      <c r="H146" s="312"/>
      <c r="I146" s="311"/>
      <c r="J146" s="312"/>
      <c r="K146" s="311"/>
      <c r="L146" s="312"/>
      <c r="M146" s="327" t="s">
        <v>7972</v>
      </c>
      <c r="N146" s="295"/>
      <c r="O146" s="3"/>
      <c r="P146" s="330"/>
      <c r="Q146" s="349"/>
      <c r="R146" s="333"/>
      <c r="S146" s="332"/>
      <c r="T146" s="333"/>
      <c r="U146" s="332"/>
      <c r="V146" s="330"/>
      <c r="X146" s="295"/>
      <c r="Y146" s="321"/>
      <c r="Z146" s="322"/>
      <c r="AA146" s="321"/>
      <c r="AB146" s="295"/>
    </row>
    <row r="147" spans="8:8" ht="17.8">
      <c r="A147" s="295"/>
      <c r="B147" s="311" t="s">
        <v>9020</v>
      </c>
      <c r="C147" s="312" t="s">
        <v>9021</v>
      </c>
      <c r="D147" s="311">
        <v>584.0</v>
      </c>
      <c r="E147" s="312" t="s">
        <v>9022</v>
      </c>
      <c r="F147" s="311" t="s">
        <v>9023</v>
      </c>
      <c r="G147" s="327" t="s">
        <v>7972</v>
      </c>
      <c r="H147" s="311"/>
      <c r="I147" s="312"/>
      <c r="J147" s="311"/>
      <c r="K147" s="312"/>
      <c r="L147" s="311"/>
      <c r="M147" s="327" t="s">
        <v>7972</v>
      </c>
      <c r="N147" s="295"/>
      <c r="P147" s="330"/>
      <c r="Q147" s="348"/>
      <c r="R147" s="332"/>
      <c r="S147" s="333"/>
      <c r="T147" s="332"/>
      <c r="U147" s="333"/>
      <c r="V147" s="330"/>
      <c r="X147" s="295"/>
      <c r="Y147" s="322"/>
      <c r="Z147" s="321"/>
      <c r="AA147" s="322"/>
      <c r="AB147" s="295"/>
    </row>
    <row r="148" spans="8:8" ht="17.8">
      <c r="A148" s="295"/>
      <c r="B148" s="312" t="s">
        <v>9024</v>
      </c>
      <c r="C148" s="311" t="s">
        <v>9025</v>
      </c>
      <c r="D148" s="312">
        <v>807.0</v>
      </c>
      <c r="E148" s="311" t="s">
        <v>9026</v>
      </c>
      <c r="F148" s="312" t="s">
        <v>9027</v>
      </c>
      <c r="G148" s="327" t="s">
        <v>7972</v>
      </c>
      <c r="H148" s="312"/>
      <c r="I148" s="311"/>
      <c r="J148" s="312"/>
      <c r="K148" s="311"/>
      <c r="L148" s="312"/>
      <c r="M148" s="327" t="s">
        <v>7972</v>
      </c>
      <c r="N148" s="295"/>
      <c r="P148" s="330"/>
      <c r="Q148" s="349"/>
      <c r="R148" s="333"/>
      <c r="S148" s="332"/>
      <c r="T148" s="333"/>
      <c r="U148" s="332"/>
      <c r="V148" s="330"/>
      <c r="X148" s="295"/>
      <c r="Y148" s="295"/>
      <c r="Z148" s="295"/>
      <c r="AA148" s="295"/>
      <c r="AB148" s="295"/>
    </row>
    <row r="149" spans="8:8" ht="17.8">
      <c r="A149" s="330"/>
      <c r="B149" s="351"/>
      <c r="C149" s="352"/>
      <c r="D149" s="351"/>
      <c r="E149" s="352"/>
      <c r="F149" s="351"/>
      <c r="G149" s="352"/>
      <c r="H149" s="351"/>
      <c r="I149" s="352"/>
      <c r="J149" s="351"/>
      <c r="K149" s="352"/>
      <c r="L149" s="351"/>
      <c r="M149" s="352"/>
      <c r="N149" s="330"/>
      <c r="P149" s="330"/>
      <c r="Q149" s="348"/>
      <c r="R149" s="332"/>
      <c r="S149" s="333"/>
      <c r="T149" s="332"/>
      <c r="U149" s="333"/>
      <c r="V149" s="330"/>
    </row>
    <row r="150" spans="8:8" ht="21.15">
      <c r="A150" s="353"/>
      <c r="B150" s="354" t="s">
        <v>9028</v>
      </c>
      <c r="C150" s="355"/>
      <c r="D150" s="355"/>
      <c r="E150" s="355"/>
      <c r="F150" s="355"/>
      <c r="G150" s="355"/>
      <c r="H150" s="355"/>
      <c r="I150" s="355"/>
      <c r="J150" s="355"/>
      <c r="K150" s="355"/>
      <c r="L150" s="355"/>
      <c r="M150" s="356"/>
      <c r="N150" s="353"/>
      <c r="P150" s="330"/>
      <c r="Q150" s="349"/>
      <c r="R150" s="333"/>
      <c r="S150" s="332"/>
      <c r="T150" s="333"/>
      <c r="U150" s="332"/>
      <c r="V150" s="330"/>
    </row>
    <row r="151" spans="8:8" ht="17.8">
      <c r="A151" s="330"/>
      <c r="B151" s="321"/>
      <c r="C151" s="322"/>
      <c r="D151" s="321"/>
      <c r="E151" s="322"/>
      <c r="F151" s="321"/>
      <c r="G151" s="322"/>
      <c r="H151" s="321"/>
      <c r="I151" s="322"/>
      <c r="J151" s="321"/>
      <c r="K151" s="322"/>
      <c r="L151" s="321"/>
      <c r="M151" s="322"/>
      <c r="N151" s="330"/>
      <c r="P151" s="330"/>
      <c r="Q151" s="348"/>
      <c r="R151" s="332"/>
      <c r="S151" s="333"/>
      <c r="T151" s="332"/>
      <c r="U151" s="333"/>
      <c r="V151" s="330"/>
    </row>
    <row r="152" spans="8:8" ht="17.8">
      <c r="A152" s="330"/>
      <c r="B152" s="323" t="s">
        <v>9029</v>
      </c>
      <c r="C152" s="318" t="s">
        <v>9030</v>
      </c>
      <c r="D152" s="357" t="s">
        <v>7972</v>
      </c>
      <c r="E152" s="318" t="s">
        <v>9031</v>
      </c>
      <c r="F152" s="323" t="s">
        <v>8928</v>
      </c>
      <c r="G152" s="357" t="s">
        <v>7972</v>
      </c>
      <c r="H152" s="323" t="s">
        <v>9032</v>
      </c>
      <c r="I152" s="318" t="s">
        <v>9033</v>
      </c>
      <c r="J152" s="322"/>
      <c r="K152" s="321"/>
      <c r="L152" s="322"/>
      <c r="M152" s="321"/>
      <c r="N152" s="330"/>
      <c r="P152" s="330"/>
      <c r="Q152" s="349"/>
      <c r="R152" s="333"/>
      <c r="S152" s="332"/>
      <c r="T152" s="333"/>
      <c r="U152" s="332"/>
      <c r="V152" s="330"/>
    </row>
    <row r="153" spans="8:8" ht="17.8">
      <c r="A153" s="330"/>
      <c r="B153" s="318" t="s">
        <v>9034</v>
      </c>
      <c r="C153" s="323" t="s">
        <v>8626</v>
      </c>
      <c r="D153" s="357" t="s">
        <v>7972</v>
      </c>
      <c r="E153" s="323" t="s">
        <v>9035</v>
      </c>
      <c r="F153" s="318" t="s">
        <v>9036</v>
      </c>
      <c r="G153" s="357" t="s">
        <v>7972</v>
      </c>
      <c r="H153" s="318" t="s">
        <v>9037</v>
      </c>
      <c r="I153" s="323" t="s">
        <v>9038</v>
      </c>
      <c r="J153" s="321"/>
      <c r="K153" s="322"/>
      <c r="L153" s="321"/>
      <c r="M153" s="322"/>
      <c r="N153" s="330"/>
      <c r="P153" s="330"/>
      <c r="Q153" s="348"/>
      <c r="R153" s="332"/>
      <c r="S153" s="333"/>
      <c r="T153" s="332"/>
      <c r="U153" s="333"/>
      <c r="V153" s="330"/>
    </row>
    <row r="154" spans="8:8" ht="17.8">
      <c r="A154" s="330"/>
      <c r="B154" s="323" t="s">
        <v>9039</v>
      </c>
      <c r="C154" s="318" t="s">
        <v>8964</v>
      </c>
      <c r="D154" s="357" t="s">
        <v>7972</v>
      </c>
      <c r="E154" s="318" t="s">
        <v>9040</v>
      </c>
      <c r="F154" s="323" t="s">
        <v>9041</v>
      </c>
      <c r="G154" s="357" t="s">
        <v>7972</v>
      </c>
      <c r="H154" s="323" t="s">
        <v>9042</v>
      </c>
      <c r="I154" s="318" t="s">
        <v>9043</v>
      </c>
      <c r="J154" s="322"/>
      <c r="K154" s="321"/>
      <c r="L154" s="322"/>
      <c r="M154" s="321"/>
      <c r="N154" s="330"/>
      <c r="P154" s="330"/>
      <c r="Q154" s="349"/>
      <c r="R154" s="333"/>
      <c r="S154" s="332"/>
      <c r="T154" s="333"/>
      <c r="U154" s="332"/>
      <c r="V154" s="330"/>
    </row>
    <row r="155" spans="8:8" ht="17.8">
      <c r="A155" s="330"/>
      <c r="B155" s="318" t="s">
        <v>9044</v>
      </c>
      <c r="C155" s="323" t="s">
        <v>8405</v>
      </c>
      <c r="D155" s="357" t="s">
        <v>7972</v>
      </c>
      <c r="E155" s="323" t="s">
        <v>9045</v>
      </c>
      <c r="F155" s="318" t="s">
        <v>9046</v>
      </c>
      <c r="G155" s="357" t="s">
        <v>7972</v>
      </c>
      <c r="H155" s="318" t="s">
        <v>9047</v>
      </c>
      <c r="I155" s="323" t="s">
        <v>9048</v>
      </c>
      <c r="J155" s="321"/>
      <c r="K155" s="322"/>
      <c r="L155" s="321"/>
      <c r="M155" s="322"/>
      <c r="N155" s="330"/>
      <c r="P155" s="330"/>
      <c r="Q155" s="348"/>
      <c r="R155" s="332"/>
      <c r="S155" s="333"/>
      <c r="T155" s="332"/>
      <c r="U155" s="333"/>
      <c r="V155" s="330"/>
    </row>
    <row r="156" spans="8:8" ht="17.8">
      <c r="A156" s="330"/>
      <c r="B156" s="323" t="s">
        <v>9049</v>
      </c>
      <c r="C156" s="318" t="s">
        <v>9050</v>
      </c>
      <c r="D156" s="357" t="s">
        <v>7972</v>
      </c>
      <c r="E156" s="318" t="s">
        <v>9051</v>
      </c>
      <c r="F156" s="323" t="s">
        <v>9052</v>
      </c>
      <c r="G156" s="357" t="s">
        <v>7972</v>
      </c>
      <c r="H156" s="323" t="s">
        <v>9053</v>
      </c>
      <c r="I156" s="318" t="s">
        <v>9054</v>
      </c>
      <c r="J156" s="322"/>
      <c r="K156" s="321"/>
      <c r="L156" s="322"/>
      <c r="M156" s="321"/>
      <c r="N156" s="330"/>
      <c r="P156" s="330"/>
      <c r="Q156" s="349"/>
      <c r="R156" s="333"/>
      <c r="S156" s="332"/>
      <c r="T156" s="333"/>
      <c r="U156" s="332"/>
      <c r="V156" s="330"/>
    </row>
    <row r="157" spans="8:8" ht="17.8">
      <c r="A157" s="330"/>
      <c r="B157" s="318" t="s">
        <v>9055</v>
      </c>
      <c r="C157" s="323" t="s">
        <v>9056</v>
      </c>
      <c r="D157" s="357" t="s">
        <v>7972</v>
      </c>
      <c r="E157" s="323" t="s">
        <v>9057</v>
      </c>
      <c r="F157" s="318" t="s">
        <v>9058</v>
      </c>
      <c r="G157" s="357" t="s">
        <v>7972</v>
      </c>
      <c r="H157" s="318" t="s">
        <v>9059</v>
      </c>
      <c r="I157" s="323" t="s">
        <v>9060</v>
      </c>
      <c r="J157" s="321"/>
      <c r="K157" s="322"/>
      <c r="L157" s="321"/>
      <c r="M157" s="322"/>
      <c r="N157" s="330"/>
      <c r="P157" s="330"/>
      <c r="Q157" s="348"/>
      <c r="R157" s="332"/>
      <c r="S157" s="333"/>
      <c r="T157" s="332"/>
      <c r="U157" s="333"/>
      <c r="V157" s="330"/>
    </row>
    <row r="158" spans="8:8" ht="17.8">
      <c r="A158" s="330"/>
      <c r="B158" s="323" t="s">
        <v>9061</v>
      </c>
      <c r="C158" s="318" t="s">
        <v>9062</v>
      </c>
      <c r="D158" s="357" t="s">
        <v>7972</v>
      </c>
      <c r="E158" s="318" t="s">
        <v>9063</v>
      </c>
      <c r="F158" s="323" t="s">
        <v>9064</v>
      </c>
      <c r="G158" s="357" t="s">
        <v>7972</v>
      </c>
      <c r="H158" s="323" t="s">
        <v>9065</v>
      </c>
      <c r="I158" s="318" t="s">
        <v>9066</v>
      </c>
      <c r="J158" s="322"/>
      <c r="K158" s="321"/>
      <c r="L158" s="322"/>
      <c r="M158" s="321"/>
      <c r="N158" s="330"/>
      <c r="P158" s="330"/>
      <c r="Q158" s="349"/>
      <c r="R158" s="333"/>
      <c r="S158" s="332"/>
      <c r="T158" s="333"/>
      <c r="U158" s="332"/>
      <c r="V158" s="330"/>
    </row>
    <row r="159" spans="8:8" ht="17.8">
      <c r="A159" s="330"/>
      <c r="B159" s="318" t="s">
        <v>9067</v>
      </c>
      <c r="C159" s="323" t="s">
        <v>8416</v>
      </c>
      <c r="D159" s="357" t="s">
        <v>7972</v>
      </c>
      <c r="E159" s="323" t="s">
        <v>9068</v>
      </c>
      <c r="F159" s="318" t="s">
        <v>9069</v>
      </c>
      <c r="G159" s="357" t="s">
        <v>7972</v>
      </c>
      <c r="H159" s="318" t="s">
        <v>9070</v>
      </c>
      <c r="I159" s="323" t="s">
        <v>9071</v>
      </c>
      <c r="J159" s="321"/>
      <c r="K159" s="322"/>
      <c r="L159" s="321"/>
      <c r="M159" s="322"/>
      <c r="N159" s="330"/>
      <c r="P159" s="330"/>
      <c r="Q159" s="348"/>
      <c r="R159" s="332"/>
      <c r="S159" s="333"/>
      <c r="T159" s="332"/>
      <c r="U159" s="333"/>
      <c r="V159" s="330"/>
    </row>
    <row r="160" spans="8:8" ht="17.8">
      <c r="A160" s="330"/>
      <c r="B160" s="323" t="s">
        <v>9072</v>
      </c>
      <c r="C160" s="318" t="s">
        <v>7989</v>
      </c>
      <c r="D160" s="357" t="s">
        <v>7972</v>
      </c>
      <c r="E160" s="318" t="s">
        <v>9073</v>
      </c>
      <c r="F160" s="323" t="s">
        <v>8936</v>
      </c>
      <c r="G160" s="357" t="s">
        <v>7972</v>
      </c>
      <c r="H160" s="323" t="s">
        <v>9074</v>
      </c>
      <c r="I160" s="318" t="s">
        <v>9075</v>
      </c>
      <c r="J160" s="322"/>
      <c r="K160" s="321"/>
      <c r="L160" s="322"/>
      <c r="M160" s="321"/>
      <c r="N160" s="330"/>
      <c r="P160" s="330"/>
      <c r="Q160" s="349"/>
      <c r="R160" s="333"/>
      <c r="S160" s="332"/>
      <c r="T160" s="333"/>
      <c r="U160" s="332"/>
      <c r="V160" s="330"/>
    </row>
    <row r="161" spans="8:8" ht="17.8">
      <c r="A161" s="330"/>
      <c r="B161" s="318" t="s">
        <v>9076</v>
      </c>
      <c r="C161" s="323" t="s">
        <v>8634</v>
      </c>
      <c r="D161" s="357" t="s">
        <v>7972</v>
      </c>
      <c r="E161" s="323" t="s">
        <v>9077</v>
      </c>
      <c r="F161" s="318" t="s">
        <v>9078</v>
      </c>
      <c r="G161" s="357" t="s">
        <v>7972</v>
      </c>
      <c r="H161" s="318" t="s">
        <v>9079</v>
      </c>
      <c r="I161" s="323" t="s">
        <v>9080</v>
      </c>
      <c r="J161" s="321"/>
      <c r="K161" s="322"/>
      <c r="L161" s="321"/>
      <c r="M161" s="322"/>
      <c r="N161" s="330"/>
      <c r="P161" s="330"/>
      <c r="Q161" s="348"/>
      <c r="R161" s="332"/>
      <c r="S161" s="333"/>
      <c r="T161" s="332"/>
      <c r="U161" s="333"/>
      <c r="V161" s="330"/>
    </row>
    <row r="162" spans="8:8" ht="17.8">
      <c r="A162" s="330"/>
      <c r="B162" s="323" t="s">
        <v>9081</v>
      </c>
      <c r="C162" s="318" t="s">
        <v>9082</v>
      </c>
      <c r="D162" s="357" t="s">
        <v>7972</v>
      </c>
      <c r="E162" s="318" t="s">
        <v>9083</v>
      </c>
      <c r="F162" s="323" t="s">
        <v>9084</v>
      </c>
      <c r="G162" s="357" t="s">
        <v>7972</v>
      </c>
      <c r="H162" s="323" t="s">
        <v>9085</v>
      </c>
      <c r="I162" s="318" t="s">
        <v>9086</v>
      </c>
      <c r="J162" s="322"/>
      <c r="K162" s="321"/>
      <c r="L162" s="322"/>
      <c r="M162" s="321"/>
      <c r="N162" s="330"/>
      <c r="P162" s="330"/>
      <c r="Q162" s="349"/>
      <c r="R162" s="333"/>
      <c r="S162" s="332"/>
      <c r="T162" s="333"/>
      <c r="U162" s="332"/>
      <c r="V162" s="330"/>
    </row>
    <row r="163" spans="8:8" ht="17.8">
      <c r="A163" s="330"/>
      <c r="B163" s="318" t="s">
        <v>9087</v>
      </c>
      <c r="C163" s="323" t="s">
        <v>8427</v>
      </c>
      <c r="D163" s="357" t="s">
        <v>7972</v>
      </c>
      <c r="E163" s="323" t="s">
        <v>9088</v>
      </c>
      <c r="F163" s="318" t="s">
        <v>8558</v>
      </c>
      <c r="G163" s="357" t="s">
        <v>7972</v>
      </c>
      <c r="H163" s="318" t="s">
        <v>9089</v>
      </c>
      <c r="I163" s="323" t="s">
        <v>9090</v>
      </c>
      <c r="J163" s="321"/>
      <c r="K163" s="322"/>
      <c r="L163" s="321"/>
      <c r="M163" s="322"/>
      <c r="N163" s="330"/>
      <c r="P163" s="330"/>
      <c r="Q163" s="348"/>
      <c r="R163" s="332"/>
      <c r="S163" s="333"/>
      <c r="T163" s="332"/>
      <c r="U163" s="333"/>
      <c r="V163" s="330"/>
    </row>
    <row r="164" spans="8:8" ht="17.8">
      <c r="A164" s="330"/>
      <c r="B164" s="323" t="s">
        <v>9091</v>
      </c>
      <c r="C164" s="318" t="s">
        <v>8000</v>
      </c>
      <c r="D164" s="357" t="s">
        <v>7972</v>
      </c>
      <c r="E164" s="318" t="s">
        <v>9092</v>
      </c>
      <c r="F164" s="323" t="s">
        <v>9093</v>
      </c>
      <c r="G164" s="357" t="s">
        <v>7972</v>
      </c>
      <c r="H164" s="323" t="s">
        <v>9094</v>
      </c>
      <c r="I164" s="318" t="s">
        <v>9095</v>
      </c>
      <c r="J164" s="322"/>
      <c r="K164" s="321"/>
      <c r="L164" s="322"/>
      <c r="M164" s="321"/>
      <c r="N164" s="330"/>
      <c r="P164" s="330"/>
      <c r="Q164" s="349"/>
      <c r="R164" s="333"/>
      <c r="S164" s="332"/>
      <c r="T164" s="333"/>
      <c r="U164" s="332"/>
      <c r="V164" s="330"/>
    </row>
    <row r="165" spans="8:8" ht="17.8">
      <c r="A165" s="330"/>
      <c r="B165" s="318" t="s">
        <v>9096</v>
      </c>
      <c r="C165" s="323" t="s">
        <v>8650</v>
      </c>
      <c r="D165" s="357" t="s">
        <v>7972</v>
      </c>
      <c r="E165" s="323" t="s">
        <v>9097</v>
      </c>
      <c r="F165" s="318" t="s">
        <v>9098</v>
      </c>
      <c r="G165" s="357" t="s">
        <v>7972</v>
      </c>
      <c r="H165" s="318" t="s">
        <v>9099</v>
      </c>
      <c r="I165" s="323" t="s">
        <v>9100</v>
      </c>
      <c r="J165" s="321"/>
      <c r="K165" s="322"/>
      <c r="L165" s="321"/>
      <c r="M165" s="322"/>
      <c r="N165" s="330"/>
      <c r="P165" s="330"/>
      <c r="Q165" s="348"/>
      <c r="R165" s="332"/>
      <c r="S165" s="333"/>
      <c r="T165" s="332"/>
      <c r="U165" s="333"/>
      <c r="V165" s="330"/>
    </row>
    <row r="166" spans="8:8" ht="17.8">
      <c r="A166" s="330"/>
      <c r="B166" s="323" t="s">
        <v>9101</v>
      </c>
      <c r="C166" s="318" t="s">
        <v>8980</v>
      </c>
      <c r="D166" s="357" t="s">
        <v>7972</v>
      </c>
      <c r="E166" s="318" t="s">
        <v>9102</v>
      </c>
      <c r="F166" s="323" t="s">
        <v>9103</v>
      </c>
      <c r="G166" s="357" t="s">
        <v>7972</v>
      </c>
      <c r="H166" s="323" t="s">
        <v>9104</v>
      </c>
      <c r="I166" s="318" t="s">
        <v>9105</v>
      </c>
      <c r="J166" s="322"/>
      <c r="K166" s="321"/>
      <c r="L166" s="322"/>
      <c r="M166" s="321"/>
      <c r="N166" s="330"/>
      <c r="P166" s="330"/>
      <c r="Q166" s="349"/>
      <c r="R166" s="333"/>
      <c r="S166" s="332"/>
      <c r="T166" s="333"/>
      <c r="U166" s="332"/>
      <c r="V166" s="330"/>
    </row>
    <row r="167" spans="8:8" ht="17.8">
      <c r="A167" s="330"/>
      <c r="B167" s="318" t="s">
        <v>9106</v>
      </c>
      <c r="C167" s="323" t="s">
        <v>8438</v>
      </c>
      <c r="D167" s="357" t="s">
        <v>7972</v>
      </c>
      <c r="E167" s="323" t="s">
        <v>9107</v>
      </c>
      <c r="F167" s="318" t="s">
        <v>8568</v>
      </c>
      <c r="G167" s="357" t="s">
        <v>7972</v>
      </c>
      <c r="H167" s="318" t="s">
        <v>9108</v>
      </c>
      <c r="I167" s="323" t="s">
        <v>9109</v>
      </c>
      <c r="J167" s="321"/>
      <c r="K167" s="322"/>
      <c r="L167" s="321"/>
      <c r="M167" s="322"/>
      <c r="N167" s="330"/>
      <c r="P167" s="330"/>
      <c r="Q167" s="348"/>
      <c r="R167" s="332"/>
      <c r="S167" s="333"/>
      <c r="T167" s="332"/>
      <c r="U167" s="333"/>
      <c r="V167" s="330"/>
    </row>
    <row r="168" spans="8:8" ht="17.8">
      <c r="A168" s="330"/>
      <c r="B168" s="323" t="s">
        <v>9110</v>
      </c>
      <c r="C168" s="318" t="s">
        <v>9111</v>
      </c>
      <c r="D168" s="357" t="s">
        <v>7972</v>
      </c>
      <c r="E168" s="318" t="s">
        <v>9112</v>
      </c>
      <c r="F168" s="323" t="s">
        <v>9113</v>
      </c>
      <c r="G168" s="357" t="s">
        <v>7972</v>
      </c>
      <c r="H168" s="323" t="s">
        <v>9114</v>
      </c>
      <c r="I168" s="318" t="s">
        <v>9115</v>
      </c>
      <c r="J168" s="322"/>
      <c r="K168" s="321"/>
      <c r="L168" s="322"/>
      <c r="M168" s="321"/>
      <c r="N168" s="330"/>
      <c r="P168" s="330"/>
      <c r="Q168" s="349"/>
      <c r="R168" s="333"/>
      <c r="S168" s="332"/>
      <c r="T168" s="333"/>
      <c r="U168" s="332"/>
      <c r="V168" s="330"/>
    </row>
    <row r="169" spans="8:8" ht="17.8">
      <c r="A169" s="330"/>
      <c r="B169" s="318" t="s">
        <v>9116</v>
      </c>
      <c r="C169" s="323" t="s">
        <v>8698</v>
      </c>
      <c r="D169" s="357" t="s">
        <v>7972</v>
      </c>
      <c r="E169" s="323" t="s">
        <v>9117</v>
      </c>
      <c r="F169" s="318" t="s">
        <v>9118</v>
      </c>
      <c r="G169" s="357" t="s">
        <v>7972</v>
      </c>
      <c r="H169" s="318" t="s">
        <v>9119</v>
      </c>
      <c r="I169" s="323" t="s">
        <v>9120</v>
      </c>
      <c r="J169" s="321"/>
      <c r="K169" s="322"/>
      <c r="L169" s="321"/>
      <c r="M169" s="322"/>
      <c r="N169" s="330"/>
      <c r="P169" s="330"/>
      <c r="Q169" s="348"/>
      <c r="R169" s="332"/>
      <c r="S169" s="333"/>
      <c r="T169" s="332"/>
      <c r="U169" s="333"/>
      <c r="V169" s="330"/>
    </row>
    <row r="170" spans="8:8" ht="17.8">
      <c r="A170" s="330"/>
      <c r="B170" s="323" t="s">
        <v>9121</v>
      </c>
      <c r="C170" s="318" t="s">
        <v>8984</v>
      </c>
      <c r="D170" s="357" t="s">
        <v>7972</v>
      </c>
      <c r="E170" s="318" t="s">
        <v>9122</v>
      </c>
      <c r="F170" s="323" t="s">
        <v>9123</v>
      </c>
      <c r="G170" s="357" t="s">
        <v>7972</v>
      </c>
      <c r="H170" s="323" t="s">
        <v>9124</v>
      </c>
      <c r="I170" s="318" t="s">
        <v>9125</v>
      </c>
      <c r="J170" s="322"/>
      <c r="K170" s="321"/>
      <c r="L170" s="322"/>
      <c r="M170" s="321"/>
      <c r="N170" s="330"/>
      <c r="P170" s="330"/>
      <c r="Q170" s="349"/>
      <c r="R170" s="333"/>
      <c r="S170" s="332"/>
      <c r="T170" s="333"/>
      <c r="U170" s="332"/>
      <c r="V170" s="330"/>
    </row>
    <row r="171" spans="8:8" ht="17.8">
      <c r="A171" s="330"/>
      <c r="B171" s="318" t="s">
        <v>9126</v>
      </c>
      <c r="C171" s="323" t="s">
        <v>8459</v>
      </c>
      <c r="D171" s="357" t="s">
        <v>7972</v>
      </c>
      <c r="E171" s="323" t="s">
        <v>9127</v>
      </c>
      <c r="F171" s="318" t="s">
        <v>9128</v>
      </c>
      <c r="G171" s="357" t="s">
        <v>7972</v>
      </c>
      <c r="H171" s="318" t="s">
        <v>9129</v>
      </c>
      <c r="I171" s="323" t="s">
        <v>9130</v>
      </c>
      <c r="J171" s="321"/>
      <c r="K171" s="322"/>
      <c r="L171" s="321"/>
      <c r="M171" s="322"/>
      <c r="N171" s="330"/>
      <c r="P171" s="330"/>
      <c r="Q171" s="348"/>
      <c r="R171" s="332"/>
      <c r="S171" s="333"/>
      <c r="T171" s="332"/>
      <c r="U171" s="333"/>
      <c r="V171" s="330"/>
    </row>
    <row r="172" spans="8:8" ht="17.8">
      <c r="A172" s="330"/>
      <c r="B172" s="323" t="s">
        <v>9131</v>
      </c>
      <c r="C172" s="318" t="s">
        <v>8046</v>
      </c>
      <c r="D172" s="357" t="s">
        <v>7972</v>
      </c>
      <c r="E172" s="318" t="s">
        <v>9132</v>
      </c>
      <c r="F172" s="323" t="s">
        <v>9133</v>
      </c>
      <c r="G172" s="357" t="s">
        <v>7972</v>
      </c>
      <c r="H172" s="323" t="s">
        <v>9134</v>
      </c>
      <c r="I172" s="318" t="s">
        <v>9135</v>
      </c>
      <c r="J172" s="322"/>
      <c r="K172" s="321"/>
      <c r="L172" s="322"/>
      <c r="M172" s="321"/>
      <c r="N172" s="330"/>
      <c r="P172" s="330"/>
      <c r="Q172" s="349"/>
      <c r="R172" s="333"/>
      <c r="S172" s="332"/>
      <c r="T172" s="333"/>
      <c r="U172" s="332"/>
      <c r="V172" s="330"/>
    </row>
    <row r="173" spans="8:8" ht="17.8">
      <c r="A173" s="330"/>
      <c r="B173" s="318" t="s">
        <v>9136</v>
      </c>
      <c r="C173" s="323" t="s">
        <v>8714</v>
      </c>
      <c r="D173" s="357" t="s">
        <v>7972</v>
      </c>
      <c r="E173" s="323" t="s">
        <v>9137</v>
      </c>
      <c r="F173" s="318" t="s">
        <v>8317</v>
      </c>
      <c r="G173" s="357" t="s">
        <v>7972</v>
      </c>
      <c r="H173" s="318" t="s">
        <v>9138</v>
      </c>
      <c r="I173" s="323" t="s">
        <v>9139</v>
      </c>
      <c r="J173" s="321"/>
      <c r="K173" s="322"/>
      <c r="L173" s="321"/>
      <c r="M173" s="322"/>
      <c r="N173" s="330"/>
      <c r="P173" s="330"/>
      <c r="Q173" s="348"/>
      <c r="R173" s="332"/>
      <c r="S173" s="333"/>
      <c r="T173" s="332"/>
      <c r="U173" s="333"/>
      <c r="V173" s="330"/>
    </row>
    <row r="174" spans="8:8" ht="17.8">
      <c r="A174" s="330"/>
      <c r="B174" s="323" t="s">
        <v>9140</v>
      </c>
      <c r="C174" s="318" t="s">
        <v>8988</v>
      </c>
      <c r="D174" s="357" t="s">
        <v>7972</v>
      </c>
      <c r="E174" s="318" t="s">
        <v>9141</v>
      </c>
      <c r="F174" s="323" t="s">
        <v>9142</v>
      </c>
      <c r="G174" s="357" t="s">
        <v>7972</v>
      </c>
      <c r="H174" s="323" t="s">
        <v>9143</v>
      </c>
      <c r="I174" s="318" t="s">
        <v>9144</v>
      </c>
      <c r="J174" s="322"/>
      <c r="K174" s="321"/>
      <c r="L174" s="322"/>
      <c r="M174" s="321"/>
      <c r="N174" s="330"/>
      <c r="P174" s="330"/>
      <c r="Q174" s="349"/>
      <c r="R174" s="333"/>
      <c r="S174" s="332"/>
      <c r="T174" s="333"/>
      <c r="U174" s="332"/>
      <c r="V174" s="330"/>
    </row>
    <row r="175" spans="8:8" ht="17.8">
      <c r="A175" s="330"/>
      <c r="B175" s="318" t="s">
        <v>9145</v>
      </c>
      <c r="C175" s="323" t="s">
        <v>8470</v>
      </c>
      <c r="D175" s="357" t="s">
        <v>7972</v>
      </c>
      <c r="E175" s="323" t="s">
        <v>9146</v>
      </c>
      <c r="F175" s="318" t="s">
        <v>9147</v>
      </c>
      <c r="G175" s="357" t="s">
        <v>7972</v>
      </c>
      <c r="H175" s="318" t="s">
        <v>9148</v>
      </c>
      <c r="I175" s="323" t="s">
        <v>9149</v>
      </c>
      <c r="J175" s="321"/>
      <c r="K175" s="322"/>
      <c r="L175" s="321"/>
      <c r="M175" s="322"/>
      <c r="N175" s="330"/>
      <c r="P175" s="330"/>
      <c r="Q175" s="348"/>
      <c r="R175" s="332"/>
      <c r="S175" s="333"/>
      <c r="T175" s="332"/>
      <c r="U175" s="333"/>
      <c r="V175" s="330"/>
    </row>
    <row r="176" spans="8:8" ht="17.8">
      <c r="A176" s="330"/>
      <c r="B176" s="323" t="s">
        <v>9150</v>
      </c>
      <c r="C176" s="318" t="s">
        <v>9151</v>
      </c>
      <c r="D176" s="357" t="s">
        <v>7972</v>
      </c>
      <c r="E176" s="318" t="s">
        <v>9152</v>
      </c>
      <c r="F176" s="323" t="s">
        <v>8940</v>
      </c>
      <c r="G176" s="357" t="s">
        <v>7972</v>
      </c>
      <c r="H176" s="323" t="s">
        <v>9153</v>
      </c>
      <c r="I176" s="318" t="s">
        <v>9154</v>
      </c>
      <c r="J176" s="322"/>
      <c r="K176" s="321"/>
      <c r="L176" s="322"/>
      <c r="M176" s="321"/>
      <c r="N176" s="330"/>
      <c r="P176" s="330"/>
      <c r="Q176" s="349"/>
      <c r="R176" s="333"/>
      <c r="S176" s="332"/>
      <c r="T176" s="333"/>
      <c r="U176" s="332"/>
      <c r="V176" s="330"/>
    </row>
    <row r="177" spans="8:8" ht="17.8">
      <c r="A177" s="330"/>
      <c r="B177" s="318" t="s">
        <v>9155</v>
      </c>
      <c r="C177" s="323" t="s">
        <v>8762</v>
      </c>
      <c r="D177" s="357" t="s">
        <v>7972</v>
      </c>
      <c r="E177" s="323" t="s">
        <v>9156</v>
      </c>
      <c r="F177" s="318" t="s">
        <v>8339</v>
      </c>
      <c r="G177" s="357" t="s">
        <v>7972</v>
      </c>
      <c r="H177" s="318" t="s">
        <v>9157</v>
      </c>
      <c r="I177" s="323" t="s">
        <v>9158</v>
      </c>
      <c r="J177" s="321"/>
      <c r="K177" s="322"/>
      <c r="L177" s="321"/>
      <c r="M177" s="322"/>
      <c r="N177" s="330"/>
      <c r="P177" s="330"/>
      <c r="Q177" s="348"/>
      <c r="R177" s="332"/>
      <c r="S177" s="333"/>
      <c r="T177" s="332"/>
      <c r="U177" s="333"/>
      <c r="V177" s="330"/>
    </row>
    <row r="178" spans="8:8" ht="17.8">
      <c r="A178" s="330"/>
      <c r="B178" s="323" t="s">
        <v>9159</v>
      </c>
      <c r="C178" s="318" t="s">
        <v>9016</v>
      </c>
      <c r="D178" s="357" t="s">
        <v>7972</v>
      </c>
      <c r="E178" s="318" t="s">
        <v>9160</v>
      </c>
      <c r="F178" s="323" t="s">
        <v>8853</v>
      </c>
      <c r="G178" s="357" t="s">
        <v>7972</v>
      </c>
      <c r="H178" s="323" t="s">
        <v>9161</v>
      </c>
      <c r="I178" s="318" t="s">
        <v>9162</v>
      </c>
      <c r="J178" s="322"/>
      <c r="K178" s="321"/>
      <c r="L178" s="322"/>
      <c r="M178" s="321"/>
      <c r="N178" s="330"/>
      <c r="P178" s="330"/>
      <c r="Q178" s="349"/>
      <c r="R178" s="333"/>
      <c r="S178" s="332"/>
      <c r="T178" s="333"/>
      <c r="U178" s="332"/>
      <c r="V178" s="330"/>
    </row>
    <row r="179" spans="8:8" ht="17.8">
      <c r="A179" s="330"/>
      <c r="B179" s="318" t="s">
        <v>9163</v>
      </c>
      <c r="C179" s="323" t="s">
        <v>8481</v>
      </c>
      <c r="D179" s="357" t="s">
        <v>7972</v>
      </c>
      <c r="E179" s="323" t="s">
        <v>9164</v>
      </c>
      <c r="F179" s="318" t="s">
        <v>9165</v>
      </c>
      <c r="G179" s="357" t="s">
        <v>7972</v>
      </c>
      <c r="H179" s="318" t="s">
        <v>9166</v>
      </c>
      <c r="I179" s="323" t="s">
        <v>9167</v>
      </c>
      <c r="J179" s="321"/>
      <c r="K179" s="322"/>
      <c r="L179" s="321"/>
      <c r="M179" s="322"/>
      <c r="N179" s="330"/>
      <c r="P179" s="330"/>
      <c r="Q179" s="348"/>
      <c r="R179" s="332"/>
      <c r="S179" s="333"/>
      <c r="T179" s="332"/>
      <c r="U179" s="333"/>
      <c r="V179" s="330"/>
    </row>
    <row r="180" spans="8:8" ht="17.8">
      <c r="A180" s="330"/>
      <c r="B180" s="323" t="s">
        <v>9168</v>
      </c>
      <c r="C180" s="318" t="s">
        <v>8084</v>
      </c>
      <c r="D180" s="357" t="s">
        <v>7972</v>
      </c>
      <c r="E180" s="318" t="s">
        <v>9169</v>
      </c>
      <c r="F180" s="323" t="s">
        <v>8944</v>
      </c>
      <c r="G180" s="357" t="s">
        <v>7972</v>
      </c>
      <c r="H180" s="323" t="s">
        <v>9170</v>
      </c>
      <c r="I180" s="318" t="s">
        <v>9171</v>
      </c>
      <c r="J180" s="322"/>
      <c r="K180" s="321"/>
      <c r="L180" s="322"/>
      <c r="M180" s="321"/>
      <c r="N180" s="330"/>
      <c r="P180" s="330"/>
      <c r="Q180" s="349"/>
      <c r="R180" s="333"/>
      <c r="S180" s="332"/>
      <c r="T180" s="333"/>
      <c r="U180" s="332"/>
      <c r="V180" s="330"/>
    </row>
    <row r="181" spans="8:8" ht="17.8">
      <c r="A181" s="330"/>
      <c r="B181" s="318" t="s">
        <v>9172</v>
      </c>
      <c r="C181" s="323" t="s">
        <v>9173</v>
      </c>
      <c r="D181" s="357" t="s">
        <v>7972</v>
      </c>
      <c r="E181" s="323" t="s">
        <v>9174</v>
      </c>
      <c r="F181" s="318" t="s">
        <v>8350</v>
      </c>
      <c r="G181" s="357" t="s">
        <v>7972</v>
      </c>
      <c r="H181" s="318" t="s">
        <v>9175</v>
      </c>
      <c r="I181" s="323" t="s">
        <v>9176</v>
      </c>
      <c r="J181" s="321"/>
      <c r="K181" s="322"/>
      <c r="L181" s="321"/>
      <c r="M181" s="322"/>
      <c r="N181" s="330"/>
      <c r="P181" s="330"/>
      <c r="Q181" s="348"/>
      <c r="R181" s="332"/>
      <c r="S181" s="333"/>
      <c r="T181" s="332"/>
      <c r="U181" s="333"/>
      <c r="V181" s="330"/>
    </row>
    <row r="182" spans="8:8" ht="17.8">
      <c r="A182" s="330"/>
      <c r="B182" s="323" t="s">
        <v>9177</v>
      </c>
      <c r="C182" s="318" t="s">
        <v>9020</v>
      </c>
      <c r="D182" s="357" t="s">
        <v>7972</v>
      </c>
      <c r="E182" s="318" t="s">
        <v>9178</v>
      </c>
      <c r="F182" s="323" t="s">
        <v>9179</v>
      </c>
      <c r="G182" s="357" t="s">
        <v>7972</v>
      </c>
      <c r="H182" s="323" t="s">
        <v>9180</v>
      </c>
      <c r="I182" s="318" t="s">
        <v>9181</v>
      </c>
      <c r="J182" s="322"/>
      <c r="K182" s="321"/>
      <c r="L182" s="322"/>
      <c r="M182" s="321"/>
      <c r="N182" s="330"/>
      <c r="P182" s="330"/>
      <c r="Q182" s="349"/>
      <c r="R182" s="333"/>
      <c r="S182" s="332"/>
      <c r="T182" s="333"/>
      <c r="U182" s="332"/>
      <c r="V182" s="330"/>
    </row>
    <row r="183" spans="8:8" ht="17.8">
      <c r="A183" s="330"/>
      <c r="B183" s="318" t="s">
        <v>9182</v>
      </c>
      <c r="C183" s="323" t="s">
        <v>8492</v>
      </c>
      <c r="D183" s="357" t="s">
        <v>7972</v>
      </c>
      <c r="E183" s="323" t="s">
        <v>9183</v>
      </c>
      <c r="F183" s="318" t="s">
        <v>8578</v>
      </c>
      <c r="G183" s="357" t="s">
        <v>7972</v>
      </c>
      <c r="H183" s="318" t="s">
        <v>9184</v>
      </c>
      <c r="I183" s="323" t="s">
        <v>9185</v>
      </c>
      <c r="J183" s="321"/>
      <c r="K183" s="322"/>
      <c r="L183" s="321"/>
      <c r="M183" s="322"/>
      <c r="N183" s="330"/>
      <c r="P183" s="330"/>
      <c r="Q183" s="348"/>
      <c r="R183" s="332"/>
      <c r="S183" s="333"/>
      <c r="T183" s="332"/>
      <c r="U183" s="333"/>
      <c r="V183" s="330"/>
    </row>
    <row r="184" spans="8:8" ht="17.8">
      <c r="A184" s="330"/>
      <c r="B184" s="323" t="s">
        <v>9186</v>
      </c>
      <c r="C184" s="318" t="s">
        <v>8096</v>
      </c>
      <c r="D184" s="357" t="s">
        <v>7972</v>
      </c>
      <c r="E184" s="318" t="s">
        <v>9187</v>
      </c>
      <c r="F184" s="323" t="s">
        <v>8952</v>
      </c>
      <c r="G184" s="357" t="s">
        <v>7972</v>
      </c>
      <c r="H184" s="323" t="s">
        <v>9188</v>
      </c>
      <c r="I184" s="318" t="s">
        <v>9189</v>
      </c>
      <c r="J184" s="322"/>
      <c r="K184" s="321"/>
      <c r="L184" s="322"/>
      <c r="M184" s="321"/>
      <c r="N184" s="330"/>
      <c r="P184" s="330"/>
      <c r="Q184" s="349"/>
      <c r="R184" s="333"/>
      <c r="S184" s="332"/>
      <c r="T184" s="333"/>
      <c r="U184" s="332"/>
      <c r="V184" s="330"/>
    </row>
    <row r="185" spans="8:8" ht="17.8">
      <c r="A185" s="330"/>
      <c r="B185" s="318" t="s">
        <v>9190</v>
      </c>
      <c r="C185" s="323" t="s">
        <v>9191</v>
      </c>
      <c r="D185" s="357" t="s">
        <v>7972</v>
      </c>
      <c r="E185" s="323" t="s">
        <v>9192</v>
      </c>
      <c r="F185" s="318" t="s">
        <v>8361</v>
      </c>
      <c r="G185" s="357" t="s">
        <v>7972</v>
      </c>
      <c r="H185" s="318" t="s">
        <v>9193</v>
      </c>
      <c r="I185" s="323" t="s">
        <v>9194</v>
      </c>
      <c r="J185" s="321"/>
      <c r="K185" s="322"/>
      <c r="L185" s="321"/>
      <c r="M185" s="322"/>
      <c r="N185" s="330"/>
      <c r="P185" s="330"/>
      <c r="Q185" s="348"/>
      <c r="R185" s="332"/>
      <c r="S185" s="333"/>
      <c r="T185" s="332"/>
      <c r="U185" s="333"/>
      <c r="V185" s="330"/>
    </row>
    <row r="186" spans="8:8" ht="17.8">
      <c r="A186" s="330"/>
      <c r="B186" s="323" t="s">
        <v>9195</v>
      </c>
      <c r="C186" s="318" t="s">
        <v>9196</v>
      </c>
      <c r="D186" s="357" t="s">
        <v>7972</v>
      </c>
      <c r="E186" s="318" t="s">
        <v>9197</v>
      </c>
      <c r="F186" s="323" t="s">
        <v>9198</v>
      </c>
      <c r="G186" s="357" t="s">
        <v>7972</v>
      </c>
      <c r="H186" s="323" t="s">
        <v>9199</v>
      </c>
      <c r="I186" s="318" t="s">
        <v>9200</v>
      </c>
      <c r="J186" s="322"/>
      <c r="K186" s="321"/>
      <c r="L186" s="322"/>
      <c r="M186" s="321"/>
      <c r="N186" s="330"/>
      <c r="P186" s="330"/>
      <c r="Q186" s="349"/>
      <c r="R186" s="333"/>
      <c r="S186" s="332"/>
      <c r="T186" s="333"/>
      <c r="U186" s="332"/>
      <c r="V186" s="330"/>
    </row>
    <row r="187" spans="8:8" ht="17.8">
      <c r="A187" s="330"/>
      <c r="B187" s="318" t="s">
        <v>9201</v>
      </c>
      <c r="C187" s="323" t="s">
        <v>8502</v>
      </c>
      <c r="D187" s="357" t="s">
        <v>7972</v>
      </c>
      <c r="E187" s="323" t="s">
        <v>9202</v>
      </c>
      <c r="F187" s="318" t="s">
        <v>8588</v>
      </c>
      <c r="G187" s="357" t="s">
        <v>7972</v>
      </c>
      <c r="H187" s="318" t="s">
        <v>9203</v>
      </c>
      <c r="I187" s="323" t="s">
        <v>9204</v>
      </c>
      <c r="J187" s="321"/>
      <c r="K187" s="322"/>
      <c r="L187" s="321"/>
      <c r="M187" s="322"/>
      <c r="N187" s="330"/>
      <c r="P187" s="330"/>
      <c r="Q187" s="348"/>
      <c r="R187" s="332"/>
      <c r="S187" s="333"/>
      <c r="T187" s="332"/>
      <c r="U187" s="333"/>
      <c r="V187" s="330"/>
    </row>
    <row r="188" spans="8:8" ht="17.8">
      <c r="A188" s="330"/>
      <c r="B188" s="323" t="s">
        <v>9205</v>
      </c>
      <c r="C188" s="318" t="s">
        <v>9206</v>
      </c>
      <c r="D188" s="357" t="s">
        <v>7972</v>
      </c>
      <c r="E188" s="318" t="s">
        <v>9207</v>
      </c>
      <c r="F188" s="323" t="s">
        <v>8956</v>
      </c>
      <c r="G188" s="357" t="s">
        <v>7972</v>
      </c>
      <c r="H188" s="323" t="s">
        <v>9208</v>
      </c>
      <c r="I188" s="318" t="s">
        <v>9209</v>
      </c>
      <c r="J188" s="322"/>
      <c r="K188" s="321"/>
      <c r="L188" s="322"/>
      <c r="M188" s="321"/>
      <c r="N188" s="330"/>
      <c r="P188" s="330"/>
      <c r="Q188" s="349"/>
      <c r="R188" s="333"/>
      <c r="S188" s="332"/>
      <c r="T188" s="333"/>
      <c r="U188" s="332"/>
      <c r="V188" s="330"/>
    </row>
    <row r="189" spans="8:8" ht="17.8">
      <c r="A189" s="330"/>
      <c r="B189" s="318" t="s">
        <v>9210</v>
      </c>
      <c r="C189" s="323" t="s">
        <v>9211</v>
      </c>
      <c r="D189" s="357" t="s">
        <v>7972</v>
      </c>
      <c r="E189" s="323" t="s">
        <v>9212</v>
      </c>
      <c r="F189" s="318" t="s">
        <v>8383</v>
      </c>
      <c r="G189" s="357" t="s">
        <v>7972</v>
      </c>
      <c r="H189" s="318" t="s">
        <v>9213</v>
      </c>
      <c r="I189" s="323" t="s">
        <v>9214</v>
      </c>
      <c r="J189" s="321"/>
      <c r="K189" s="322"/>
      <c r="L189" s="321"/>
      <c r="M189" s="322"/>
      <c r="N189" s="330"/>
      <c r="P189" s="330"/>
      <c r="Q189" s="348"/>
      <c r="R189" s="332"/>
      <c r="S189" s="333"/>
      <c r="T189" s="332"/>
      <c r="U189" s="333"/>
      <c r="V189" s="330"/>
    </row>
    <row r="190" spans="8:8" ht="17.8">
      <c r="A190" s="330"/>
      <c r="B190" s="323" t="s">
        <v>9215</v>
      </c>
      <c r="C190" s="318" t="s">
        <v>9024</v>
      </c>
      <c r="D190" s="357" t="s">
        <v>7972</v>
      </c>
      <c r="E190" s="318" t="s">
        <v>9216</v>
      </c>
      <c r="F190" s="323" t="s">
        <v>8618</v>
      </c>
      <c r="G190" s="357" t="s">
        <v>7972</v>
      </c>
      <c r="H190" s="323" t="s">
        <v>9217</v>
      </c>
      <c r="I190" s="318" t="s">
        <v>9218</v>
      </c>
      <c r="J190" s="322"/>
      <c r="K190" s="321"/>
      <c r="L190" s="322"/>
      <c r="M190" s="321"/>
      <c r="N190" s="330"/>
      <c r="P190" s="330"/>
      <c r="Q190" s="349"/>
      <c r="R190" s="333"/>
      <c r="S190" s="332"/>
      <c r="T190" s="333"/>
      <c r="U190" s="332"/>
      <c r="V190" s="330"/>
    </row>
    <row r="191" spans="8:8" ht="17.8">
      <c r="A191" s="330"/>
      <c r="B191" s="318" t="s">
        <v>9219</v>
      </c>
      <c r="C191" s="323" t="s">
        <v>9220</v>
      </c>
      <c r="D191" s="357" t="s">
        <v>7972</v>
      </c>
      <c r="E191" s="323" t="s">
        <v>9221</v>
      </c>
      <c r="F191" s="318" t="s">
        <v>9222</v>
      </c>
      <c r="G191" s="357" t="s">
        <v>7972</v>
      </c>
      <c r="H191" s="318" t="s">
        <v>9223</v>
      </c>
      <c r="I191" s="323" t="s">
        <v>9224</v>
      </c>
      <c r="J191" s="321"/>
      <c r="K191" s="322"/>
      <c r="L191" s="321"/>
      <c r="M191" s="322"/>
      <c r="N191" s="330"/>
      <c r="P191" s="330"/>
      <c r="Q191" s="348"/>
      <c r="R191" s="332"/>
      <c r="S191" s="333"/>
      <c r="T191" s="332"/>
      <c r="U191" s="333"/>
      <c r="V191" s="330"/>
    </row>
    <row r="192" spans="8:8" ht="17.8">
      <c r="A192" s="330"/>
      <c r="B192" s="323" t="s">
        <v>9225</v>
      </c>
      <c r="C192" s="318" t="s">
        <v>9226</v>
      </c>
      <c r="D192" s="357" t="s">
        <v>7972</v>
      </c>
      <c r="E192" s="318" t="s">
        <v>9227</v>
      </c>
      <c r="F192" s="323" t="s">
        <v>8394</v>
      </c>
      <c r="G192" s="357" t="s">
        <v>7972</v>
      </c>
      <c r="H192" s="323" t="s">
        <v>9228</v>
      </c>
      <c r="I192" s="318" t="s">
        <v>9229</v>
      </c>
      <c r="J192" s="322"/>
      <c r="K192" s="321"/>
      <c r="L192" s="322"/>
      <c r="M192" s="321"/>
      <c r="N192" s="330"/>
      <c r="P192" s="330"/>
      <c r="Q192" s="349"/>
      <c r="R192" s="333"/>
      <c r="S192" s="332"/>
      <c r="T192" s="333"/>
      <c r="U192" s="332"/>
      <c r="V192" s="330"/>
    </row>
    <row r="193" spans="8:8" ht="17.8">
      <c r="A193" s="330"/>
      <c r="B193" s="318" t="s">
        <v>9230</v>
      </c>
      <c r="C193" s="323" t="s">
        <v>9231</v>
      </c>
      <c r="D193" s="357" t="s">
        <v>7972</v>
      </c>
      <c r="E193" s="323"/>
      <c r="F193" s="318"/>
      <c r="G193" s="357" t="s">
        <v>7972</v>
      </c>
      <c r="H193" s="318" t="s">
        <v>9232</v>
      </c>
      <c r="I193" s="323" t="s">
        <v>9233</v>
      </c>
      <c r="J193" s="321"/>
      <c r="K193" s="322"/>
      <c r="L193" s="321"/>
      <c r="M193" s="322"/>
      <c r="N193" s="330"/>
      <c r="P193" s="330"/>
      <c r="Q193" s="348"/>
      <c r="R193" s="332"/>
      <c r="S193" s="333"/>
      <c r="T193" s="332"/>
      <c r="U193" s="333"/>
      <c r="V193" s="330"/>
    </row>
    <row r="194" spans="8:8" ht="17.8">
      <c r="A194" s="330"/>
      <c r="B194" s="323" t="s">
        <v>9234</v>
      </c>
      <c r="C194" s="318" t="s">
        <v>7981</v>
      </c>
      <c r="D194" s="357" t="s">
        <v>7972</v>
      </c>
      <c r="E194" s="318"/>
      <c r="F194" s="323"/>
      <c r="G194" s="357" t="s">
        <v>7972</v>
      </c>
      <c r="H194" s="323" t="s">
        <v>9235</v>
      </c>
      <c r="I194" s="318" t="s">
        <v>9236</v>
      </c>
      <c r="J194" s="322"/>
      <c r="K194" s="321"/>
      <c r="L194" s="322"/>
      <c r="M194" s="321"/>
      <c r="N194" s="330"/>
      <c r="P194" s="330"/>
      <c r="Q194" s="349"/>
      <c r="R194" s="333"/>
      <c r="S194" s="332"/>
      <c r="T194" s="333"/>
      <c r="U194" s="332"/>
      <c r="V194" s="330"/>
    </row>
    <row r="195" spans="8:8" ht="17.8">
      <c r="A195" s="330"/>
      <c r="B195" s="318" t="s">
        <v>9237</v>
      </c>
      <c r="C195" s="323" t="s">
        <v>8512</v>
      </c>
      <c r="D195" s="357" t="s">
        <v>7972</v>
      </c>
      <c r="E195" s="323"/>
      <c r="F195" s="318"/>
      <c r="G195" s="357" t="s">
        <v>7972</v>
      </c>
      <c r="H195" s="318" t="s">
        <v>9238</v>
      </c>
      <c r="I195" s="323" t="s">
        <v>9239</v>
      </c>
      <c r="J195" s="321"/>
      <c r="K195" s="322"/>
      <c r="L195" s="321"/>
      <c r="M195" s="322"/>
      <c r="N195" s="330"/>
      <c r="P195" s="330"/>
      <c r="Q195" s="348"/>
      <c r="R195" s="332"/>
      <c r="S195" s="333"/>
      <c r="T195" s="332"/>
      <c r="U195" s="333"/>
      <c r="V195" s="330"/>
    </row>
    <row r="196" spans="8:8" ht="17.8">
      <c r="A196" s="330"/>
      <c r="B196" s="323" t="s">
        <v>9240</v>
      </c>
      <c r="C196" s="318" t="s">
        <v>8150</v>
      </c>
      <c r="D196" s="357" t="s">
        <v>7972</v>
      </c>
      <c r="E196" s="318"/>
      <c r="F196" s="323"/>
      <c r="G196" s="357" t="s">
        <v>7972</v>
      </c>
      <c r="H196" s="323" t="s">
        <v>9241</v>
      </c>
      <c r="I196" s="318" t="s">
        <v>9242</v>
      </c>
      <c r="J196" s="322"/>
      <c r="K196" s="321"/>
      <c r="L196" s="322"/>
      <c r="M196" s="321"/>
      <c r="N196" s="330"/>
      <c r="P196" s="330"/>
      <c r="Q196" s="349"/>
      <c r="R196" s="333"/>
      <c r="S196" s="332"/>
      <c r="T196" s="333"/>
      <c r="U196" s="332"/>
      <c r="V196" s="330"/>
    </row>
    <row r="197" spans="8:8" ht="17.8">
      <c r="A197" s="330"/>
      <c r="B197" s="318" t="s">
        <v>9243</v>
      </c>
      <c r="C197" s="323" t="s">
        <v>9244</v>
      </c>
      <c r="D197" s="357" t="s">
        <v>7972</v>
      </c>
      <c r="E197" s="323"/>
      <c r="F197" s="318"/>
      <c r="G197" s="357" t="s">
        <v>7972</v>
      </c>
      <c r="H197" s="318" t="s">
        <v>9245</v>
      </c>
      <c r="I197" s="323" t="s">
        <v>9246</v>
      </c>
      <c r="J197" s="321"/>
      <c r="K197" s="322"/>
      <c r="L197" s="321"/>
      <c r="M197" s="322"/>
      <c r="N197" s="330"/>
      <c r="P197" s="330"/>
      <c r="Q197" s="348"/>
      <c r="R197" s="332"/>
      <c r="S197" s="333"/>
      <c r="T197" s="332"/>
      <c r="U197" s="333"/>
      <c r="V197" s="330"/>
    </row>
    <row r="198" spans="8:8" ht="17.8">
      <c r="A198" s="330"/>
      <c r="B198" s="323" t="s">
        <v>9247</v>
      </c>
      <c r="C198" s="318" t="s">
        <v>8004</v>
      </c>
      <c r="D198" s="357" t="s">
        <v>7972</v>
      </c>
      <c r="E198" s="318"/>
      <c r="F198" s="323"/>
      <c r="G198" s="357" t="s">
        <v>7972</v>
      </c>
      <c r="H198" s="323" t="s">
        <v>9248</v>
      </c>
      <c r="I198" s="318" t="s">
        <v>9249</v>
      </c>
      <c r="J198" s="322"/>
      <c r="K198" s="321"/>
      <c r="L198" s="322"/>
      <c r="M198" s="321"/>
      <c r="N198" s="330"/>
      <c r="P198" s="330"/>
      <c r="Q198" s="349"/>
      <c r="R198" s="333"/>
      <c r="S198" s="332"/>
      <c r="T198" s="333"/>
      <c r="U198" s="332"/>
      <c r="V198" s="330"/>
    </row>
    <row r="199" spans="8:8" ht="17.8">
      <c r="A199" s="330"/>
      <c r="B199" s="318" t="s">
        <v>9250</v>
      </c>
      <c r="C199" s="323" t="s">
        <v>8522</v>
      </c>
      <c r="D199" s="357" t="s">
        <v>7972</v>
      </c>
      <c r="E199" s="323"/>
      <c r="F199" s="318"/>
      <c r="G199" s="357" t="s">
        <v>7972</v>
      </c>
      <c r="H199" s="318" t="s">
        <v>9251</v>
      </c>
      <c r="I199" s="323" t="s">
        <v>9252</v>
      </c>
      <c r="J199" s="321"/>
      <c r="K199" s="322"/>
      <c r="L199" s="321"/>
      <c r="M199" s="322"/>
      <c r="N199" s="330"/>
      <c r="P199" s="330"/>
      <c r="Q199" s="348"/>
      <c r="R199" s="332"/>
      <c r="S199" s="333"/>
      <c r="T199" s="332"/>
      <c r="U199" s="333"/>
      <c r="V199" s="330"/>
    </row>
    <row r="200" spans="8:8" ht="17.8">
      <c r="A200" s="330"/>
      <c r="B200" s="323" t="s">
        <v>9253</v>
      </c>
      <c r="C200" s="318" t="s">
        <v>8161</v>
      </c>
      <c r="D200" s="357" t="s">
        <v>7972</v>
      </c>
      <c r="E200" s="318"/>
      <c r="F200" s="323"/>
      <c r="G200" s="357" t="s">
        <v>7972</v>
      </c>
      <c r="H200" s="323" t="s">
        <v>9254</v>
      </c>
      <c r="I200" s="318" t="s">
        <v>9255</v>
      </c>
      <c r="J200" s="322"/>
      <c r="K200" s="321"/>
      <c r="L200" s="322"/>
      <c r="M200" s="321"/>
      <c r="N200" s="330"/>
      <c r="P200" s="330"/>
      <c r="Q200" s="349"/>
      <c r="R200" s="333"/>
      <c r="S200" s="332"/>
      <c r="T200" s="333"/>
      <c r="U200" s="332"/>
      <c r="V200" s="330"/>
    </row>
    <row r="201" spans="8:8">
      <c r="A201" s="330"/>
      <c r="B201" s="318" t="s">
        <v>9256</v>
      </c>
      <c r="C201" s="323" t="s">
        <v>8810</v>
      </c>
      <c r="D201" s="357" t="s">
        <v>7972</v>
      </c>
      <c r="E201" s="323"/>
      <c r="F201" s="318"/>
      <c r="G201" s="357" t="s">
        <v>7972</v>
      </c>
      <c r="H201" s="318" t="s">
        <v>9257</v>
      </c>
      <c r="I201" s="323" t="s">
        <v>9258</v>
      </c>
      <c r="J201" s="321"/>
      <c r="K201" s="322"/>
      <c r="L201" s="321"/>
      <c r="M201" s="322"/>
      <c r="N201" s="330"/>
      <c r="P201" s="330"/>
      <c r="Q201" s="358"/>
      <c r="R201" s="330"/>
      <c r="S201" s="330"/>
      <c r="T201" s="330"/>
      <c r="U201" s="330"/>
      <c r="V201" s="330"/>
    </row>
    <row r="202" spans="8:8">
      <c r="A202" s="330"/>
      <c r="B202" s="323" t="s">
        <v>9259</v>
      </c>
      <c r="C202" s="318" t="s">
        <v>8016</v>
      </c>
      <c r="D202" s="357" t="s">
        <v>7972</v>
      </c>
      <c r="E202" s="318"/>
      <c r="F202" s="323"/>
      <c r="G202" s="357" t="s">
        <v>7972</v>
      </c>
      <c r="H202" s="323" t="s">
        <v>9260</v>
      </c>
      <c r="I202" s="318" t="s">
        <v>9261</v>
      </c>
      <c r="J202" s="322"/>
      <c r="K202" s="321"/>
      <c r="L202" s="322"/>
      <c r="M202" s="321"/>
      <c r="N202" s="330"/>
    </row>
    <row r="203" spans="8:8">
      <c r="A203" s="330"/>
      <c r="B203" s="318" t="s">
        <v>9262</v>
      </c>
      <c r="C203" s="323" t="s">
        <v>8532</v>
      </c>
      <c r="D203" s="357" t="s">
        <v>7972</v>
      </c>
      <c r="E203" s="323"/>
      <c r="F203" s="318"/>
      <c r="G203" s="357" t="s">
        <v>7972</v>
      </c>
      <c r="H203" s="318" t="s">
        <v>9263</v>
      </c>
      <c r="I203" s="323" t="s">
        <v>9264</v>
      </c>
      <c r="J203" s="321"/>
      <c r="K203" s="322"/>
      <c r="L203" s="321"/>
      <c r="M203" s="322"/>
      <c r="N203" s="330"/>
    </row>
    <row r="204" spans="8:8">
      <c r="A204" s="330"/>
      <c r="B204" s="323" t="s">
        <v>9265</v>
      </c>
      <c r="C204" s="318" t="s">
        <v>8191</v>
      </c>
      <c r="D204" s="357" t="s">
        <v>7972</v>
      </c>
      <c r="E204" s="318"/>
      <c r="F204" s="323"/>
      <c r="G204" s="357" t="s">
        <v>7972</v>
      </c>
      <c r="H204" s="323" t="s">
        <v>9266</v>
      </c>
      <c r="I204" s="318" t="s">
        <v>9267</v>
      </c>
      <c r="J204" s="322"/>
      <c r="K204" s="321"/>
      <c r="L204" s="322"/>
      <c r="M204" s="321"/>
      <c r="N204" s="330"/>
    </row>
    <row r="205" spans="8:8">
      <c r="A205" s="330"/>
      <c r="B205" s="318" t="s">
        <v>9268</v>
      </c>
      <c r="C205" s="323" t="s">
        <v>8818</v>
      </c>
      <c r="D205" s="357" t="s">
        <v>7972</v>
      </c>
      <c r="E205" s="323"/>
      <c r="F205" s="318"/>
      <c r="G205" s="357" t="s">
        <v>7972</v>
      </c>
      <c r="H205" s="318" t="s">
        <v>9269</v>
      </c>
      <c r="I205" s="323" t="s">
        <v>9270</v>
      </c>
      <c r="J205" s="321"/>
      <c r="K205" s="322"/>
      <c r="L205" s="321"/>
      <c r="M205" s="322"/>
      <c r="N205" s="330"/>
    </row>
    <row r="206" spans="8:8">
      <c r="A206" s="330"/>
      <c r="B206" s="323" t="s">
        <v>9271</v>
      </c>
      <c r="C206" s="318" t="s">
        <v>8050</v>
      </c>
      <c r="D206" s="357" t="s">
        <v>7972</v>
      </c>
      <c r="E206" s="318"/>
      <c r="F206" s="323"/>
      <c r="G206" s="357" t="s">
        <v>7972</v>
      </c>
      <c r="H206" s="323" t="s">
        <v>9272</v>
      </c>
      <c r="I206" s="318" t="s">
        <v>9273</v>
      </c>
      <c r="J206" s="322"/>
      <c r="K206" s="321"/>
      <c r="L206" s="322"/>
      <c r="M206" s="321"/>
      <c r="N206" s="330"/>
    </row>
    <row r="207" spans="8:8">
      <c r="A207" s="330"/>
      <c r="B207" s="318" t="s">
        <v>9274</v>
      </c>
      <c r="C207" s="323" t="s">
        <v>9275</v>
      </c>
      <c r="D207" s="357" t="s">
        <v>7972</v>
      </c>
      <c r="E207" s="323"/>
      <c r="F207" s="318"/>
      <c r="G207" s="357" t="s">
        <v>7972</v>
      </c>
      <c r="H207" s="318" t="s">
        <v>9276</v>
      </c>
      <c r="I207" s="323" t="s">
        <v>9277</v>
      </c>
      <c r="J207" s="321"/>
      <c r="K207" s="322"/>
      <c r="L207" s="321"/>
      <c r="M207" s="322"/>
      <c r="N207" s="330"/>
    </row>
    <row r="208" spans="8:8">
      <c r="A208" s="330"/>
      <c r="B208" s="323" t="s">
        <v>9278</v>
      </c>
      <c r="C208" s="318" t="s">
        <v>9279</v>
      </c>
      <c r="D208" s="357" t="s">
        <v>7972</v>
      </c>
      <c r="E208" s="318"/>
      <c r="F208" s="323"/>
      <c r="G208" s="357" t="s">
        <v>7972</v>
      </c>
      <c r="H208" s="323" t="s">
        <v>9280</v>
      </c>
      <c r="I208" s="318" t="s">
        <v>9281</v>
      </c>
      <c r="J208" s="322"/>
      <c r="K208" s="321"/>
      <c r="L208" s="322"/>
      <c r="M208" s="321"/>
      <c r="N208" s="330"/>
    </row>
    <row r="209" spans="8:8">
      <c r="A209" s="330"/>
      <c r="B209" s="318" t="s">
        <v>9282</v>
      </c>
      <c r="C209" s="323" t="s">
        <v>8826</v>
      </c>
      <c r="D209" s="357" t="s">
        <v>7972</v>
      </c>
      <c r="E209" s="323"/>
      <c r="F209" s="318"/>
      <c r="G209" s="357" t="s">
        <v>7972</v>
      </c>
      <c r="H209" s="318" t="s">
        <v>9283</v>
      </c>
      <c r="I209" s="323" t="s">
        <v>9284</v>
      </c>
      <c r="J209" s="321"/>
      <c r="K209" s="322"/>
      <c r="L209" s="321"/>
      <c r="M209" s="322"/>
      <c r="N209" s="330"/>
    </row>
    <row r="210" spans="8:8">
      <c r="A210" s="330"/>
      <c r="B210" s="323" t="s">
        <v>9285</v>
      </c>
      <c r="C210" s="318" t="s">
        <v>8063</v>
      </c>
      <c r="D210" s="357" t="s">
        <v>7972</v>
      </c>
      <c r="E210" s="318"/>
      <c r="F210" s="323"/>
      <c r="G210" s="357" t="s">
        <v>7972</v>
      </c>
      <c r="H210" s="323" t="s">
        <v>9286</v>
      </c>
      <c r="I210" s="318" t="s">
        <v>9287</v>
      </c>
      <c r="J210" s="322"/>
      <c r="K210" s="321"/>
      <c r="L210" s="322"/>
      <c r="M210" s="321"/>
      <c r="N210" s="330"/>
    </row>
    <row r="211" spans="8:8">
      <c r="A211" s="330"/>
      <c r="B211" s="318" t="s">
        <v>9288</v>
      </c>
      <c r="C211" s="323" t="s">
        <v>8542</v>
      </c>
      <c r="D211" s="357" t="s">
        <v>7972</v>
      </c>
      <c r="E211" s="323"/>
      <c r="F211" s="318"/>
      <c r="G211" s="357" t="s">
        <v>7972</v>
      </c>
      <c r="H211" s="318" t="s">
        <v>9289</v>
      </c>
      <c r="I211" s="323" t="s">
        <v>9290</v>
      </c>
      <c r="J211" s="321"/>
      <c r="K211" s="322"/>
      <c r="L211" s="321"/>
      <c r="M211" s="322"/>
      <c r="N211" s="330"/>
    </row>
    <row r="212" spans="8:8">
      <c r="A212" s="330"/>
      <c r="B212" s="323" t="s">
        <v>9291</v>
      </c>
      <c r="C212" s="318" t="s">
        <v>9292</v>
      </c>
      <c r="D212" s="357" t="s">
        <v>7972</v>
      </c>
      <c r="E212" s="318"/>
      <c r="F212" s="323"/>
      <c r="G212" s="357" t="s">
        <v>7972</v>
      </c>
      <c r="H212" s="323" t="s">
        <v>9293</v>
      </c>
      <c r="I212" s="318" t="s">
        <v>9294</v>
      </c>
      <c r="J212" s="322"/>
      <c r="K212" s="321"/>
      <c r="L212" s="322"/>
      <c r="M212" s="321"/>
      <c r="N212" s="330"/>
    </row>
    <row r="213" spans="8:8">
      <c r="A213" s="330"/>
      <c r="B213" s="318" t="s">
        <v>9295</v>
      </c>
      <c r="C213" s="323" t="s">
        <v>9296</v>
      </c>
      <c r="D213" s="357" t="s">
        <v>7972</v>
      </c>
      <c r="E213" s="323"/>
      <c r="F213" s="318"/>
      <c r="G213" s="357" t="s">
        <v>7972</v>
      </c>
      <c r="H213" s="318" t="s">
        <v>9297</v>
      </c>
      <c r="I213" s="323" t="s">
        <v>9298</v>
      </c>
      <c r="J213" s="321"/>
      <c r="K213" s="322"/>
      <c r="L213" s="321"/>
      <c r="M213" s="322"/>
      <c r="N213" s="330"/>
    </row>
    <row r="214" spans="8:8">
      <c r="A214" s="330"/>
      <c r="B214" s="323" t="s">
        <v>9299</v>
      </c>
      <c r="C214" s="318" t="s">
        <v>8076</v>
      </c>
      <c r="D214" s="357" t="s">
        <v>7972</v>
      </c>
      <c r="E214" s="318"/>
      <c r="F214" s="323"/>
      <c r="G214" s="357" t="s">
        <v>7972</v>
      </c>
      <c r="H214" s="323" t="s">
        <v>9300</v>
      </c>
      <c r="I214" s="318" t="s">
        <v>9301</v>
      </c>
      <c r="J214" s="322"/>
      <c r="K214" s="321"/>
      <c r="L214" s="322"/>
      <c r="M214" s="321"/>
      <c r="N214" s="330"/>
    </row>
    <row r="215" spans="8:8">
      <c r="A215" s="330"/>
      <c r="B215" s="318" t="s">
        <v>9302</v>
      </c>
      <c r="C215" s="323" t="s">
        <v>9303</v>
      </c>
      <c r="D215" s="357" t="s">
        <v>7972</v>
      </c>
      <c r="E215" s="323"/>
      <c r="F215" s="318"/>
      <c r="G215" s="357" t="s">
        <v>7972</v>
      </c>
      <c r="H215" s="318" t="s">
        <v>9304</v>
      </c>
      <c r="I215" s="323" t="s">
        <v>9305</v>
      </c>
      <c r="J215" s="321"/>
      <c r="K215" s="322"/>
      <c r="L215" s="321"/>
      <c r="M215" s="322"/>
      <c r="N215" s="330"/>
    </row>
    <row r="216" spans="8:8">
      <c r="A216" s="330"/>
      <c r="B216" s="323" t="s">
        <v>9306</v>
      </c>
      <c r="C216" s="318" t="s">
        <v>9307</v>
      </c>
      <c r="D216" s="357" t="s">
        <v>7972</v>
      </c>
      <c r="E216" s="318"/>
      <c r="F216" s="323"/>
      <c r="G216" s="357" t="s">
        <v>7972</v>
      </c>
      <c r="H216" s="323" t="s">
        <v>9308</v>
      </c>
      <c r="I216" s="318" t="s">
        <v>9309</v>
      </c>
      <c r="J216" s="322"/>
      <c r="K216" s="321"/>
      <c r="L216" s="322"/>
      <c r="M216" s="321"/>
      <c r="N216" s="330"/>
    </row>
    <row r="217" spans="8:8">
      <c r="A217" s="330"/>
      <c r="B217" s="318" t="s">
        <v>9310</v>
      </c>
      <c r="C217" s="323" t="s">
        <v>9311</v>
      </c>
      <c r="D217" s="357" t="s">
        <v>7972</v>
      </c>
      <c r="E217" s="323"/>
      <c r="F217" s="318"/>
      <c r="G217" s="357" t="s">
        <v>7972</v>
      </c>
      <c r="H217" s="318" t="s">
        <v>9312</v>
      </c>
      <c r="I217" s="323" t="s">
        <v>9313</v>
      </c>
      <c r="J217" s="321"/>
      <c r="K217" s="322"/>
      <c r="L217" s="321"/>
      <c r="M217" s="322"/>
      <c r="N217" s="330"/>
    </row>
    <row r="218" spans="8:8">
      <c r="A218" s="330"/>
      <c r="B218" s="323" t="s">
        <v>9314</v>
      </c>
      <c r="C218" s="318" t="s">
        <v>8132</v>
      </c>
      <c r="D218" s="357" t="s">
        <v>7972</v>
      </c>
      <c r="E218" s="318"/>
      <c r="F218" s="323"/>
      <c r="G218" s="357" t="s">
        <v>7972</v>
      </c>
      <c r="H218" s="323" t="s">
        <v>9315</v>
      </c>
      <c r="I218" s="318" t="s">
        <v>9316</v>
      </c>
      <c r="J218" s="322"/>
      <c r="K218" s="321"/>
      <c r="L218" s="322"/>
      <c r="M218" s="321"/>
      <c r="N218" s="330"/>
    </row>
    <row r="219" spans="8:8">
      <c r="A219" s="330"/>
      <c r="B219" s="318" t="s">
        <v>9317</v>
      </c>
      <c r="C219" s="323" t="s">
        <v>9318</v>
      </c>
      <c r="D219" s="357" t="s">
        <v>7972</v>
      </c>
      <c r="E219" s="323"/>
      <c r="F219" s="318"/>
      <c r="G219" s="357" t="s">
        <v>7972</v>
      </c>
      <c r="H219" s="318" t="s">
        <v>9319</v>
      </c>
      <c r="I219" s="323" t="s">
        <v>9320</v>
      </c>
      <c r="J219" s="321"/>
      <c r="K219" s="322"/>
      <c r="L219" s="321"/>
      <c r="M219" s="322"/>
      <c r="N219" s="330"/>
    </row>
    <row r="220" spans="8:8">
      <c r="A220" s="330"/>
      <c r="B220" s="323" t="s">
        <v>9321</v>
      </c>
      <c r="C220" s="318" t="s">
        <v>9322</v>
      </c>
      <c r="D220" s="357" t="s">
        <v>7972</v>
      </c>
      <c r="E220" s="318"/>
      <c r="F220" s="323"/>
      <c r="G220" s="357" t="s">
        <v>7972</v>
      </c>
      <c r="H220" s="323" t="s">
        <v>9323</v>
      </c>
      <c r="I220" s="318" t="s">
        <v>9324</v>
      </c>
      <c r="J220" s="322"/>
      <c r="K220" s="321"/>
      <c r="L220" s="322"/>
      <c r="M220" s="321"/>
      <c r="N220" s="330"/>
    </row>
    <row r="221" spans="8:8">
      <c r="A221" s="330"/>
      <c r="B221" s="318" t="s">
        <v>9325</v>
      </c>
      <c r="C221" s="323" t="s">
        <v>9326</v>
      </c>
      <c r="D221" s="357" t="s">
        <v>7972</v>
      </c>
      <c r="E221" s="323"/>
      <c r="F221" s="318"/>
      <c r="G221" s="357" t="s">
        <v>7972</v>
      </c>
      <c r="H221" s="318" t="s">
        <v>9327</v>
      </c>
      <c r="I221" s="323" t="s">
        <v>9328</v>
      </c>
      <c r="J221" s="321"/>
      <c r="K221" s="322"/>
      <c r="L221" s="321"/>
      <c r="M221" s="322"/>
      <c r="N221" s="330"/>
    </row>
    <row r="222" spans="8:8">
      <c r="A222" s="330"/>
      <c r="B222" s="323" t="s">
        <v>9329</v>
      </c>
      <c r="C222" s="318" t="s">
        <v>8154</v>
      </c>
      <c r="D222" s="357" t="s">
        <v>7972</v>
      </c>
      <c r="E222" s="318"/>
      <c r="F222" s="323"/>
      <c r="G222" s="357" t="s">
        <v>7972</v>
      </c>
      <c r="H222" s="323" t="s">
        <v>9330</v>
      </c>
      <c r="I222" s="318" t="s">
        <v>9331</v>
      </c>
      <c r="J222" s="322"/>
      <c r="K222" s="321"/>
      <c r="L222" s="322"/>
      <c r="M222" s="321"/>
      <c r="N222" s="330"/>
    </row>
    <row r="223" spans="8:8">
      <c r="A223" s="330"/>
      <c r="B223" s="318" t="s">
        <v>9332</v>
      </c>
      <c r="C223" s="323" t="s">
        <v>9333</v>
      </c>
      <c r="D223" s="357" t="s">
        <v>7972</v>
      </c>
      <c r="E223" s="323"/>
      <c r="F223" s="318"/>
      <c r="G223" s="357" t="s">
        <v>7972</v>
      </c>
      <c r="H223" s="318" t="s">
        <v>9334</v>
      </c>
      <c r="I223" s="323" t="s">
        <v>9335</v>
      </c>
      <c r="J223" s="321"/>
      <c r="K223" s="322"/>
      <c r="L223" s="321"/>
      <c r="M223" s="322"/>
      <c r="N223" s="330"/>
    </row>
    <row r="224" spans="8:8">
      <c r="A224" s="330"/>
      <c r="B224" s="323" t="s">
        <v>9336</v>
      </c>
      <c r="C224" s="318" t="s">
        <v>9337</v>
      </c>
      <c r="D224" s="357" t="s">
        <v>7972</v>
      </c>
      <c r="E224" s="318"/>
      <c r="F224" s="323"/>
      <c r="G224" s="357" t="s">
        <v>7972</v>
      </c>
      <c r="H224" s="323" t="s">
        <v>9338</v>
      </c>
      <c r="I224" s="318" t="s">
        <v>9339</v>
      </c>
      <c r="J224" s="322"/>
      <c r="K224" s="321"/>
      <c r="L224" s="322"/>
      <c r="M224" s="321"/>
      <c r="N224" s="330"/>
      <c r="AE224" s="359"/>
    </row>
    <row r="225" spans="8:8">
      <c r="A225" s="330"/>
      <c r="B225" s="318" t="s">
        <v>9340</v>
      </c>
      <c r="C225" s="323" t="s">
        <v>5159</v>
      </c>
      <c r="D225" s="357" t="s">
        <v>7972</v>
      </c>
      <c r="E225" s="323"/>
      <c r="F225" s="318"/>
      <c r="G225" s="357" t="s">
        <v>7972</v>
      </c>
      <c r="H225" s="318" t="s">
        <v>9341</v>
      </c>
      <c r="I225" s="323" t="s">
        <v>9342</v>
      </c>
      <c r="J225" s="321"/>
      <c r="K225" s="322"/>
      <c r="L225" s="321"/>
      <c r="M225" s="322"/>
      <c r="N225" s="330"/>
      <c r="AE225" s="360"/>
    </row>
    <row r="226" spans="8:8">
      <c r="A226" s="330"/>
      <c r="B226" s="323" t="s">
        <v>9343</v>
      </c>
      <c r="C226" s="318" t="s">
        <v>9344</v>
      </c>
      <c r="D226" s="357" t="s">
        <v>7972</v>
      </c>
      <c r="E226" s="318"/>
      <c r="F226" s="323"/>
      <c r="G226" s="357" t="s">
        <v>7972</v>
      </c>
      <c r="H226" s="323" t="s">
        <v>9345</v>
      </c>
      <c r="I226" s="318" t="s">
        <v>9346</v>
      </c>
      <c r="J226" s="322"/>
      <c r="K226" s="321"/>
      <c r="L226" s="322"/>
      <c r="M226" s="321"/>
      <c r="N226" s="330"/>
      <c r="AE226" s="360"/>
    </row>
    <row r="227" spans="8:8">
      <c r="A227" s="330"/>
      <c r="B227" s="318" t="s">
        <v>9347</v>
      </c>
      <c r="C227" s="323" t="s">
        <v>8612</v>
      </c>
      <c r="D227" s="357" t="s">
        <v>7972</v>
      </c>
      <c r="E227" s="323"/>
      <c r="F227" s="318"/>
      <c r="G227" s="357" t="s">
        <v>7972</v>
      </c>
      <c r="H227" s="318" t="s">
        <v>9348</v>
      </c>
      <c r="I227" s="323" t="s">
        <v>9349</v>
      </c>
      <c r="J227" s="321"/>
      <c r="K227" s="322"/>
      <c r="L227" s="321"/>
      <c r="M227" s="322"/>
      <c r="N227" s="330"/>
      <c r="AE227" s="360"/>
    </row>
    <row r="228" spans="8:8">
      <c r="A228" s="330"/>
      <c r="B228" s="323" t="s">
        <v>9350</v>
      </c>
      <c r="C228" s="318" t="s">
        <v>9351</v>
      </c>
      <c r="D228" s="357" t="s">
        <v>7972</v>
      </c>
      <c r="E228" s="318"/>
      <c r="F228" s="323"/>
      <c r="G228" s="357" t="s">
        <v>7972</v>
      </c>
      <c r="H228" s="323" t="s">
        <v>9352</v>
      </c>
      <c r="I228" s="318" t="s">
        <v>9353</v>
      </c>
      <c r="J228" s="322"/>
      <c r="K228" s="321"/>
      <c r="L228" s="322"/>
      <c r="M228" s="321"/>
      <c r="N228" s="330"/>
      <c r="AE228" s="360"/>
    </row>
    <row r="229" spans="8:8">
      <c r="A229" s="330"/>
      <c r="B229" s="318" t="s">
        <v>9354</v>
      </c>
      <c r="C229" s="323" t="s">
        <v>8841</v>
      </c>
      <c r="D229" s="357" t="s">
        <v>7972</v>
      </c>
      <c r="E229" s="323"/>
      <c r="F229" s="318"/>
      <c r="G229" s="357" t="s">
        <v>7972</v>
      </c>
      <c r="H229" s="318" t="s">
        <v>9355</v>
      </c>
      <c r="I229" s="323" t="s">
        <v>9356</v>
      </c>
      <c r="J229" s="321"/>
      <c r="K229" s="322"/>
      <c r="L229" s="321"/>
      <c r="M229" s="322"/>
      <c r="N229" s="330"/>
      <c r="AE229" s="360"/>
    </row>
    <row r="230" spans="8:8">
      <c r="A230" s="330"/>
      <c r="B230" s="323" t="s">
        <v>9357</v>
      </c>
      <c r="C230" s="318" t="s">
        <v>9358</v>
      </c>
      <c r="D230" s="357" t="s">
        <v>7972</v>
      </c>
      <c r="E230" s="318"/>
      <c r="F230" s="323"/>
      <c r="G230" s="357" t="s">
        <v>7972</v>
      </c>
      <c r="H230" s="323" t="s">
        <v>9359</v>
      </c>
      <c r="I230" s="318" t="s">
        <v>9360</v>
      </c>
      <c r="J230" s="322"/>
      <c r="K230" s="321"/>
      <c r="L230" s="322"/>
      <c r="M230" s="321"/>
      <c r="N230" s="330"/>
      <c r="AE230" s="360"/>
    </row>
    <row r="231" spans="8:8">
      <c r="A231" s="330"/>
      <c r="B231" s="318" t="s">
        <v>9361</v>
      </c>
      <c r="C231" s="323" t="s">
        <v>8622</v>
      </c>
      <c r="D231" s="357" t="s">
        <v>7972</v>
      </c>
      <c r="E231" s="323"/>
      <c r="F231" s="318"/>
      <c r="G231" s="357" t="s">
        <v>7972</v>
      </c>
      <c r="H231" s="318" t="s">
        <v>9362</v>
      </c>
      <c r="I231" s="323" t="s">
        <v>9363</v>
      </c>
      <c r="J231" s="321"/>
      <c r="K231" s="322"/>
      <c r="L231" s="321"/>
      <c r="M231" s="322"/>
      <c r="N231" s="330"/>
      <c r="AE231" s="360"/>
    </row>
    <row r="232" spans="8:8">
      <c r="A232" s="330"/>
      <c r="B232" s="323" t="s">
        <v>9364</v>
      </c>
      <c r="C232" s="318" t="s">
        <v>9365</v>
      </c>
      <c r="D232" s="357" t="s">
        <v>7972</v>
      </c>
      <c r="E232" s="318"/>
      <c r="F232" s="323"/>
      <c r="G232" s="357" t="s">
        <v>7972</v>
      </c>
      <c r="H232" s="323" t="s">
        <v>9366</v>
      </c>
      <c r="I232" s="318" t="s">
        <v>9367</v>
      </c>
      <c r="J232" s="322"/>
      <c r="K232" s="321"/>
      <c r="L232" s="322"/>
      <c r="M232" s="321"/>
      <c r="N232" s="330"/>
      <c r="AE232" s="360"/>
    </row>
    <row r="233" spans="8:8">
      <c r="A233" s="330"/>
      <c r="B233" s="318" t="s">
        <v>9368</v>
      </c>
      <c r="C233" s="323" t="s">
        <v>9369</v>
      </c>
      <c r="D233" s="357" t="s">
        <v>7972</v>
      </c>
      <c r="E233" s="323"/>
      <c r="F233" s="318"/>
      <c r="G233" s="357" t="s">
        <v>7972</v>
      </c>
      <c r="H233" s="318" t="s">
        <v>9370</v>
      </c>
      <c r="I233" s="323" t="s">
        <v>9371</v>
      </c>
      <c r="J233" s="321"/>
      <c r="K233" s="322"/>
      <c r="L233" s="321"/>
      <c r="M233" s="322"/>
      <c r="N233" s="330"/>
      <c r="AE233" s="360"/>
    </row>
    <row r="234" spans="8:8">
      <c r="A234" s="330"/>
      <c r="B234" s="323" t="s">
        <v>9372</v>
      </c>
      <c r="C234" s="318" t="s">
        <v>8176</v>
      </c>
      <c r="D234" s="357" t="s">
        <v>7972</v>
      </c>
      <c r="E234" s="318"/>
      <c r="F234" s="323"/>
      <c r="G234" s="357" t="s">
        <v>7972</v>
      </c>
      <c r="H234" s="323" t="s">
        <v>9373</v>
      </c>
      <c r="I234" s="318" t="s">
        <v>9374</v>
      </c>
      <c r="J234" s="322"/>
      <c r="K234" s="321"/>
      <c r="L234" s="322"/>
      <c r="M234" s="321"/>
      <c r="N234" s="330"/>
      <c r="AE234" s="360"/>
    </row>
    <row r="235" spans="8:8">
      <c r="A235" s="330"/>
      <c r="B235" s="318" t="s">
        <v>9375</v>
      </c>
      <c r="C235" s="323" t="s">
        <v>9376</v>
      </c>
      <c r="D235" s="357" t="s">
        <v>7972</v>
      </c>
      <c r="E235" s="323"/>
      <c r="F235" s="318"/>
      <c r="G235" s="357" t="s">
        <v>7972</v>
      </c>
      <c r="H235" s="318" t="s">
        <v>9377</v>
      </c>
      <c r="I235" s="323" t="s">
        <v>9378</v>
      </c>
      <c r="J235" s="321"/>
      <c r="K235" s="322"/>
      <c r="L235" s="321"/>
      <c r="M235" s="322"/>
      <c r="N235" s="330"/>
      <c r="AE235" s="360"/>
    </row>
    <row r="236" spans="8:8">
      <c r="A236" s="330"/>
      <c r="B236" s="323" t="s">
        <v>9379</v>
      </c>
      <c r="C236" s="318" t="s">
        <v>9380</v>
      </c>
      <c r="D236" s="357" t="s">
        <v>7972</v>
      </c>
      <c r="E236" s="318"/>
      <c r="F236" s="323"/>
      <c r="G236" s="357" t="s">
        <v>7972</v>
      </c>
      <c r="H236" s="323" t="s">
        <v>9381</v>
      </c>
      <c r="I236" s="318" t="s">
        <v>9382</v>
      </c>
      <c r="J236" s="322"/>
      <c r="K236" s="321"/>
      <c r="L236" s="322"/>
      <c r="M236" s="321"/>
      <c r="N236" s="330"/>
      <c r="AE236" s="360" t="s">
        <v>9622</v>
      </c>
    </row>
    <row r="237" spans="8:8">
      <c r="A237" s="330"/>
      <c r="B237" s="318" t="s">
        <v>9383</v>
      </c>
      <c r="C237" s="323" t="s">
        <v>9384</v>
      </c>
      <c r="D237" s="357" t="s">
        <v>7972</v>
      </c>
      <c r="E237" s="323"/>
      <c r="F237" s="318"/>
      <c r="G237" s="357" t="s">
        <v>7972</v>
      </c>
      <c r="H237" s="318" t="s">
        <v>9385</v>
      </c>
      <c r="I237" s="323" t="s">
        <v>9386</v>
      </c>
      <c r="J237" s="321"/>
      <c r="K237" s="322"/>
      <c r="L237" s="321"/>
      <c r="M237" s="322"/>
      <c r="N237" s="330"/>
      <c r="AE237" s="360" t="s">
        <v>9625</v>
      </c>
    </row>
    <row r="238" spans="8:8">
      <c r="A238" s="330"/>
      <c r="B238" s="323" t="s">
        <v>9387</v>
      </c>
      <c r="C238" s="318" t="s">
        <v>8195</v>
      </c>
      <c r="D238" s="357" t="s">
        <v>7972</v>
      </c>
      <c r="E238" s="318"/>
      <c r="F238" s="323"/>
      <c r="G238" s="357" t="s">
        <v>7972</v>
      </c>
      <c r="H238" s="323" t="s">
        <v>9388</v>
      </c>
      <c r="I238" s="318" t="s">
        <v>9389</v>
      </c>
      <c r="J238" s="322"/>
      <c r="K238" s="321"/>
      <c r="L238" s="322"/>
      <c r="M238" s="321"/>
      <c r="N238" s="330"/>
      <c r="AE238" s="360" t="s">
        <v>9628</v>
      </c>
    </row>
    <row r="239" spans="8:8">
      <c r="A239" s="330"/>
      <c r="B239" s="318" t="s">
        <v>9390</v>
      </c>
      <c r="C239" s="323" t="s">
        <v>8638</v>
      </c>
      <c r="D239" s="357" t="s">
        <v>7972</v>
      </c>
      <c r="E239" s="323"/>
      <c r="F239" s="318"/>
      <c r="G239" s="357" t="s">
        <v>7972</v>
      </c>
      <c r="H239" s="318" t="s">
        <v>9391</v>
      </c>
      <c r="I239" s="323" t="s">
        <v>9392</v>
      </c>
      <c r="J239" s="321"/>
      <c r="K239" s="322"/>
      <c r="L239" s="321"/>
      <c r="M239" s="322"/>
      <c r="N239" s="330"/>
      <c r="AE239" s="360" t="s">
        <v>9630</v>
      </c>
    </row>
    <row r="240" spans="8:8">
      <c r="A240" s="330"/>
      <c r="B240" s="323" t="s">
        <v>9393</v>
      </c>
      <c r="C240" s="318" t="s">
        <v>9394</v>
      </c>
      <c r="D240" s="357" t="s">
        <v>7972</v>
      </c>
      <c r="E240" s="318"/>
      <c r="F240" s="323"/>
      <c r="G240" s="357" t="s">
        <v>7972</v>
      </c>
      <c r="H240" s="323" t="s">
        <v>9395</v>
      </c>
      <c r="I240" s="318" t="s">
        <v>9396</v>
      </c>
      <c r="J240" s="322"/>
      <c r="K240" s="321"/>
      <c r="L240" s="322"/>
      <c r="M240" s="321"/>
      <c r="N240" s="330"/>
      <c r="AE240" s="360" t="s">
        <v>9633</v>
      </c>
    </row>
    <row r="241" spans="8:8">
      <c r="A241" s="330"/>
      <c r="B241" s="318" t="s">
        <v>9397</v>
      </c>
      <c r="C241" s="323" t="s">
        <v>9398</v>
      </c>
      <c r="D241" s="357" t="s">
        <v>7972</v>
      </c>
      <c r="E241" s="323"/>
      <c r="F241" s="318"/>
      <c r="G241" s="357" t="s">
        <v>7972</v>
      </c>
      <c r="H241" s="318" t="s">
        <v>9399</v>
      </c>
      <c r="I241" s="323" t="s">
        <v>9400</v>
      </c>
      <c r="J241" s="321"/>
      <c r="K241" s="322"/>
      <c r="L241" s="321"/>
      <c r="M241" s="322"/>
      <c r="N241" s="330"/>
      <c r="AE241" s="360" t="s">
        <v>4897</v>
      </c>
    </row>
    <row r="242" spans="8:8">
      <c r="A242" s="330"/>
      <c r="B242" s="323" t="s">
        <v>9401</v>
      </c>
      <c r="C242" s="318" t="s">
        <v>9402</v>
      </c>
      <c r="D242" s="357" t="s">
        <v>7972</v>
      </c>
      <c r="E242" s="318"/>
      <c r="F242" s="323"/>
      <c r="G242" s="357" t="s">
        <v>7972</v>
      </c>
      <c r="H242" s="323" t="s">
        <v>9403</v>
      </c>
      <c r="I242" s="318" t="s">
        <v>9404</v>
      </c>
      <c r="J242" s="322"/>
      <c r="K242" s="321"/>
      <c r="L242" s="322"/>
      <c r="M242" s="321"/>
      <c r="N242" s="330"/>
      <c r="AE242" s="360" t="s">
        <v>4200</v>
      </c>
    </row>
    <row r="243" spans="8:8">
      <c r="A243" s="330"/>
      <c r="B243" s="318" t="s">
        <v>9405</v>
      </c>
      <c r="C243" s="323" t="s">
        <v>8646</v>
      </c>
      <c r="D243" s="357" t="s">
        <v>7972</v>
      </c>
      <c r="E243" s="323"/>
      <c r="F243" s="318"/>
      <c r="G243" s="357" t="s">
        <v>7972</v>
      </c>
      <c r="H243" s="318" t="s">
        <v>9406</v>
      </c>
      <c r="I243" s="323" t="s">
        <v>9407</v>
      </c>
      <c r="J243" s="321"/>
      <c r="K243" s="322"/>
      <c r="L243" s="321"/>
      <c r="M243" s="322"/>
      <c r="N243" s="330"/>
      <c r="AE243" s="360" t="s">
        <v>9640</v>
      </c>
    </row>
    <row r="244" spans="8:8">
      <c r="A244" s="330"/>
      <c r="B244" s="323" t="s">
        <v>9408</v>
      </c>
      <c r="C244" s="318" t="s">
        <v>9409</v>
      </c>
      <c r="D244" s="357" t="s">
        <v>7972</v>
      </c>
      <c r="E244" s="318"/>
      <c r="F244" s="323"/>
      <c r="G244" s="357" t="s">
        <v>7972</v>
      </c>
      <c r="H244" s="323" t="s">
        <v>9410</v>
      </c>
      <c r="I244" s="318" t="s">
        <v>9411</v>
      </c>
      <c r="J244" s="322"/>
      <c r="K244" s="321"/>
      <c r="L244" s="322"/>
      <c r="M244" s="321"/>
      <c r="N244" s="330"/>
      <c r="AE244" s="360"/>
    </row>
    <row r="245" spans="8:8">
      <c r="A245" s="330"/>
      <c r="B245" s="318" t="s">
        <v>9412</v>
      </c>
      <c r="C245" s="323" t="s">
        <v>8873</v>
      </c>
      <c r="D245" s="357" t="s">
        <v>7972</v>
      </c>
      <c r="E245" s="323"/>
      <c r="F245" s="318"/>
      <c r="G245" s="357" t="s">
        <v>7972</v>
      </c>
      <c r="H245" s="318" t="s">
        <v>9413</v>
      </c>
      <c r="I245" s="323" t="s">
        <v>9414</v>
      </c>
      <c r="J245" s="321"/>
      <c r="K245" s="322"/>
      <c r="L245" s="321"/>
      <c r="M245" s="322"/>
      <c r="N245" s="330"/>
      <c r="AE245" s="360" t="s">
        <v>4849</v>
      </c>
    </row>
    <row r="246" spans="8:8">
      <c r="A246" s="330"/>
      <c r="B246" s="323" t="s">
        <v>9415</v>
      </c>
      <c r="C246" s="318" t="s">
        <v>9416</v>
      </c>
      <c r="D246" s="357" t="s">
        <v>7972</v>
      </c>
      <c r="E246" s="318"/>
      <c r="F246" s="323"/>
      <c r="G246" s="357" t="s">
        <v>7972</v>
      </c>
      <c r="H246" s="323" t="s">
        <v>9417</v>
      </c>
      <c r="I246" s="318" t="s">
        <v>9418</v>
      </c>
      <c r="J246" s="322"/>
      <c r="K246" s="321"/>
      <c r="L246" s="322"/>
      <c r="M246" s="321"/>
      <c r="N246" s="330"/>
      <c r="AE246" s="360" t="s">
        <v>4847</v>
      </c>
    </row>
    <row r="247" spans="8:8">
      <c r="A247" s="330"/>
      <c r="B247" s="318" t="s">
        <v>9419</v>
      </c>
      <c r="C247" s="323" t="s">
        <v>8662</v>
      </c>
      <c r="D247" s="357" t="s">
        <v>7972</v>
      </c>
      <c r="E247" s="323"/>
      <c r="F247" s="318"/>
      <c r="G247" s="357" t="s">
        <v>7972</v>
      </c>
      <c r="H247" s="318" t="s">
        <v>9420</v>
      </c>
      <c r="I247" s="323" t="s">
        <v>9421</v>
      </c>
      <c r="J247" s="321"/>
      <c r="K247" s="322"/>
      <c r="L247" s="321"/>
      <c r="M247" s="322"/>
      <c r="N247" s="330"/>
      <c r="AE247" s="360" t="s">
        <v>4843</v>
      </c>
    </row>
    <row r="248" spans="8:8" ht="25.9">
      <c r="A248" s="330"/>
      <c r="B248" s="323" t="s">
        <v>9422</v>
      </c>
      <c r="C248" s="318" t="s">
        <v>9423</v>
      </c>
      <c r="D248" s="357" t="s">
        <v>7972</v>
      </c>
      <c r="E248" s="318"/>
      <c r="F248" s="323"/>
      <c r="G248" s="357" t="s">
        <v>7972</v>
      </c>
      <c r="H248" s="323" t="s">
        <v>9424</v>
      </c>
      <c r="I248" s="318" t="s">
        <v>9425</v>
      </c>
      <c r="J248" s="322"/>
      <c r="K248" s="321"/>
      <c r="L248" s="322"/>
      <c r="M248" s="321"/>
      <c r="N248" s="330"/>
      <c r="AE248" s="360" t="s">
        <v>1656</v>
      </c>
    </row>
    <row r="249" spans="8:8">
      <c r="A249" s="330"/>
      <c r="B249" s="318" t="s">
        <v>9426</v>
      </c>
      <c r="C249" s="323" t="s">
        <v>8885</v>
      </c>
      <c r="D249" s="357" t="s">
        <v>7972</v>
      </c>
      <c r="E249" s="323"/>
      <c r="F249" s="318"/>
      <c r="G249" s="357" t="s">
        <v>7972</v>
      </c>
      <c r="H249" s="318" t="s">
        <v>9427</v>
      </c>
      <c r="I249" s="323" t="s">
        <v>9428</v>
      </c>
      <c r="J249" s="321"/>
      <c r="K249" s="322"/>
      <c r="L249" s="321"/>
      <c r="M249" s="322"/>
      <c r="N249" s="330"/>
      <c r="AE249" s="360" t="s">
        <v>4841</v>
      </c>
    </row>
    <row r="250" spans="8:8" ht="25.9">
      <c r="A250" s="330"/>
      <c r="B250" s="323" t="s">
        <v>9429</v>
      </c>
      <c r="C250" s="318" t="s">
        <v>9430</v>
      </c>
      <c r="D250" s="357" t="s">
        <v>7972</v>
      </c>
      <c r="E250" s="318"/>
      <c r="F250" s="323"/>
      <c r="G250" s="357" t="s">
        <v>7972</v>
      </c>
      <c r="H250" s="323" t="s">
        <v>9431</v>
      </c>
      <c r="I250" s="318" t="s">
        <v>9432</v>
      </c>
      <c r="J250" s="322"/>
      <c r="K250" s="321"/>
      <c r="L250" s="322"/>
      <c r="M250" s="321"/>
      <c r="N250" s="330"/>
      <c r="AE250" s="360" t="s">
        <v>9655</v>
      </c>
    </row>
    <row r="251" spans="8:8">
      <c r="A251" s="330"/>
      <c r="B251" s="318" t="s">
        <v>9433</v>
      </c>
      <c r="C251" s="323" t="s">
        <v>8670</v>
      </c>
      <c r="D251" s="357" t="s">
        <v>7972</v>
      </c>
      <c r="E251" s="323"/>
      <c r="F251" s="318"/>
      <c r="G251" s="357" t="s">
        <v>7972</v>
      </c>
      <c r="H251" s="318" t="s">
        <v>9434</v>
      </c>
      <c r="I251" s="323" t="s">
        <v>9435</v>
      </c>
      <c r="J251" s="321"/>
      <c r="K251" s="322"/>
      <c r="L251" s="321"/>
      <c r="M251" s="322"/>
      <c r="N251" s="330"/>
      <c r="AE251" s="360"/>
    </row>
    <row r="252" spans="8:8">
      <c r="A252" s="330"/>
      <c r="B252" s="323" t="s">
        <v>9436</v>
      </c>
      <c r="C252" s="318" t="s">
        <v>8357</v>
      </c>
      <c r="D252" s="357" t="s">
        <v>7972</v>
      </c>
      <c r="E252" s="318"/>
      <c r="F252" s="323"/>
      <c r="G252" s="357" t="s">
        <v>7972</v>
      </c>
      <c r="H252" s="323" t="s">
        <v>9437</v>
      </c>
      <c r="I252" s="318" t="s">
        <v>9438</v>
      </c>
      <c r="J252" s="322"/>
      <c r="K252" s="321"/>
      <c r="L252" s="322"/>
      <c r="M252" s="321"/>
      <c r="N252" s="330"/>
      <c r="AE252" s="360"/>
    </row>
    <row r="253" spans="8:8" ht="25.9">
      <c r="A253" s="330"/>
      <c r="B253" s="318" t="s">
        <v>9439</v>
      </c>
      <c r="C253" s="323" t="s">
        <v>8888</v>
      </c>
      <c r="D253" s="357" t="s">
        <v>7972</v>
      </c>
      <c r="E253" s="323"/>
      <c r="F253" s="318"/>
      <c r="G253" s="357" t="s">
        <v>7972</v>
      </c>
      <c r="H253" s="318" t="s">
        <v>9440</v>
      </c>
      <c r="I253" s="323" t="s">
        <v>9441</v>
      </c>
      <c r="J253" s="321"/>
      <c r="K253" s="322"/>
      <c r="L253" s="321"/>
      <c r="M253" s="322"/>
      <c r="N253" s="330"/>
      <c r="AE253" s="360"/>
    </row>
    <row r="254" spans="8:8">
      <c r="A254" s="330"/>
      <c r="B254" s="323" t="s">
        <v>9442</v>
      </c>
      <c r="C254" s="318" t="s">
        <v>9443</v>
      </c>
      <c r="D254" s="357" t="s">
        <v>7972</v>
      </c>
      <c r="E254" s="318"/>
      <c r="F254" s="323"/>
      <c r="G254" s="357" t="s">
        <v>7972</v>
      </c>
      <c r="H254" s="323" t="s">
        <v>9444</v>
      </c>
      <c r="I254" s="318" t="s">
        <v>9445</v>
      </c>
      <c r="J254" s="322"/>
      <c r="K254" s="321"/>
      <c r="L254" s="322"/>
      <c r="M254" s="321"/>
      <c r="N254" s="330"/>
      <c r="AE254" s="360"/>
    </row>
    <row r="255" spans="8:8" ht="25.9">
      <c r="A255" s="330"/>
      <c r="B255" s="318" t="s">
        <v>9446</v>
      </c>
      <c r="C255" s="323" t="s">
        <v>8678</v>
      </c>
      <c r="D255" s="357" t="s">
        <v>7972</v>
      </c>
      <c r="E255" s="323"/>
      <c r="F255" s="318"/>
      <c r="G255" s="357" t="s">
        <v>7972</v>
      </c>
      <c r="H255" s="318" t="s">
        <v>9447</v>
      </c>
      <c r="I255" s="323" t="s">
        <v>9448</v>
      </c>
      <c r="J255" s="321"/>
      <c r="K255" s="322"/>
      <c r="L255" s="321"/>
      <c r="M255" s="322"/>
      <c r="N255" s="330"/>
      <c r="AE255" s="360"/>
    </row>
    <row r="256" spans="8:8">
      <c r="A256" s="330"/>
      <c r="B256" s="323" t="s">
        <v>9449</v>
      </c>
      <c r="C256" s="318" t="s">
        <v>8368</v>
      </c>
      <c r="D256" s="357" t="s">
        <v>7972</v>
      </c>
      <c r="E256" s="318"/>
      <c r="F256" s="323"/>
      <c r="G256" s="357" t="s">
        <v>7972</v>
      </c>
      <c r="H256" s="323" t="s">
        <v>9450</v>
      </c>
      <c r="I256" s="318" t="s">
        <v>9451</v>
      </c>
      <c r="J256" s="322"/>
      <c r="K256" s="321"/>
      <c r="L256" s="322"/>
      <c r="M256" s="321"/>
      <c r="N256" s="330"/>
      <c r="AE256" s="360"/>
    </row>
    <row r="257" spans="8:8" ht="25.9">
      <c r="A257" s="330"/>
      <c r="B257" s="318" t="s">
        <v>9452</v>
      </c>
      <c r="C257" s="323" t="s">
        <v>9453</v>
      </c>
      <c r="D257" s="357" t="s">
        <v>7972</v>
      </c>
      <c r="E257" s="323"/>
      <c r="F257" s="318"/>
      <c r="G257" s="357" t="s">
        <v>7972</v>
      </c>
      <c r="H257" s="318" t="s">
        <v>9454</v>
      </c>
      <c r="I257" s="323" t="s">
        <v>9455</v>
      </c>
      <c r="J257" s="321"/>
      <c r="K257" s="322"/>
      <c r="L257" s="321"/>
      <c r="M257" s="322"/>
      <c r="N257" s="330"/>
      <c r="AE257" s="360"/>
    </row>
    <row r="258" spans="8:8" ht="25.9">
      <c r="A258" s="330"/>
      <c r="B258" s="323" t="s">
        <v>9456</v>
      </c>
      <c r="C258" s="318" t="s">
        <v>9457</v>
      </c>
      <c r="D258" s="357" t="s">
        <v>7972</v>
      </c>
      <c r="E258" s="318"/>
      <c r="F258" s="323"/>
      <c r="G258" s="357" t="s">
        <v>7972</v>
      </c>
      <c r="H258" s="323" t="s">
        <v>9458</v>
      </c>
      <c r="I258" s="318" t="s">
        <v>9459</v>
      </c>
      <c r="J258" s="322"/>
      <c r="K258" s="321"/>
      <c r="L258" s="322"/>
      <c r="M258" s="321"/>
      <c r="N258" s="330"/>
      <c r="AE258" s="360"/>
    </row>
    <row r="259" spans="8:8">
      <c r="A259" s="330"/>
      <c r="B259" s="318" t="s">
        <v>9460</v>
      </c>
      <c r="C259" s="323" t="s">
        <v>9461</v>
      </c>
      <c r="D259" s="357" t="s">
        <v>7972</v>
      </c>
      <c r="E259" s="323"/>
      <c r="F259" s="318"/>
      <c r="G259" s="357" t="s">
        <v>7972</v>
      </c>
      <c r="H259" s="318" t="s">
        <v>9462</v>
      </c>
      <c r="I259" s="323" t="s">
        <v>9463</v>
      </c>
      <c r="J259" s="321"/>
      <c r="K259" s="322"/>
      <c r="L259" s="321"/>
      <c r="M259" s="322"/>
      <c r="N259" s="330"/>
      <c r="AE259" s="360"/>
    </row>
    <row r="260" spans="8:8">
      <c r="A260" s="330"/>
      <c r="B260" s="323" t="s">
        <v>9464</v>
      </c>
      <c r="C260" s="318" t="s">
        <v>9465</v>
      </c>
      <c r="D260" s="357" t="s">
        <v>7972</v>
      </c>
      <c r="E260" s="318"/>
      <c r="F260" s="323"/>
      <c r="G260" s="357" t="s">
        <v>7972</v>
      </c>
      <c r="H260" s="323" t="s">
        <v>9466</v>
      </c>
      <c r="I260" s="318" t="s">
        <v>9467</v>
      </c>
      <c r="J260" s="322"/>
      <c r="K260" s="321"/>
      <c r="L260" s="322"/>
      <c r="M260" s="321"/>
      <c r="N260" s="330"/>
      <c r="AE260" s="360"/>
    </row>
    <row r="261" spans="8:8">
      <c r="A261" s="330"/>
      <c r="B261" s="318" t="s">
        <v>9468</v>
      </c>
      <c r="C261" s="323" t="s">
        <v>9469</v>
      </c>
      <c r="D261" s="357" t="s">
        <v>7972</v>
      </c>
      <c r="E261" s="323"/>
      <c r="F261" s="318"/>
      <c r="G261" s="357" t="s">
        <v>7972</v>
      </c>
      <c r="H261" s="318" t="s">
        <v>9470</v>
      </c>
      <c r="I261" s="323" t="s">
        <v>9471</v>
      </c>
      <c r="J261" s="321"/>
      <c r="K261" s="322"/>
      <c r="L261" s="321"/>
      <c r="M261" s="322"/>
      <c r="N261" s="330"/>
      <c r="AE261" s="360"/>
    </row>
    <row r="262" spans="8:8" ht="25.9">
      <c r="A262" s="330"/>
      <c r="B262" s="323" t="s">
        <v>9472</v>
      </c>
      <c r="C262" s="318" t="s">
        <v>9473</v>
      </c>
      <c r="D262" s="357" t="s">
        <v>7972</v>
      </c>
      <c r="E262" s="318"/>
      <c r="F262" s="323"/>
      <c r="G262" s="357" t="s">
        <v>7972</v>
      </c>
      <c r="H262" s="323" t="s">
        <v>9474</v>
      </c>
      <c r="I262" s="318" t="s">
        <v>9475</v>
      </c>
      <c r="J262" s="322"/>
      <c r="K262" s="321"/>
      <c r="L262" s="322"/>
      <c r="M262" s="321"/>
      <c r="N262" s="330"/>
      <c r="AE262" s="360"/>
    </row>
    <row r="263" spans="8:8">
      <c r="A263" s="330"/>
      <c r="B263" s="318" t="s">
        <v>9476</v>
      </c>
      <c r="C263" s="323" t="s">
        <v>8686</v>
      </c>
      <c r="D263" s="357" t="s">
        <v>7972</v>
      </c>
      <c r="E263" s="323"/>
      <c r="F263" s="318"/>
      <c r="G263" s="357" t="s">
        <v>7972</v>
      </c>
      <c r="H263" s="318" t="s">
        <v>9477</v>
      </c>
      <c r="I263" s="323" t="s">
        <v>9478</v>
      </c>
      <c r="J263" s="321"/>
      <c r="K263" s="322"/>
      <c r="L263" s="321"/>
      <c r="M263" s="322"/>
      <c r="N263" s="330"/>
      <c r="AE263" s="360"/>
    </row>
    <row r="264" spans="8:8">
      <c r="A264" s="330"/>
      <c r="B264" s="323" t="s">
        <v>9479</v>
      </c>
      <c r="C264" s="318" t="s">
        <v>8379</v>
      </c>
      <c r="D264" s="357" t="s">
        <v>7972</v>
      </c>
      <c r="E264" s="318"/>
      <c r="F264" s="323"/>
      <c r="G264" s="357" t="s">
        <v>7972</v>
      </c>
      <c r="H264" s="323" t="s">
        <v>9480</v>
      </c>
      <c r="I264" s="318" t="s">
        <v>9481</v>
      </c>
      <c r="J264" s="322"/>
      <c r="K264" s="321"/>
      <c r="L264" s="322"/>
      <c r="M264" s="321"/>
      <c r="N264" s="330"/>
      <c r="AE264" s="360"/>
    </row>
    <row r="265" spans="8:8">
      <c r="A265" s="330"/>
      <c r="B265" s="318" t="s">
        <v>9482</v>
      </c>
      <c r="C265" s="323" t="s">
        <v>9483</v>
      </c>
      <c r="D265" s="357" t="s">
        <v>7972</v>
      </c>
      <c r="E265" s="323"/>
      <c r="F265" s="318"/>
      <c r="G265" s="357" t="s">
        <v>7972</v>
      </c>
      <c r="H265" s="318" t="s">
        <v>9484</v>
      </c>
      <c r="I265" s="323" t="s">
        <v>9485</v>
      </c>
      <c r="J265" s="321"/>
      <c r="K265" s="322"/>
      <c r="L265" s="321"/>
      <c r="M265" s="322"/>
      <c r="N265" s="330"/>
      <c r="AE265" s="360"/>
    </row>
    <row r="266" spans="8:8">
      <c r="A266" s="330"/>
      <c r="B266" s="323" t="s">
        <v>9486</v>
      </c>
      <c r="C266" s="318" t="s">
        <v>9487</v>
      </c>
      <c r="D266" s="357" t="s">
        <v>7972</v>
      </c>
      <c r="E266" s="318"/>
      <c r="F266" s="323"/>
      <c r="G266" s="357" t="s">
        <v>7972</v>
      </c>
      <c r="H266" s="323" t="s">
        <v>9488</v>
      </c>
      <c r="I266" s="318" t="s">
        <v>9489</v>
      </c>
      <c r="J266" s="322"/>
      <c r="K266" s="321"/>
      <c r="L266" s="322"/>
      <c r="M266" s="321"/>
      <c r="N266" s="330"/>
      <c r="AE266" s="360"/>
    </row>
    <row r="267" spans="8:8">
      <c r="A267" s="330"/>
      <c r="B267" s="318" t="s">
        <v>9490</v>
      </c>
      <c r="C267" s="323" t="s">
        <v>8702</v>
      </c>
      <c r="D267" s="357" t="s">
        <v>7972</v>
      </c>
      <c r="E267" s="323"/>
      <c r="F267" s="318"/>
      <c r="G267" s="357" t="s">
        <v>7972</v>
      </c>
      <c r="H267" s="318" t="s">
        <v>9491</v>
      </c>
      <c r="I267" s="323" t="s">
        <v>9492</v>
      </c>
      <c r="J267" s="321"/>
      <c r="K267" s="322"/>
      <c r="L267" s="321"/>
      <c r="M267" s="322"/>
      <c r="N267" s="330"/>
      <c r="AE267" s="360"/>
    </row>
    <row r="268" spans="8:8">
      <c r="A268" s="330"/>
      <c r="B268" s="323" t="s">
        <v>9493</v>
      </c>
      <c r="C268" s="318" t="s">
        <v>8390</v>
      </c>
      <c r="D268" s="357" t="s">
        <v>7972</v>
      </c>
      <c r="E268" s="318"/>
      <c r="F268" s="323"/>
      <c r="G268" s="357" t="s">
        <v>7972</v>
      </c>
      <c r="H268" s="323" t="s">
        <v>9494</v>
      </c>
      <c r="I268" s="318" t="s">
        <v>9495</v>
      </c>
      <c r="J268" s="322"/>
      <c r="K268" s="321"/>
      <c r="L268" s="322"/>
      <c r="M268" s="321"/>
      <c r="N268" s="330"/>
      <c r="AE268" s="360"/>
    </row>
    <row r="269" spans="8:8">
      <c r="A269" s="330"/>
      <c r="B269" s="318" t="s">
        <v>9496</v>
      </c>
      <c r="C269" s="323" t="s">
        <v>9497</v>
      </c>
      <c r="D269" s="357" t="s">
        <v>7972</v>
      </c>
      <c r="E269" s="323"/>
      <c r="F269" s="318"/>
      <c r="G269" s="357" t="s">
        <v>7972</v>
      </c>
      <c r="H269" s="318" t="s">
        <v>9498</v>
      </c>
      <c r="I269" s="323" t="s">
        <v>9499</v>
      </c>
      <c r="J269" s="321"/>
      <c r="K269" s="322"/>
      <c r="L269" s="321"/>
      <c r="M269" s="322"/>
      <c r="N269" s="330"/>
      <c r="AE269" s="360"/>
    </row>
    <row r="270" spans="8:8">
      <c r="A270" s="330"/>
      <c r="B270" s="323" t="s">
        <v>9500</v>
      </c>
      <c r="C270" s="318" t="s">
        <v>9501</v>
      </c>
      <c r="D270" s="357" t="s">
        <v>7972</v>
      </c>
      <c r="E270" s="318"/>
      <c r="F270" s="323"/>
      <c r="G270" s="357" t="s">
        <v>7972</v>
      </c>
      <c r="H270" s="323" t="s">
        <v>9502</v>
      </c>
      <c r="I270" s="318" t="s">
        <v>9503</v>
      </c>
      <c r="J270" s="322"/>
      <c r="K270" s="321"/>
      <c r="L270" s="322"/>
      <c r="M270" s="321"/>
      <c r="N270" s="330"/>
      <c r="AE270" s="360"/>
    </row>
    <row r="271" spans="8:8">
      <c r="A271" s="330"/>
      <c r="B271" s="318" t="s">
        <v>9504</v>
      </c>
      <c r="C271" s="323" t="s">
        <v>9505</v>
      </c>
      <c r="D271" s="357" t="s">
        <v>7972</v>
      </c>
      <c r="E271" s="323"/>
      <c r="F271" s="318"/>
      <c r="G271" s="357" t="s">
        <v>7972</v>
      </c>
      <c r="H271" s="318" t="s">
        <v>9506</v>
      </c>
      <c r="I271" s="323" t="s">
        <v>9507</v>
      </c>
      <c r="J271" s="321"/>
      <c r="K271" s="322"/>
      <c r="L271" s="321"/>
      <c r="M271" s="322"/>
      <c r="N271" s="330"/>
      <c r="AE271" s="360"/>
    </row>
    <row r="272" spans="8:8">
      <c r="A272" s="330"/>
      <c r="B272" s="323" t="s">
        <v>9508</v>
      </c>
      <c r="C272" s="318" t="s">
        <v>8423</v>
      </c>
      <c r="D272" s="357" t="s">
        <v>7972</v>
      </c>
      <c r="E272" s="318"/>
      <c r="F272" s="323"/>
      <c r="G272" s="357" t="s">
        <v>7972</v>
      </c>
      <c r="H272" s="323" t="s">
        <v>9509</v>
      </c>
      <c r="I272" s="318" t="s">
        <v>9510</v>
      </c>
      <c r="J272" s="322"/>
      <c r="K272" s="321"/>
      <c r="L272" s="322"/>
      <c r="M272" s="321"/>
      <c r="N272" s="330"/>
      <c r="AE272" s="360"/>
    </row>
    <row r="273" spans="8:8">
      <c r="A273" s="330"/>
      <c r="B273" s="318" t="s">
        <v>9511</v>
      </c>
      <c r="C273" s="323" t="s">
        <v>8912</v>
      </c>
      <c r="D273" s="357" t="s">
        <v>7972</v>
      </c>
      <c r="E273" s="323"/>
      <c r="F273" s="318"/>
      <c r="G273" s="357" t="s">
        <v>7972</v>
      </c>
      <c r="H273" s="318" t="s">
        <v>9512</v>
      </c>
      <c r="I273" s="323" t="s">
        <v>9513</v>
      </c>
      <c r="J273" s="321"/>
      <c r="K273" s="322"/>
      <c r="L273" s="321"/>
      <c r="M273" s="322"/>
      <c r="N273" s="330"/>
      <c r="AE273" s="360"/>
    </row>
    <row r="274" spans="8:8">
      <c r="A274" s="330"/>
      <c r="B274" s="323" t="s">
        <v>9514</v>
      </c>
      <c r="C274" s="318" t="s">
        <v>9515</v>
      </c>
      <c r="D274" s="357" t="s">
        <v>7972</v>
      </c>
      <c r="E274" s="318"/>
      <c r="F274" s="323"/>
      <c r="G274" s="357" t="s">
        <v>7972</v>
      </c>
      <c r="H274" s="323" t="s">
        <v>9516</v>
      </c>
      <c r="I274" s="318" t="s">
        <v>9517</v>
      </c>
      <c r="J274" s="322"/>
      <c r="K274" s="321"/>
      <c r="L274" s="322"/>
      <c r="M274" s="321"/>
      <c r="N274" s="330"/>
      <c r="AE274" s="360"/>
    </row>
    <row r="275" spans="8:8">
      <c r="A275" s="330"/>
      <c r="B275" s="318" t="s">
        <v>9518</v>
      </c>
      <c r="C275" s="323" t="s">
        <v>8726</v>
      </c>
      <c r="D275" s="357" t="s">
        <v>7972</v>
      </c>
      <c r="E275" s="323"/>
      <c r="F275" s="318"/>
      <c r="G275" s="357" t="s">
        <v>7972</v>
      </c>
      <c r="H275" s="318" t="s">
        <v>9519</v>
      </c>
      <c r="I275" s="323" t="s">
        <v>9520</v>
      </c>
      <c r="J275" s="321"/>
      <c r="K275" s="322"/>
      <c r="L275" s="321"/>
      <c r="M275" s="322"/>
      <c r="N275" s="330"/>
      <c r="AE275" s="360"/>
    </row>
    <row r="276" spans="8:8">
      <c r="A276" s="330"/>
      <c r="B276" s="323" t="s">
        <v>9521</v>
      </c>
      <c r="C276" s="318" t="s">
        <v>9522</v>
      </c>
      <c r="D276" s="357" t="s">
        <v>7972</v>
      </c>
      <c r="E276" s="318"/>
      <c r="F276" s="323"/>
      <c r="G276" s="357" t="s">
        <v>7972</v>
      </c>
      <c r="H276" s="323" t="s">
        <v>9523</v>
      </c>
      <c r="I276" s="318" t="s">
        <v>9524</v>
      </c>
      <c r="J276" s="322"/>
      <c r="K276" s="321"/>
      <c r="L276" s="322"/>
      <c r="M276" s="321"/>
      <c r="N276" s="330"/>
      <c r="AE276" s="360"/>
    </row>
    <row r="277" spans="8:8">
      <c r="A277" s="330"/>
      <c r="B277" s="318" t="s">
        <v>9525</v>
      </c>
      <c r="C277" s="323" t="s">
        <v>8920</v>
      </c>
      <c r="D277" s="357" t="s">
        <v>7972</v>
      </c>
      <c r="E277" s="323"/>
      <c r="F277" s="318"/>
      <c r="G277" s="357" t="s">
        <v>7972</v>
      </c>
      <c r="H277" s="318" t="s">
        <v>9526</v>
      </c>
      <c r="I277" s="323" t="s">
        <v>9527</v>
      </c>
      <c r="J277" s="321"/>
      <c r="K277" s="322"/>
      <c r="L277" s="321"/>
      <c r="M277" s="322"/>
      <c r="N277" s="330"/>
      <c r="AE277" s="360"/>
    </row>
    <row r="278" spans="8:8">
      <c r="A278" s="330"/>
      <c r="B278" s="323" t="s">
        <v>9528</v>
      </c>
      <c r="C278" s="318" t="s">
        <v>9529</v>
      </c>
      <c r="D278" s="357" t="s">
        <v>7972</v>
      </c>
      <c r="E278" s="318"/>
      <c r="F278" s="323"/>
      <c r="G278" s="357" t="s">
        <v>7972</v>
      </c>
      <c r="H278" s="323" t="s">
        <v>9530</v>
      </c>
      <c r="I278" s="318" t="s">
        <v>9531</v>
      </c>
      <c r="J278" s="322"/>
      <c r="K278" s="321"/>
      <c r="L278" s="322"/>
      <c r="M278" s="321"/>
      <c r="N278" s="330"/>
      <c r="AE278" s="360"/>
    </row>
    <row r="279" spans="8:8">
      <c r="A279" s="330"/>
      <c r="B279" s="318" t="s">
        <v>9532</v>
      </c>
      <c r="C279" s="323" t="s">
        <v>9533</v>
      </c>
      <c r="D279" s="357" t="s">
        <v>7972</v>
      </c>
      <c r="E279" s="323"/>
      <c r="F279" s="318"/>
      <c r="G279" s="357" t="s">
        <v>7972</v>
      </c>
      <c r="H279" s="318" t="s">
        <v>9534</v>
      </c>
      <c r="I279" s="323" t="s">
        <v>9535</v>
      </c>
      <c r="J279" s="321"/>
      <c r="K279" s="322"/>
      <c r="L279" s="321"/>
      <c r="M279" s="322"/>
      <c r="N279" s="330"/>
      <c r="AE279" s="360"/>
    </row>
    <row r="280" spans="8:8">
      <c r="A280" s="330"/>
      <c r="B280" s="323" t="s">
        <v>9536</v>
      </c>
      <c r="C280" s="318" t="s">
        <v>8444</v>
      </c>
      <c r="D280" s="357" t="s">
        <v>7972</v>
      </c>
      <c r="E280" s="318"/>
      <c r="F280" s="323"/>
      <c r="G280" s="357" t="s">
        <v>7972</v>
      </c>
      <c r="H280" s="323" t="s">
        <v>9537</v>
      </c>
      <c r="I280" s="318" t="s">
        <v>9538</v>
      </c>
      <c r="J280" s="322"/>
      <c r="K280" s="321"/>
      <c r="L280" s="322"/>
      <c r="M280" s="321"/>
      <c r="N280" s="330"/>
      <c r="AE280" s="360"/>
    </row>
    <row r="281" spans="8:8">
      <c r="A281" s="330"/>
      <c r="B281" s="318" t="s">
        <v>9539</v>
      </c>
      <c r="C281" s="323" t="s">
        <v>9540</v>
      </c>
      <c r="D281" s="357" t="s">
        <v>7972</v>
      </c>
      <c r="E281" s="323"/>
      <c r="F281" s="318"/>
      <c r="G281" s="357" t="s">
        <v>7972</v>
      </c>
      <c r="H281" s="318" t="s">
        <v>9541</v>
      </c>
      <c r="I281" s="323" t="s">
        <v>9542</v>
      </c>
      <c r="J281" s="321"/>
      <c r="K281" s="322"/>
      <c r="L281" s="321"/>
      <c r="M281" s="322"/>
      <c r="N281" s="330"/>
      <c r="AE281" s="360"/>
    </row>
    <row r="282" spans="8:8">
      <c r="A282" s="330"/>
      <c r="B282" s="323" t="s">
        <v>9543</v>
      </c>
      <c r="C282" s="318" t="s">
        <v>9544</v>
      </c>
      <c r="D282" s="357" t="s">
        <v>7972</v>
      </c>
      <c r="E282" s="318"/>
      <c r="F282" s="323"/>
      <c r="G282" s="357" t="s">
        <v>7972</v>
      </c>
      <c r="H282" s="323" t="s">
        <v>9545</v>
      </c>
      <c r="I282" s="318" t="s">
        <v>9546</v>
      </c>
      <c r="J282" s="322"/>
      <c r="K282" s="321"/>
      <c r="L282" s="322"/>
      <c r="M282" s="321"/>
      <c r="N282" s="330"/>
      <c r="AE282" s="360"/>
    </row>
    <row r="283" spans="8:8">
      <c r="A283" s="330"/>
      <c r="B283" s="318" t="s">
        <v>9547</v>
      </c>
      <c r="C283" s="323" t="s">
        <v>9548</v>
      </c>
      <c r="D283" s="357" t="s">
        <v>7972</v>
      </c>
      <c r="E283" s="323"/>
      <c r="F283" s="318"/>
      <c r="G283" s="357" t="s">
        <v>7972</v>
      </c>
      <c r="H283" s="318" t="s">
        <v>9549</v>
      </c>
      <c r="I283" s="323" t="s">
        <v>9550</v>
      </c>
      <c r="J283" s="321"/>
      <c r="K283" s="322"/>
      <c r="L283" s="321"/>
      <c r="M283" s="322"/>
      <c r="N283" s="330"/>
      <c r="AE283" s="360"/>
    </row>
    <row r="284" spans="8:8">
      <c r="A284" s="330"/>
      <c r="B284" s="323" t="s">
        <v>9551</v>
      </c>
      <c r="C284" s="318" t="s">
        <v>9552</v>
      </c>
      <c r="D284" s="357" t="s">
        <v>7972</v>
      </c>
      <c r="E284" s="318"/>
      <c r="F284" s="323"/>
      <c r="G284" s="357" t="s">
        <v>7972</v>
      </c>
      <c r="H284" s="323" t="s">
        <v>9553</v>
      </c>
      <c r="I284" s="318" t="s">
        <v>9554</v>
      </c>
      <c r="J284" s="322"/>
      <c r="K284" s="321"/>
      <c r="L284" s="322"/>
      <c r="M284" s="321"/>
      <c r="N284" s="330"/>
      <c r="AE284" s="360"/>
    </row>
    <row r="285" spans="8:8">
      <c r="A285" s="330"/>
      <c r="B285" s="318" t="s">
        <v>9555</v>
      </c>
      <c r="C285" s="323" t="s">
        <v>9556</v>
      </c>
      <c r="D285" s="357" t="s">
        <v>7972</v>
      </c>
      <c r="E285" s="323"/>
      <c r="F285" s="318"/>
      <c r="G285" s="357" t="s">
        <v>7972</v>
      </c>
      <c r="H285" s="318" t="s">
        <v>9557</v>
      </c>
      <c r="I285" s="323" t="s">
        <v>9558</v>
      </c>
      <c r="J285" s="321"/>
      <c r="K285" s="322"/>
      <c r="L285" s="321"/>
      <c r="M285" s="322"/>
      <c r="N285" s="330"/>
      <c r="AE285" s="360"/>
    </row>
    <row r="286" spans="8:8">
      <c r="A286" s="330"/>
      <c r="B286" s="323" t="s">
        <v>9559</v>
      </c>
      <c r="C286" s="318" t="s">
        <v>9560</v>
      </c>
      <c r="D286" s="357" t="s">
        <v>7972</v>
      </c>
      <c r="E286" s="318"/>
      <c r="F286" s="323"/>
      <c r="G286" s="357" t="s">
        <v>7972</v>
      </c>
      <c r="H286" s="323" t="s">
        <v>9561</v>
      </c>
      <c r="I286" s="318" t="s">
        <v>9562</v>
      </c>
      <c r="J286" s="322"/>
      <c r="K286" s="321"/>
      <c r="L286" s="322"/>
      <c r="M286" s="321"/>
      <c r="N286" s="330"/>
      <c r="AE286" s="360"/>
    </row>
    <row r="287" spans="8:8">
      <c r="A287" s="330"/>
      <c r="B287" s="318" t="s">
        <v>9563</v>
      </c>
      <c r="C287" s="323" t="s">
        <v>8758</v>
      </c>
      <c r="D287" s="357" t="s">
        <v>7972</v>
      </c>
      <c r="E287" s="323"/>
      <c r="F287" s="318"/>
      <c r="G287" s="357" t="s">
        <v>7972</v>
      </c>
      <c r="H287" s="318" t="s">
        <v>9564</v>
      </c>
      <c r="I287" s="323" t="s">
        <v>9565</v>
      </c>
      <c r="J287" s="321"/>
      <c r="K287" s="322"/>
      <c r="L287" s="321"/>
      <c r="M287" s="322"/>
      <c r="N287" s="330"/>
      <c r="AE287" s="360"/>
    </row>
    <row r="288" spans="8:8">
      <c r="A288" s="330"/>
      <c r="B288" s="323" t="s">
        <v>9566</v>
      </c>
      <c r="C288" s="318" t="s">
        <v>8498</v>
      </c>
      <c r="D288" s="357" t="s">
        <v>7972</v>
      </c>
      <c r="E288" s="318"/>
      <c r="F288" s="323"/>
      <c r="G288" s="357" t="s">
        <v>7972</v>
      </c>
      <c r="H288" s="323" t="s">
        <v>9567</v>
      </c>
      <c r="I288" s="318" t="s">
        <v>9568</v>
      </c>
      <c r="J288" s="322"/>
      <c r="K288" s="321"/>
      <c r="L288" s="322"/>
      <c r="M288" s="321"/>
      <c r="N288" s="330"/>
      <c r="AE288" s="360"/>
    </row>
    <row r="289" spans="8:8">
      <c r="A289" s="330"/>
      <c r="B289" s="318" t="s">
        <v>9569</v>
      </c>
      <c r="C289" s="323" t="s">
        <v>9570</v>
      </c>
      <c r="D289" s="357" t="s">
        <v>7972</v>
      </c>
      <c r="E289" s="323"/>
      <c r="F289" s="318"/>
      <c r="G289" s="357" t="s">
        <v>7972</v>
      </c>
      <c r="H289" s="318" t="s">
        <v>9571</v>
      </c>
      <c r="I289" s="323" t="s">
        <v>9572</v>
      </c>
      <c r="J289" s="321"/>
      <c r="K289" s="322"/>
      <c r="L289" s="321"/>
      <c r="M289" s="322"/>
      <c r="N289" s="330"/>
      <c r="AE289" s="360"/>
    </row>
    <row r="290" spans="8:8">
      <c r="A290" s="330"/>
      <c r="B290" s="323" t="s">
        <v>9573</v>
      </c>
      <c r="C290" s="318" t="s">
        <v>9574</v>
      </c>
      <c r="D290" s="357" t="s">
        <v>7972</v>
      </c>
      <c r="E290" s="318"/>
      <c r="F290" s="323"/>
      <c r="G290" s="357" t="s">
        <v>7972</v>
      </c>
      <c r="H290" s="323" t="s">
        <v>9575</v>
      </c>
      <c r="I290" s="318" t="s">
        <v>9576</v>
      </c>
      <c r="J290" s="322"/>
      <c r="K290" s="321"/>
      <c r="L290" s="322"/>
      <c r="M290" s="321"/>
      <c r="N290" s="330"/>
      <c r="AE290" s="360"/>
    </row>
    <row r="291" spans="8:8">
      <c r="A291" s="330"/>
      <c r="B291" s="318" t="s">
        <v>9577</v>
      </c>
      <c r="C291" s="323" t="s">
        <v>8782</v>
      </c>
      <c r="D291" s="357" t="s">
        <v>7972</v>
      </c>
      <c r="E291" s="323"/>
      <c r="F291" s="318"/>
      <c r="G291" s="357" t="s">
        <v>7972</v>
      </c>
      <c r="H291" s="318" t="s">
        <v>9578</v>
      </c>
      <c r="I291" s="323" t="s">
        <v>9579</v>
      </c>
      <c r="J291" s="321"/>
      <c r="K291" s="322"/>
      <c r="L291" s="321"/>
      <c r="M291" s="322"/>
      <c r="N291" s="330"/>
      <c r="AE291" s="360"/>
    </row>
    <row r="292" spans="8:8">
      <c r="A292" s="330"/>
      <c r="B292" s="323" t="s">
        <v>9580</v>
      </c>
      <c r="C292" s="318" t="s">
        <v>8518</v>
      </c>
      <c r="D292" s="357" t="s">
        <v>7972</v>
      </c>
      <c r="E292" s="318"/>
      <c r="F292" s="323"/>
      <c r="G292" s="357" t="s">
        <v>7972</v>
      </c>
      <c r="H292" s="323" t="s">
        <v>9581</v>
      </c>
      <c r="I292" s="318" t="s">
        <v>9582</v>
      </c>
      <c r="J292" s="322"/>
      <c r="K292" s="321"/>
      <c r="L292" s="322"/>
      <c r="M292" s="321"/>
      <c r="N292" s="330"/>
      <c r="AE292" s="360"/>
    </row>
    <row r="293" spans="8:8">
      <c r="A293" s="330"/>
      <c r="B293" s="318" t="s">
        <v>9583</v>
      </c>
      <c r="C293" s="323" t="s">
        <v>8924</v>
      </c>
      <c r="D293" s="357" t="s">
        <v>7972</v>
      </c>
      <c r="E293" s="323"/>
      <c r="F293" s="318"/>
      <c r="G293" s="357" t="s">
        <v>7972</v>
      </c>
      <c r="H293" s="318" t="s">
        <v>9584</v>
      </c>
      <c r="I293" s="323" t="s">
        <v>9585</v>
      </c>
      <c r="J293" s="321"/>
      <c r="K293" s="322"/>
      <c r="L293" s="321"/>
      <c r="M293" s="322"/>
      <c r="N293" s="330"/>
      <c r="AE293" s="360"/>
    </row>
    <row r="294" spans="8:8">
      <c r="A294" s="330"/>
      <c r="B294" s="323" t="s">
        <v>9586</v>
      </c>
      <c r="C294" s="318" t="s">
        <v>9587</v>
      </c>
      <c r="D294" s="357" t="s">
        <v>7972</v>
      </c>
      <c r="E294" s="318"/>
      <c r="F294" s="323"/>
      <c r="G294" s="357" t="s">
        <v>7972</v>
      </c>
      <c r="H294" s="323" t="s">
        <v>9588</v>
      </c>
      <c r="I294" s="318" t="s">
        <v>9589</v>
      </c>
      <c r="J294" s="322"/>
      <c r="K294" s="321"/>
      <c r="L294" s="322"/>
      <c r="M294" s="321"/>
      <c r="N294" s="330"/>
      <c r="AE294" s="360"/>
    </row>
    <row r="295" spans="8:8">
      <c r="A295" s="330"/>
      <c r="B295" s="318" t="s">
        <v>9590</v>
      </c>
      <c r="C295" s="323" t="s">
        <v>8798</v>
      </c>
      <c r="D295" s="357" t="s">
        <v>7972</v>
      </c>
      <c r="E295" s="323"/>
      <c r="F295" s="318"/>
      <c r="G295" s="357" t="s">
        <v>7972</v>
      </c>
      <c r="H295" s="318" t="s">
        <v>9591</v>
      </c>
      <c r="I295" s="323" t="s">
        <v>9592</v>
      </c>
      <c r="J295" s="321"/>
      <c r="K295" s="322"/>
      <c r="L295" s="321"/>
      <c r="M295" s="322"/>
      <c r="N295" s="330"/>
      <c r="AE295" s="360"/>
    </row>
    <row r="296" spans="8:8">
      <c r="A296" s="330"/>
      <c r="B296" s="323" t="s">
        <v>9593</v>
      </c>
      <c r="C296" s="318" t="s">
        <v>9594</v>
      </c>
      <c r="D296" s="357" t="s">
        <v>7972</v>
      </c>
      <c r="E296" s="318"/>
      <c r="F296" s="323"/>
      <c r="G296" s="357" t="s">
        <v>7972</v>
      </c>
      <c r="H296" s="323" t="s">
        <v>9178</v>
      </c>
      <c r="I296" s="318" t="s">
        <v>9595</v>
      </c>
      <c r="J296" s="322"/>
      <c r="K296" s="321"/>
      <c r="L296" s="322"/>
      <c r="M296" s="321"/>
      <c r="N296" s="330"/>
      <c r="AE296" s="360"/>
    </row>
    <row r="297" spans="8:8">
      <c r="A297" s="330"/>
      <c r="B297" s="351"/>
      <c r="C297" s="352"/>
      <c r="D297" s="351"/>
      <c r="E297" s="352"/>
      <c r="F297" s="351"/>
      <c r="G297" s="352"/>
      <c r="H297" s="351"/>
      <c r="I297" s="352"/>
      <c r="J297" s="351"/>
      <c r="K297" s="352"/>
      <c r="L297" s="351"/>
      <c r="M297" s="352"/>
      <c r="N297" s="330"/>
      <c r="AE297" s="360"/>
    </row>
    <row r="298" spans="8:8">
      <c r="A298" s="330"/>
      <c r="B298" s="330"/>
      <c r="C298" s="330"/>
      <c r="D298" s="330"/>
      <c r="E298" s="330"/>
      <c r="F298" s="330"/>
      <c r="G298" s="330"/>
      <c r="H298" s="330"/>
      <c r="I298" s="330"/>
      <c r="J298" s="330"/>
      <c r="K298" s="330"/>
      <c r="L298" s="330"/>
      <c r="M298" s="330"/>
      <c r="N298" s="330"/>
      <c r="AE298" s="360"/>
    </row>
    <row r="299" spans="8:8">
      <c r="AE299" s="360"/>
      <c r="AF299" s="361"/>
    </row>
    <row r="300" spans="8:8">
      <c r="AE300" s="360"/>
      <c r="AF300" s="362"/>
    </row>
    <row r="301" spans="8:8">
      <c r="AC301" s="361"/>
      <c r="AE301" s="360"/>
      <c r="AF301" s="362"/>
      <c r="AG301" s="361"/>
      <c r="AH301" s="361"/>
      <c r="AI301" s="361"/>
      <c r="AJ301" s="361"/>
      <c r="AK301" s="361"/>
      <c r="AL301" s="361"/>
      <c r="AM301" s="361"/>
      <c r="AN301" s="361"/>
      <c r="AO301" s="361"/>
      <c r="AP301" s="361"/>
    </row>
    <row r="302" spans="8:8" ht="38.85">
      <c r="AC302" s="361"/>
      <c r="AE302" s="360"/>
      <c r="AF302" s="362"/>
      <c r="AG302" s="362" t="s">
        <v>4869</v>
      </c>
      <c r="AH302" s="362"/>
      <c r="AI302" s="363" t="s">
        <v>9596</v>
      </c>
      <c r="AJ302" s="362"/>
      <c r="AK302" s="362"/>
      <c r="AL302" s="362" t="s">
        <v>9597</v>
      </c>
      <c r="AM302" s="362"/>
      <c r="AN302" s="362"/>
      <c r="AO302" s="362" t="s">
        <v>9598</v>
      </c>
      <c r="AP302" s="361"/>
    </row>
    <row r="303" spans="8:8" ht="38.85">
      <c r="AC303" s="361"/>
      <c r="AE303" s="360"/>
      <c r="AF303" s="362"/>
      <c r="AG303" s="362" t="s">
        <v>4871</v>
      </c>
      <c r="AH303" s="362"/>
      <c r="AI303" s="363" t="s">
        <v>9599</v>
      </c>
      <c r="AJ303" s="362"/>
      <c r="AK303" s="362"/>
      <c r="AL303" s="362" t="s">
        <v>9600</v>
      </c>
      <c r="AM303" s="362"/>
      <c r="AN303" s="362"/>
      <c r="AO303" s="362" t="s">
        <v>9601</v>
      </c>
      <c r="AP303" s="361"/>
    </row>
    <row r="304" spans="8:8" ht="60.0">
      <c r="AC304" s="361"/>
      <c r="AE304" s="360"/>
      <c r="AF304" s="362"/>
      <c r="AG304" s="362" t="s">
        <v>4873</v>
      </c>
      <c r="AH304" s="362"/>
      <c r="AI304" s="363" t="s">
        <v>9602</v>
      </c>
      <c r="AJ304" s="362"/>
      <c r="AK304" s="362"/>
      <c r="AL304" s="362" t="s">
        <v>9603</v>
      </c>
      <c r="AM304" s="362"/>
      <c r="AN304" s="362"/>
      <c r="AO304" s="362" t="s">
        <v>9604</v>
      </c>
      <c r="AP304" s="361"/>
    </row>
    <row r="305" spans="8:8" ht="25.9">
      <c r="AC305" s="361"/>
      <c r="AE305" s="360"/>
      <c r="AF305" s="362"/>
      <c r="AG305" s="362" t="s">
        <v>4875</v>
      </c>
      <c r="AH305" s="362"/>
      <c r="AI305" s="363" t="s">
        <v>9605</v>
      </c>
      <c r="AJ305" s="362"/>
      <c r="AK305" s="362"/>
      <c r="AL305" s="362" t="s">
        <v>9606</v>
      </c>
      <c r="AM305" s="362"/>
      <c r="AN305" s="362"/>
      <c r="AO305" s="362"/>
      <c r="AP305" s="361"/>
    </row>
    <row r="306" spans="8:8" ht="25.9">
      <c r="AC306" s="361"/>
      <c r="AE306" s="360"/>
      <c r="AF306" s="362"/>
      <c r="AG306" s="362" t="s">
        <v>4877</v>
      </c>
      <c r="AH306" s="362"/>
      <c r="AI306" s="363" t="s">
        <v>9607</v>
      </c>
      <c r="AJ306" s="362"/>
      <c r="AK306" s="362"/>
      <c r="AL306" s="362" t="s">
        <v>9608</v>
      </c>
      <c r="AM306" s="362"/>
      <c r="AN306" s="362"/>
      <c r="AO306" s="362"/>
      <c r="AP306" s="361"/>
    </row>
    <row r="307" spans="8:8" ht="25.9">
      <c r="AC307" s="361"/>
      <c r="AE307" s="360"/>
      <c r="AF307" s="362"/>
      <c r="AG307" s="362" t="s">
        <v>4879</v>
      </c>
      <c r="AH307" s="362"/>
      <c r="AI307" s="363" t="s">
        <v>9610</v>
      </c>
      <c r="AJ307" s="362"/>
      <c r="AK307" s="362"/>
      <c r="AL307" s="362" t="s">
        <v>9611</v>
      </c>
      <c r="AM307" s="362"/>
      <c r="AN307" s="362"/>
      <c r="AO307" s="362"/>
      <c r="AP307" s="361"/>
    </row>
    <row r="308" spans="8:8" ht="25.9">
      <c r="AC308" s="361"/>
      <c r="AE308" s="360"/>
      <c r="AF308" s="362"/>
      <c r="AG308" s="362" t="s">
        <v>4881</v>
      </c>
      <c r="AH308" s="362"/>
      <c r="AI308" s="363" t="s">
        <v>9612</v>
      </c>
      <c r="AJ308" s="362"/>
      <c r="AK308" s="362"/>
      <c r="AL308" s="364" t="s">
        <v>9613</v>
      </c>
      <c r="AM308" s="362"/>
      <c r="AN308" s="362"/>
      <c r="AO308" s="362"/>
      <c r="AP308" s="361"/>
    </row>
    <row r="309" spans="8:8" ht="24.0">
      <c r="AC309" s="361"/>
      <c r="AE309" s="360"/>
      <c r="AF309" s="362"/>
      <c r="AG309" s="362" t="s">
        <v>4883</v>
      </c>
      <c r="AH309" s="362"/>
      <c r="AI309" s="363" t="s">
        <v>9614</v>
      </c>
      <c r="AJ309" s="362"/>
      <c r="AK309" s="362"/>
      <c r="AL309" s="364" t="s">
        <v>9615</v>
      </c>
      <c r="AM309" s="364"/>
      <c r="AN309" s="362"/>
      <c r="AO309" s="362"/>
      <c r="AP309" s="361"/>
    </row>
    <row r="310" spans="8:8">
      <c r="AC310" s="361"/>
      <c r="AE310" s="360"/>
      <c r="AF310" s="362"/>
      <c r="AG310" s="362" t="s">
        <v>4885</v>
      </c>
      <c r="AH310" s="362"/>
      <c r="AI310" s="363" t="s">
        <v>9616</v>
      </c>
      <c r="AJ310" s="362"/>
      <c r="AK310" s="362"/>
      <c r="AL310" s="364" t="s">
        <v>9617</v>
      </c>
      <c r="AM310" s="364"/>
      <c r="AN310" s="362"/>
      <c r="AO310" s="362"/>
      <c r="AP310" s="361"/>
    </row>
    <row r="311" spans="8:8" ht="25.9">
      <c r="AC311" s="361"/>
      <c r="AE311" s="360"/>
      <c r="AF311" s="362"/>
      <c r="AG311" s="362" t="s">
        <v>4887</v>
      </c>
      <c r="AH311" s="362"/>
      <c r="AI311" s="363" t="s">
        <v>9618</v>
      </c>
      <c r="AJ311" s="362"/>
      <c r="AK311" s="362"/>
      <c r="AL311" s="364" t="s">
        <v>9619</v>
      </c>
      <c r="AM311" s="364"/>
      <c r="AN311" s="362"/>
      <c r="AO311" s="362"/>
      <c r="AP311" s="361"/>
    </row>
    <row r="312" spans="8:8" ht="51.65">
      <c r="AC312" s="361"/>
      <c r="AE312" s="360"/>
      <c r="AF312" s="362"/>
      <c r="AG312" s="362" t="s">
        <v>4889</v>
      </c>
      <c r="AH312" s="362"/>
      <c r="AI312" s="363" t="s">
        <v>9620</v>
      </c>
      <c r="AJ312" s="362"/>
      <c r="AK312" s="362"/>
      <c r="AL312" s="364" t="s">
        <v>9621</v>
      </c>
      <c r="AM312" s="364"/>
      <c r="AN312" s="362"/>
      <c r="AO312" s="362"/>
      <c r="AP312" s="361"/>
    </row>
    <row r="313" spans="8:8" ht="51.65">
      <c r="AC313" s="361"/>
      <c r="AE313" s="360"/>
      <c r="AF313" s="362"/>
      <c r="AG313" s="362" t="s">
        <v>4891</v>
      </c>
      <c r="AH313" s="362"/>
      <c r="AI313" s="363" t="s">
        <v>9623</v>
      </c>
      <c r="AJ313" s="362"/>
      <c r="AK313" s="362"/>
      <c r="AL313" s="364" t="s">
        <v>9624</v>
      </c>
      <c r="AM313" s="364"/>
      <c r="AN313" s="362"/>
      <c r="AO313" s="362"/>
      <c r="AP313" s="361"/>
    </row>
    <row r="314" spans="8:8" ht="51.65">
      <c r="AC314" s="361"/>
      <c r="AE314" s="360"/>
      <c r="AF314" s="362"/>
      <c r="AG314" s="362" t="s">
        <v>4893</v>
      </c>
      <c r="AH314" s="362"/>
      <c r="AI314" s="363" t="s">
        <v>9626</v>
      </c>
      <c r="AJ314" s="362"/>
      <c r="AK314" s="362"/>
      <c r="AL314" s="364" t="s">
        <v>9627</v>
      </c>
      <c r="AM314" s="364"/>
      <c r="AN314" s="362"/>
      <c r="AO314" s="362"/>
      <c r="AP314" s="361"/>
    </row>
    <row r="315" spans="8:8" ht="51.65">
      <c r="AC315" s="361"/>
      <c r="AE315" s="360"/>
      <c r="AF315" s="362"/>
      <c r="AG315" s="362" t="s">
        <v>4895</v>
      </c>
      <c r="AH315" s="362"/>
      <c r="AI315" s="363" t="s">
        <v>9597</v>
      </c>
      <c r="AJ315" s="362"/>
      <c r="AK315" s="362"/>
      <c r="AL315" s="364" t="s">
        <v>9629</v>
      </c>
      <c r="AM315" s="364"/>
      <c r="AN315" s="362"/>
      <c r="AO315" s="362"/>
      <c r="AP315" s="361"/>
    </row>
    <row r="316" spans="8:8" ht="51.65">
      <c r="AC316" s="361"/>
      <c r="AE316" s="360"/>
      <c r="AF316" s="362"/>
      <c r="AG316" s="362"/>
      <c r="AH316" s="362"/>
      <c r="AI316" s="363" t="s">
        <v>9631</v>
      </c>
      <c r="AJ316" s="362"/>
      <c r="AK316" s="362"/>
      <c r="AL316" s="364" t="s">
        <v>9632</v>
      </c>
      <c r="AM316" s="364"/>
      <c r="AN316" s="362"/>
      <c r="AO316" s="362"/>
      <c r="AP316" s="361"/>
    </row>
    <row r="317" spans="8:8" ht="51.65">
      <c r="AC317" s="361"/>
      <c r="AE317" s="360"/>
      <c r="AF317" s="362"/>
      <c r="AG317" s="362"/>
      <c r="AH317" s="362"/>
      <c r="AI317" s="363" t="s">
        <v>9634</v>
      </c>
      <c r="AJ317" s="362"/>
      <c r="AK317" s="362"/>
      <c r="AL317" s="364" t="s">
        <v>9635</v>
      </c>
      <c r="AM317" s="364"/>
      <c r="AN317" s="362"/>
      <c r="AO317" s="362"/>
      <c r="AP317" s="361"/>
    </row>
    <row r="318" spans="8:8" ht="51.65">
      <c r="AC318" s="361"/>
      <c r="AE318" s="360"/>
      <c r="AF318" s="362"/>
      <c r="AG318" s="362"/>
      <c r="AH318" s="362"/>
      <c r="AI318" s="363" t="s">
        <v>9636</v>
      </c>
      <c r="AJ318" s="362"/>
      <c r="AK318" s="362"/>
      <c r="AL318" s="364" t="s">
        <v>9637</v>
      </c>
      <c r="AM318" s="364"/>
      <c r="AN318" s="362"/>
      <c r="AO318" s="362"/>
      <c r="AP318" s="361"/>
    </row>
    <row r="319" spans="8:8" ht="51.65">
      <c r="AC319" s="361"/>
      <c r="AE319" s="360"/>
      <c r="AF319" s="362"/>
      <c r="AG319" s="362"/>
      <c r="AH319" s="362"/>
      <c r="AI319" s="363" t="s">
        <v>9638</v>
      </c>
      <c r="AJ319" s="362"/>
      <c r="AK319" s="362"/>
      <c r="AL319" s="364" t="s">
        <v>9639</v>
      </c>
      <c r="AM319" s="364"/>
      <c r="AN319" s="362"/>
      <c r="AO319" s="362"/>
      <c r="AP319" s="361"/>
    </row>
    <row r="320" spans="8:8" ht="51.65">
      <c r="AC320" s="361"/>
      <c r="AE320" s="360"/>
      <c r="AF320" s="362"/>
      <c r="AG320" s="362"/>
      <c r="AH320" s="362"/>
      <c r="AI320" s="363" t="s">
        <v>9641</v>
      </c>
      <c r="AJ320" s="362"/>
      <c r="AK320" s="362"/>
      <c r="AL320" s="364" t="s">
        <v>9642</v>
      </c>
      <c r="AM320" s="364"/>
      <c r="AN320" s="362"/>
      <c r="AO320" s="362"/>
      <c r="AP320" s="361"/>
    </row>
    <row r="321" spans="8:8" ht="51.65">
      <c r="AC321" s="361"/>
      <c r="AE321" s="360"/>
      <c r="AF321" s="362"/>
      <c r="AG321" s="362"/>
      <c r="AH321" s="362"/>
      <c r="AI321" s="363" t="s">
        <v>9643</v>
      </c>
      <c r="AJ321" s="362"/>
      <c r="AK321" s="362"/>
      <c r="AL321" s="364" t="s">
        <v>9644</v>
      </c>
      <c r="AM321" s="364"/>
      <c r="AN321" s="362"/>
      <c r="AO321" s="362"/>
      <c r="AP321" s="361"/>
    </row>
    <row r="322" spans="8:8" ht="51.65">
      <c r="AC322" s="361"/>
      <c r="AE322" s="360"/>
      <c r="AF322" s="362"/>
      <c r="AG322" s="362"/>
      <c r="AH322" s="362"/>
      <c r="AI322" s="363" t="s">
        <v>9645</v>
      </c>
      <c r="AJ322" s="362"/>
      <c r="AK322" s="362"/>
      <c r="AL322" s="364" t="s">
        <v>9646</v>
      </c>
      <c r="AM322" s="364"/>
      <c r="AN322" s="362"/>
      <c r="AO322" s="362"/>
      <c r="AP322" s="361"/>
    </row>
    <row r="323" spans="8:8" ht="51.65">
      <c r="AC323" s="361"/>
      <c r="AE323" s="359"/>
      <c r="AF323" s="362"/>
      <c r="AG323" s="362"/>
      <c r="AH323" s="362"/>
      <c r="AI323" s="363" t="s">
        <v>9647</v>
      </c>
      <c r="AJ323" s="362"/>
      <c r="AK323" s="362"/>
      <c r="AL323" s="364" t="s">
        <v>9648</v>
      </c>
      <c r="AM323" s="364"/>
      <c r="AN323" s="362"/>
      <c r="AO323" s="362"/>
      <c r="AP323" s="361"/>
    </row>
    <row r="324" spans="8:8" ht="51.65">
      <c r="AC324" s="361"/>
      <c r="AE324" s="359"/>
      <c r="AF324" s="362"/>
      <c r="AG324" s="362"/>
      <c r="AH324" s="362"/>
      <c r="AI324" s="363" t="s">
        <v>9649</v>
      </c>
      <c r="AJ324" s="362"/>
      <c r="AK324" s="362"/>
      <c r="AL324" s="364" t="s">
        <v>9650</v>
      </c>
      <c r="AM324" s="364"/>
      <c r="AN324" s="362"/>
      <c r="AO324" s="362"/>
      <c r="AP324" s="361"/>
    </row>
    <row r="325" spans="8:8" ht="51.65">
      <c r="AC325" s="361"/>
      <c r="AE325" s="359"/>
      <c r="AF325" s="362"/>
      <c r="AG325" s="362"/>
      <c r="AH325" s="362"/>
      <c r="AI325" s="363" t="s">
        <v>9651</v>
      </c>
      <c r="AJ325" s="362"/>
      <c r="AK325" s="362"/>
      <c r="AL325" s="364" t="s">
        <v>9652</v>
      </c>
      <c r="AM325" s="364"/>
      <c r="AN325" s="362"/>
      <c r="AO325" s="362"/>
      <c r="AP325" s="361"/>
    </row>
    <row r="326" spans="8:8" ht="51.65">
      <c r="AC326" s="361"/>
      <c r="AE326" s="359"/>
      <c r="AF326" s="362"/>
      <c r="AG326" s="362"/>
      <c r="AH326" s="362"/>
      <c r="AI326" s="363" t="s">
        <v>9653</v>
      </c>
      <c r="AJ326" s="362"/>
      <c r="AK326" s="362"/>
      <c r="AL326" s="364" t="s">
        <v>9654</v>
      </c>
      <c r="AM326" s="364"/>
      <c r="AN326" s="362"/>
      <c r="AO326" s="362"/>
      <c r="AP326" s="361"/>
    </row>
    <row r="327" spans="8:8" ht="51.65">
      <c r="AC327" s="361"/>
      <c r="AE327" s="359"/>
      <c r="AF327" s="362"/>
      <c r="AG327" s="362"/>
      <c r="AH327" s="362"/>
      <c r="AI327" s="363" t="s">
        <v>9656</v>
      </c>
      <c r="AJ327" s="362"/>
      <c r="AK327" s="362"/>
      <c r="AL327" s="364" t="s">
        <v>9657</v>
      </c>
      <c r="AM327" s="364"/>
      <c r="AN327" s="362"/>
      <c r="AO327" s="362"/>
      <c r="AP327" s="361"/>
    </row>
    <row r="328" spans="8:8" ht="51.65">
      <c r="AC328" s="361"/>
      <c r="AE328" s="359"/>
      <c r="AF328" s="362"/>
      <c r="AG328" s="362"/>
      <c r="AH328" s="362"/>
      <c r="AI328" s="363" t="s">
        <v>9658</v>
      </c>
      <c r="AJ328" s="362"/>
      <c r="AK328" s="362"/>
      <c r="AL328" s="364" t="s">
        <v>9659</v>
      </c>
      <c r="AM328" s="364"/>
      <c r="AN328" s="362"/>
      <c r="AO328" s="362"/>
      <c r="AP328" s="361"/>
    </row>
    <row r="329" spans="8:8" ht="51.65">
      <c r="AC329" s="361"/>
      <c r="AE329" s="359"/>
      <c r="AF329" s="362"/>
      <c r="AG329" s="362"/>
      <c r="AH329" s="362"/>
      <c r="AI329" s="363" t="s">
        <v>9660</v>
      </c>
      <c r="AJ329" s="362"/>
      <c r="AK329" s="362"/>
      <c r="AL329" s="364" t="s">
        <v>9661</v>
      </c>
      <c r="AM329" s="364"/>
      <c r="AN329" s="364"/>
      <c r="AO329" s="362"/>
      <c r="AP329" s="361"/>
    </row>
    <row r="330" spans="8:8" ht="51.65">
      <c r="AC330" s="361"/>
      <c r="AE330" s="359"/>
      <c r="AF330" s="362"/>
      <c r="AG330" s="362"/>
      <c r="AH330" s="362"/>
      <c r="AI330" s="363" t="s">
        <v>9662</v>
      </c>
      <c r="AJ330" s="362"/>
      <c r="AK330" s="362"/>
      <c r="AL330" s="364" t="s">
        <v>9663</v>
      </c>
      <c r="AM330" s="364"/>
      <c r="AN330" s="364"/>
      <c r="AO330" s="362"/>
      <c r="AP330" s="361"/>
    </row>
    <row r="331" spans="8:8" ht="51.65">
      <c r="AC331" s="361"/>
      <c r="AE331" s="359"/>
      <c r="AF331" s="362"/>
      <c r="AG331" s="362"/>
      <c r="AH331" s="362"/>
      <c r="AI331" s="363" t="s">
        <v>9664</v>
      </c>
      <c r="AJ331" s="362"/>
      <c r="AK331" s="362"/>
      <c r="AL331" s="364" t="s">
        <v>9665</v>
      </c>
      <c r="AM331" s="364"/>
      <c r="AN331" s="364"/>
      <c r="AO331" s="362"/>
      <c r="AP331" s="361"/>
    </row>
    <row r="332" spans="8:8" ht="51.65">
      <c r="AC332" s="361"/>
      <c r="AE332" s="359"/>
      <c r="AF332" s="362"/>
      <c r="AG332" s="362"/>
      <c r="AH332" s="362"/>
      <c r="AI332" s="363" t="s">
        <v>9666</v>
      </c>
      <c r="AJ332" s="362"/>
      <c r="AK332" s="362"/>
      <c r="AL332" s="364" t="s">
        <v>8579</v>
      </c>
      <c r="AM332" s="364"/>
      <c r="AN332" s="364"/>
      <c r="AO332" s="362"/>
      <c r="AP332" s="361"/>
    </row>
    <row r="333" spans="8:8" ht="51.65">
      <c r="AC333" s="361"/>
      <c r="AE333" s="359"/>
      <c r="AF333" s="362"/>
      <c r="AG333" s="362"/>
      <c r="AH333" s="362"/>
      <c r="AI333" s="363" t="s">
        <v>9667</v>
      </c>
      <c r="AJ333" s="362"/>
      <c r="AK333" s="362"/>
      <c r="AL333" s="364" t="s">
        <v>9668</v>
      </c>
      <c r="AM333" s="364"/>
      <c r="AN333" s="364"/>
      <c r="AO333" s="362"/>
      <c r="AP333" s="361"/>
    </row>
    <row r="334" spans="8:8" ht="51.65">
      <c r="AC334" s="361"/>
      <c r="AE334" s="359"/>
      <c r="AF334" s="362"/>
      <c r="AG334" s="362"/>
      <c r="AH334" s="362"/>
      <c r="AI334" s="363" t="s">
        <v>9669</v>
      </c>
      <c r="AJ334" s="362"/>
      <c r="AK334" s="362"/>
      <c r="AL334" s="364" t="s">
        <v>9670</v>
      </c>
      <c r="AM334" s="364"/>
      <c r="AN334" s="364"/>
      <c r="AO334" s="362"/>
      <c r="AP334" s="361"/>
    </row>
    <row r="335" spans="8:8" ht="51.65">
      <c r="AC335" s="361"/>
      <c r="AE335" s="359"/>
      <c r="AF335" s="362"/>
      <c r="AG335" s="362"/>
      <c r="AH335" s="362"/>
      <c r="AI335" s="363" t="s">
        <v>9671</v>
      </c>
      <c r="AJ335" s="362"/>
      <c r="AK335" s="362"/>
      <c r="AL335" s="364" t="s">
        <v>9672</v>
      </c>
      <c r="AM335" s="364"/>
      <c r="AN335" s="364"/>
      <c r="AO335" s="362"/>
      <c r="AP335" s="361"/>
    </row>
    <row r="336" spans="8:8" ht="51.65">
      <c r="AC336" s="361"/>
      <c r="AE336" s="359"/>
      <c r="AF336" s="362"/>
      <c r="AG336" s="362"/>
      <c r="AH336" s="362"/>
      <c r="AI336" s="363" t="s">
        <v>9673</v>
      </c>
      <c r="AJ336" s="362"/>
      <c r="AK336" s="362"/>
      <c r="AL336" s="364" t="s">
        <v>9674</v>
      </c>
      <c r="AM336" s="364"/>
      <c r="AN336" s="364"/>
      <c r="AO336" s="362"/>
      <c r="AP336" s="361"/>
    </row>
    <row r="337" spans="8:8" ht="51.65">
      <c r="AC337" s="361"/>
      <c r="AE337" s="359"/>
      <c r="AF337" s="362"/>
      <c r="AG337" s="362"/>
      <c r="AH337" s="362"/>
      <c r="AI337" s="363" t="s">
        <v>9675</v>
      </c>
      <c r="AJ337" s="362"/>
      <c r="AK337" s="362"/>
      <c r="AL337" s="364" t="s">
        <v>9676</v>
      </c>
      <c r="AM337" s="364"/>
      <c r="AN337" s="364"/>
      <c r="AO337" s="362"/>
      <c r="AP337" s="361"/>
    </row>
    <row r="338" spans="8:8" ht="51.65">
      <c r="AC338" s="361"/>
      <c r="AE338" s="359"/>
      <c r="AF338" s="362"/>
      <c r="AG338" s="362"/>
      <c r="AH338" s="362"/>
      <c r="AI338" s="363" t="s">
        <v>9677</v>
      </c>
      <c r="AJ338" s="362"/>
      <c r="AK338" s="362"/>
      <c r="AL338" s="364" t="s">
        <v>9678</v>
      </c>
      <c r="AM338" s="364"/>
      <c r="AN338" s="364"/>
      <c r="AO338" s="362"/>
      <c r="AP338" s="361"/>
    </row>
    <row r="339" spans="8:8" ht="51.65">
      <c r="AC339" s="361"/>
      <c r="AE339" s="359"/>
      <c r="AF339" s="362"/>
      <c r="AG339" s="362"/>
      <c r="AH339" s="362"/>
      <c r="AI339" s="363" t="s">
        <v>9679</v>
      </c>
      <c r="AJ339" s="362"/>
      <c r="AK339" s="362"/>
      <c r="AL339" s="364" t="s">
        <v>9680</v>
      </c>
      <c r="AM339" s="364"/>
      <c r="AN339" s="364"/>
      <c r="AO339" s="362"/>
      <c r="AP339" s="361"/>
    </row>
    <row r="340" spans="8:8" ht="51.65">
      <c r="AC340" s="361"/>
      <c r="AE340" s="359"/>
      <c r="AF340" s="362"/>
      <c r="AG340" s="362"/>
      <c r="AH340" s="362"/>
      <c r="AI340" s="363" t="s">
        <v>9681</v>
      </c>
      <c r="AJ340" s="362"/>
      <c r="AK340" s="362"/>
      <c r="AL340" s="364" t="s">
        <v>9682</v>
      </c>
      <c r="AM340" s="364"/>
      <c r="AN340" s="364"/>
      <c r="AO340" s="362"/>
      <c r="AP340" s="361"/>
    </row>
    <row r="341" spans="8:8" ht="51.65">
      <c r="AC341" s="361"/>
      <c r="AE341" s="359"/>
      <c r="AF341" s="362"/>
      <c r="AG341" s="362"/>
      <c r="AH341" s="362"/>
      <c r="AI341" s="363" t="s">
        <v>9683</v>
      </c>
      <c r="AJ341" s="362"/>
      <c r="AK341" s="362"/>
      <c r="AL341" s="364" t="s">
        <v>9684</v>
      </c>
      <c r="AM341" s="364"/>
      <c r="AN341" s="364"/>
      <c r="AO341" s="362"/>
      <c r="AP341" s="361"/>
    </row>
    <row r="342" spans="8:8" ht="51.65">
      <c r="AC342" s="361"/>
      <c r="AE342" s="359"/>
      <c r="AF342" s="362"/>
      <c r="AG342" s="362"/>
      <c r="AH342" s="362"/>
      <c r="AI342" s="363" t="s">
        <v>9685</v>
      </c>
      <c r="AJ342" s="362"/>
      <c r="AK342" s="362"/>
      <c r="AL342" s="364" t="s">
        <v>9686</v>
      </c>
      <c r="AM342" s="364"/>
      <c r="AN342" s="364"/>
      <c r="AO342" s="362"/>
      <c r="AP342" s="361"/>
    </row>
    <row r="343" spans="8:8" ht="51.65">
      <c r="AC343" s="361"/>
      <c r="AE343" s="359"/>
      <c r="AF343" s="362"/>
      <c r="AG343" s="362"/>
      <c r="AH343" s="362"/>
      <c r="AI343" s="363" t="s">
        <v>9687</v>
      </c>
      <c r="AJ343" s="362"/>
      <c r="AK343" s="362"/>
      <c r="AL343" s="364" t="s">
        <v>9688</v>
      </c>
      <c r="AM343" s="364"/>
      <c r="AN343" s="364"/>
      <c r="AO343" s="362"/>
      <c r="AP343" s="361"/>
    </row>
    <row r="344" spans="8:8" ht="51.65">
      <c r="AC344" s="361"/>
      <c r="AE344" s="359"/>
      <c r="AF344" s="362"/>
      <c r="AG344" s="362"/>
      <c r="AH344" s="362"/>
      <c r="AI344" s="363" t="s">
        <v>9689</v>
      </c>
      <c r="AJ344" s="362"/>
      <c r="AK344" s="362"/>
      <c r="AL344" s="364" t="s">
        <v>9690</v>
      </c>
      <c r="AM344" s="364"/>
      <c r="AN344" s="364"/>
      <c r="AO344" s="362"/>
      <c r="AP344" s="361"/>
    </row>
    <row r="345" spans="8:8" ht="51.65">
      <c r="AC345" s="361"/>
      <c r="AE345" s="359"/>
      <c r="AF345" s="362"/>
      <c r="AG345" s="362"/>
      <c r="AH345" s="362"/>
      <c r="AI345" s="363" t="s">
        <v>9691</v>
      </c>
      <c r="AJ345" s="362"/>
      <c r="AK345" s="362"/>
      <c r="AL345" s="364" t="s">
        <v>9692</v>
      </c>
      <c r="AM345" s="364"/>
      <c r="AN345" s="364"/>
      <c r="AO345" s="362"/>
      <c r="AP345" s="361"/>
    </row>
    <row r="346" spans="8:8" ht="51.65">
      <c r="AC346" s="361"/>
      <c r="AE346" s="359"/>
      <c r="AF346" s="362"/>
      <c r="AG346" s="362"/>
      <c r="AH346" s="362"/>
      <c r="AI346" s="363" t="s">
        <v>9693</v>
      </c>
      <c r="AJ346" s="362"/>
      <c r="AK346" s="362"/>
      <c r="AL346" s="364" t="s">
        <v>9694</v>
      </c>
      <c r="AM346" s="364"/>
      <c r="AN346" s="364"/>
      <c r="AO346" s="362"/>
      <c r="AP346" s="361"/>
    </row>
    <row r="347" spans="8:8" ht="51.65">
      <c r="AC347" s="361"/>
      <c r="AE347" s="359"/>
      <c r="AF347" s="362"/>
      <c r="AG347" s="362"/>
      <c r="AH347" s="362"/>
      <c r="AI347" s="363" t="s">
        <v>9695</v>
      </c>
      <c r="AJ347" s="362"/>
      <c r="AK347" s="362"/>
      <c r="AL347" s="364" t="s">
        <v>9696</v>
      </c>
      <c r="AM347" s="364"/>
      <c r="AN347" s="364"/>
      <c r="AO347" s="362"/>
      <c r="AP347" s="361"/>
    </row>
    <row r="348" spans="8:8" ht="51.65">
      <c r="AC348" s="361"/>
      <c r="AE348" s="359"/>
      <c r="AF348" s="362"/>
      <c r="AG348" s="362"/>
      <c r="AH348" s="362"/>
      <c r="AI348" s="363" t="s">
        <v>9697</v>
      </c>
      <c r="AJ348" s="362"/>
      <c r="AK348" s="362"/>
      <c r="AL348" s="364" t="s">
        <v>9698</v>
      </c>
      <c r="AM348" s="364"/>
      <c r="AN348" s="364"/>
      <c r="AO348" s="362"/>
      <c r="AP348" s="361"/>
    </row>
    <row r="349" spans="8:8" ht="51.65">
      <c r="AC349" s="361"/>
      <c r="AE349" s="359"/>
      <c r="AF349" s="362"/>
      <c r="AG349" s="362"/>
      <c r="AH349" s="362"/>
      <c r="AI349" s="363" t="s">
        <v>4139</v>
      </c>
      <c r="AJ349" s="362"/>
      <c r="AK349" s="362"/>
      <c r="AL349" s="364" t="s">
        <v>9699</v>
      </c>
      <c r="AM349" s="364"/>
      <c r="AN349" s="364"/>
      <c r="AO349" s="362"/>
      <c r="AP349" s="361"/>
    </row>
    <row r="350" spans="8:8" ht="51.65">
      <c r="AC350" s="361"/>
      <c r="AE350" s="359"/>
      <c r="AF350" s="362"/>
      <c r="AG350" s="362"/>
      <c r="AH350" s="362"/>
      <c r="AI350" s="363" t="s">
        <v>9700</v>
      </c>
      <c r="AJ350" s="362"/>
      <c r="AK350" s="362"/>
      <c r="AL350" s="364" t="s">
        <v>9701</v>
      </c>
      <c r="AM350" s="364"/>
      <c r="AN350" s="364"/>
      <c r="AO350" s="362"/>
      <c r="AP350" s="361"/>
    </row>
    <row r="351" spans="8:8" ht="51.65">
      <c r="AC351" s="361"/>
      <c r="AE351" s="359"/>
      <c r="AF351" s="362"/>
      <c r="AG351" s="362"/>
      <c r="AH351" s="362"/>
      <c r="AI351" s="363" t="s">
        <v>9702</v>
      </c>
      <c r="AJ351" s="362"/>
      <c r="AK351" s="362"/>
      <c r="AL351" s="364" t="s">
        <v>9703</v>
      </c>
      <c r="AM351" s="364"/>
      <c r="AN351" s="364"/>
      <c r="AO351" s="362"/>
      <c r="AP351" s="361"/>
    </row>
    <row r="352" spans="8:8" ht="51.65">
      <c r="AC352" s="361"/>
      <c r="AE352" s="359"/>
      <c r="AF352" s="362"/>
      <c r="AG352" s="362"/>
      <c r="AH352" s="362"/>
      <c r="AI352" s="363" t="s">
        <v>9704</v>
      </c>
      <c r="AJ352" s="362"/>
      <c r="AK352" s="362"/>
      <c r="AL352" s="364" t="s">
        <v>9705</v>
      </c>
      <c r="AM352" s="364" t="s">
        <v>9706</v>
      </c>
      <c r="AN352" s="364"/>
      <c r="AO352" s="362"/>
      <c r="AP352" s="361"/>
    </row>
    <row r="353" spans="8:8" ht="51.65">
      <c r="AC353" s="361"/>
      <c r="AE353" s="359"/>
      <c r="AF353" s="362"/>
      <c r="AG353" s="362"/>
      <c r="AH353" s="362"/>
      <c r="AI353" s="363" t="s">
        <v>9707</v>
      </c>
      <c r="AJ353" s="362"/>
      <c r="AK353" s="362"/>
      <c r="AL353" s="364" t="s">
        <v>9708</v>
      </c>
      <c r="AM353" s="364"/>
      <c r="AN353" s="364"/>
      <c r="AO353" s="362"/>
      <c r="AP353" s="361"/>
    </row>
    <row r="354" spans="8:8" ht="51.65">
      <c r="AC354" s="361"/>
      <c r="AE354" s="359"/>
      <c r="AF354" s="362"/>
      <c r="AG354" s="362"/>
      <c r="AH354" s="362"/>
      <c r="AI354" s="363" t="s">
        <v>9709</v>
      </c>
      <c r="AJ354" s="362"/>
      <c r="AK354" s="362"/>
      <c r="AL354" s="364" t="s">
        <v>9710</v>
      </c>
      <c r="AM354" s="364"/>
      <c r="AN354" s="364"/>
      <c r="AO354" s="362"/>
      <c r="AP354" s="361"/>
    </row>
    <row r="355" spans="8:8" ht="51.65">
      <c r="AC355" s="361"/>
      <c r="AE355" s="359"/>
      <c r="AF355" s="362"/>
      <c r="AG355" s="362"/>
      <c r="AH355" s="362"/>
      <c r="AI355" s="363" t="s">
        <v>9711</v>
      </c>
      <c r="AJ355" s="362"/>
      <c r="AK355" s="362"/>
      <c r="AL355" s="364" t="s">
        <v>9712</v>
      </c>
      <c r="AM355" s="364"/>
      <c r="AN355" s="364"/>
      <c r="AO355" s="362"/>
      <c r="AP355" s="361"/>
    </row>
    <row r="356" spans="8:8" ht="51.65">
      <c r="AC356" s="361"/>
      <c r="AE356" s="359"/>
      <c r="AF356" s="362"/>
      <c r="AG356" s="362"/>
      <c r="AH356" s="362"/>
      <c r="AI356" s="363" t="s">
        <v>9713</v>
      </c>
      <c r="AJ356" s="362"/>
      <c r="AK356" s="362"/>
      <c r="AL356" s="364" t="s">
        <v>9714</v>
      </c>
      <c r="AM356" s="364"/>
      <c r="AN356" s="364"/>
      <c r="AO356" s="362"/>
      <c r="AP356" s="361"/>
    </row>
    <row r="357" spans="8:8" ht="51.65">
      <c r="AC357" s="361"/>
      <c r="AE357" s="359"/>
      <c r="AF357" s="362"/>
      <c r="AG357" s="362"/>
      <c r="AH357" s="362"/>
      <c r="AI357" s="363" t="s">
        <v>9715</v>
      </c>
      <c r="AJ357" s="362"/>
      <c r="AK357" s="362"/>
      <c r="AL357" s="364" t="s">
        <v>9716</v>
      </c>
      <c r="AM357" s="364"/>
      <c r="AN357" s="364"/>
      <c r="AO357" s="362"/>
      <c r="AP357" s="361"/>
    </row>
    <row r="358" spans="8:8" ht="51.65">
      <c r="AC358" s="361"/>
      <c r="AE358" s="359"/>
      <c r="AF358" s="362"/>
      <c r="AG358" s="362"/>
      <c r="AH358" s="362"/>
      <c r="AI358" s="363" t="s">
        <v>9717</v>
      </c>
      <c r="AJ358" s="362"/>
      <c r="AK358" s="362"/>
      <c r="AL358" s="364" t="s">
        <v>9718</v>
      </c>
      <c r="AM358" s="364"/>
      <c r="AN358" s="364"/>
      <c r="AO358" s="362"/>
      <c r="AP358" s="361"/>
    </row>
    <row r="359" spans="8:8" ht="51.65">
      <c r="AC359" s="361"/>
      <c r="AE359" s="359"/>
      <c r="AF359" s="362"/>
      <c r="AG359" s="362"/>
      <c r="AH359" s="362"/>
      <c r="AI359" s="363" t="s">
        <v>9719</v>
      </c>
      <c r="AJ359" s="362"/>
      <c r="AK359" s="362"/>
      <c r="AL359" s="364" t="s">
        <v>9720</v>
      </c>
      <c r="AM359" s="364"/>
      <c r="AN359" s="364"/>
      <c r="AO359" s="362"/>
      <c r="AP359" s="361"/>
    </row>
    <row r="360" spans="8:8" ht="51.65">
      <c r="AC360" s="361"/>
      <c r="AE360" s="359"/>
      <c r="AF360" s="362"/>
      <c r="AG360" s="362"/>
      <c r="AH360" s="362"/>
      <c r="AI360" s="363" t="s">
        <v>9721</v>
      </c>
      <c r="AJ360" s="362"/>
      <c r="AK360" s="362"/>
      <c r="AL360" s="364" t="s">
        <v>9722</v>
      </c>
      <c r="AM360" s="364" t="s">
        <v>9723</v>
      </c>
      <c r="AN360" s="364"/>
      <c r="AO360" s="362"/>
      <c r="AP360" s="361"/>
    </row>
    <row r="361" spans="8:8" ht="51.65">
      <c r="AC361" s="361"/>
      <c r="AE361" s="359"/>
      <c r="AF361" s="362"/>
      <c r="AG361" s="362"/>
      <c r="AH361" s="362"/>
      <c r="AI361" s="363" t="s">
        <v>9724</v>
      </c>
      <c r="AJ361" s="362"/>
      <c r="AK361" s="362"/>
      <c r="AL361" s="364" t="s">
        <v>9725</v>
      </c>
      <c r="AM361" s="364"/>
      <c r="AN361" s="364"/>
      <c r="AO361" s="362"/>
      <c r="AP361" s="361"/>
    </row>
    <row r="362" spans="8:8" ht="51.65">
      <c r="AC362" s="361"/>
      <c r="AE362" s="359"/>
      <c r="AF362" s="362"/>
      <c r="AG362" s="362"/>
      <c r="AH362" s="362"/>
      <c r="AI362" s="363" t="s">
        <v>9726</v>
      </c>
      <c r="AJ362" s="362"/>
      <c r="AK362" s="362"/>
      <c r="AL362" s="364" t="s">
        <v>9727</v>
      </c>
      <c r="AM362" s="364"/>
      <c r="AN362" s="364"/>
      <c r="AO362" s="362"/>
      <c r="AP362" s="361"/>
    </row>
    <row r="363" spans="8:8" ht="51.65">
      <c r="AC363" s="361"/>
      <c r="AE363" s="359"/>
      <c r="AF363" s="362"/>
      <c r="AG363" s="362"/>
      <c r="AH363" s="362"/>
      <c r="AI363" s="363" t="s">
        <v>9728</v>
      </c>
      <c r="AJ363" s="362"/>
      <c r="AK363" s="362"/>
      <c r="AL363" s="364" t="s">
        <v>9729</v>
      </c>
      <c r="AM363" s="364" t="s">
        <v>9730</v>
      </c>
      <c r="AN363" s="364"/>
      <c r="AO363" s="362"/>
      <c r="AP363" s="361"/>
    </row>
    <row r="364" spans="8:8" ht="51.65">
      <c r="AC364" s="361"/>
      <c r="AE364" s="359"/>
      <c r="AF364" s="362"/>
      <c r="AG364" s="362"/>
      <c r="AH364" s="362"/>
      <c r="AI364" s="363" t="s">
        <v>9731</v>
      </c>
      <c r="AJ364" s="362"/>
      <c r="AK364" s="362"/>
      <c r="AL364" s="364" t="s">
        <v>9732</v>
      </c>
      <c r="AM364" s="364"/>
      <c r="AN364" s="364"/>
      <c r="AO364" s="362"/>
      <c r="AP364" s="361"/>
    </row>
    <row r="365" spans="8:8" ht="51.65">
      <c r="AC365" s="361"/>
      <c r="AE365" s="359"/>
      <c r="AF365" s="362"/>
      <c r="AG365" s="362"/>
      <c r="AH365" s="362"/>
      <c r="AI365" s="363" t="s">
        <v>9733</v>
      </c>
      <c r="AJ365" s="362"/>
      <c r="AK365" s="362"/>
      <c r="AL365" s="364" t="s">
        <v>9734</v>
      </c>
      <c r="AM365" s="364"/>
      <c r="AN365" s="364"/>
      <c r="AO365" s="362"/>
      <c r="AP365" s="361"/>
    </row>
    <row r="366" spans="8:8" ht="51.65">
      <c r="AC366" s="361"/>
      <c r="AE366" s="359"/>
      <c r="AF366" s="362"/>
      <c r="AG366" s="362"/>
      <c r="AH366" s="362"/>
      <c r="AI366" s="363" t="s">
        <v>9735</v>
      </c>
      <c r="AJ366" s="362"/>
      <c r="AK366" s="362"/>
      <c r="AL366" s="364" t="s">
        <v>9736</v>
      </c>
      <c r="AM366" s="364" t="s">
        <v>9737</v>
      </c>
      <c r="AN366" s="364"/>
      <c r="AO366" s="362"/>
      <c r="AP366" s="361"/>
    </row>
    <row r="367" spans="8:8" ht="51.65">
      <c r="AC367" s="361"/>
      <c r="AE367" s="359"/>
      <c r="AF367" s="362"/>
      <c r="AG367" s="362"/>
      <c r="AH367" s="362"/>
      <c r="AI367" s="363" t="s">
        <v>9738</v>
      </c>
      <c r="AJ367" s="362"/>
      <c r="AK367" s="362"/>
      <c r="AL367" s="364" t="s">
        <v>9739</v>
      </c>
      <c r="AM367" s="364" t="s">
        <v>9740</v>
      </c>
      <c r="AN367" s="364" t="s">
        <v>9741</v>
      </c>
      <c r="AO367" s="362"/>
      <c r="AP367" s="361"/>
    </row>
    <row r="368" spans="8:8" ht="51.65">
      <c r="AC368" s="361"/>
      <c r="AE368" s="359"/>
      <c r="AF368" s="362"/>
      <c r="AG368" s="362"/>
      <c r="AH368" s="362"/>
      <c r="AI368" s="363" t="s">
        <v>9742</v>
      </c>
      <c r="AJ368" s="362"/>
      <c r="AK368" s="362"/>
      <c r="AL368" s="364" t="s">
        <v>9739</v>
      </c>
      <c r="AM368" s="364" t="s">
        <v>9743</v>
      </c>
      <c r="AN368" s="364" t="s">
        <v>9744</v>
      </c>
      <c r="AO368" s="362"/>
      <c r="AP368" s="361"/>
    </row>
    <row r="369" spans="8:8" ht="51.65">
      <c r="AC369" s="361"/>
      <c r="AE369" s="359"/>
      <c r="AF369" s="362"/>
      <c r="AG369" s="362"/>
      <c r="AH369" s="362"/>
      <c r="AI369" s="363" t="s">
        <v>9745</v>
      </c>
      <c r="AJ369" s="362"/>
      <c r="AK369" s="362"/>
      <c r="AL369" s="364" t="s">
        <v>9739</v>
      </c>
      <c r="AM369" s="364" t="s">
        <v>9743</v>
      </c>
      <c r="AN369" s="364" t="s">
        <v>9741</v>
      </c>
      <c r="AO369" s="362"/>
      <c r="AP369" s="361"/>
    </row>
    <row r="370" spans="8:8" ht="51.65">
      <c r="AC370" s="361"/>
      <c r="AE370" s="359"/>
      <c r="AF370" s="362"/>
      <c r="AG370" s="362"/>
      <c r="AH370" s="362"/>
      <c r="AI370" s="363" t="s">
        <v>9746</v>
      </c>
      <c r="AJ370" s="362"/>
      <c r="AK370" s="362"/>
      <c r="AL370" s="364" t="s">
        <v>9747</v>
      </c>
      <c r="AM370" s="364"/>
      <c r="AN370" s="364"/>
      <c r="AO370" s="362"/>
      <c r="AP370" s="361"/>
    </row>
    <row r="371" spans="8:8" ht="51.65">
      <c r="AC371" s="361"/>
      <c r="AE371" s="359"/>
      <c r="AF371" s="362"/>
      <c r="AG371" s="362"/>
      <c r="AH371" s="362"/>
      <c r="AI371" s="363" t="s">
        <v>9748</v>
      </c>
      <c r="AJ371" s="362"/>
      <c r="AK371" s="362"/>
      <c r="AL371" s="364" t="s">
        <v>9749</v>
      </c>
      <c r="AM371" s="364"/>
      <c r="AN371" s="364"/>
      <c r="AO371" s="362"/>
      <c r="AP371" s="361"/>
    </row>
    <row r="372" spans="8:8" ht="51.65">
      <c r="AC372" s="361"/>
      <c r="AE372" s="359"/>
      <c r="AF372" s="362"/>
      <c r="AG372" s="362"/>
      <c r="AH372" s="362"/>
      <c r="AI372" s="363" t="s">
        <v>9750</v>
      </c>
      <c r="AJ372" s="362"/>
      <c r="AK372" s="362"/>
      <c r="AL372" s="364" t="s">
        <v>9751</v>
      </c>
      <c r="AM372" s="364"/>
      <c r="AN372" s="364"/>
      <c r="AO372" s="362"/>
      <c r="AP372" s="361"/>
    </row>
    <row r="373" spans="8:8" ht="51.65">
      <c r="AC373" s="361"/>
      <c r="AE373" s="359"/>
      <c r="AF373" s="362"/>
      <c r="AG373" s="362"/>
      <c r="AH373" s="362"/>
      <c r="AI373" s="363" t="s">
        <v>9752</v>
      </c>
      <c r="AJ373" s="362"/>
      <c r="AK373" s="362"/>
      <c r="AL373" s="364" t="s">
        <v>9753</v>
      </c>
      <c r="AM373" s="364"/>
      <c r="AN373" s="364"/>
      <c r="AO373" s="362"/>
      <c r="AP373" s="361"/>
    </row>
    <row r="374" spans="8:8" ht="51.65">
      <c r="AC374" s="361"/>
      <c r="AE374" s="359"/>
      <c r="AF374" s="362"/>
      <c r="AG374" s="362"/>
      <c r="AH374" s="362"/>
      <c r="AI374" s="363" t="s">
        <v>9754</v>
      </c>
      <c r="AJ374" s="362"/>
      <c r="AK374" s="362"/>
      <c r="AL374" s="364" t="s">
        <v>9755</v>
      </c>
      <c r="AM374" s="364"/>
      <c r="AN374" s="364"/>
      <c r="AO374" s="362"/>
      <c r="AP374" s="361"/>
    </row>
    <row r="375" spans="8:8" ht="51.65">
      <c r="AC375" s="361"/>
      <c r="AE375" s="359"/>
      <c r="AF375" s="362"/>
      <c r="AG375" s="362"/>
      <c r="AH375" s="362"/>
      <c r="AI375" s="363" t="s">
        <v>9756</v>
      </c>
      <c r="AJ375" s="362"/>
      <c r="AK375" s="362"/>
      <c r="AL375" s="364" t="s">
        <v>9757</v>
      </c>
      <c r="AM375" s="364"/>
      <c r="AN375" s="364"/>
      <c r="AO375" s="362"/>
      <c r="AP375" s="361"/>
    </row>
    <row r="376" spans="8:8" ht="51.65">
      <c r="AC376" s="361"/>
      <c r="AE376" s="359"/>
      <c r="AF376" s="362"/>
      <c r="AG376" s="362"/>
      <c r="AH376" s="362"/>
      <c r="AI376" s="363" t="s">
        <v>9758</v>
      </c>
      <c r="AJ376" s="362"/>
      <c r="AK376" s="362"/>
      <c r="AL376" s="364" t="s">
        <v>9759</v>
      </c>
      <c r="AM376" s="364"/>
      <c r="AN376" s="364"/>
      <c r="AO376" s="362"/>
      <c r="AP376" s="361"/>
    </row>
    <row r="377" spans="8:8" ht="51.65">
      <c r="AC377" s="361"/>
      <c r="AE377" s="359"/>
      <c r="AF377" s="362"/>
      <c r="AG377" s="362"/>
      <c r="AH377" s="362"/>
      <c r="AI377" s="363" t="s">
        <v>9760</v>
      </c>
      <c r="AJ377" s="362"/>
      <c r="AK377" s="362"/>
      <c r="AL377" s="364" t="s">
        <v>9761</v>
      </c>
      <c r="AM377" s="364"/>
      <c r="AN377" s="364"/>
      <c r="AO377" s="362"/>
      <c r="AP377" s="361"/>
    </row>
    <row r="378" spans="8:8" ht="51.65">
      <c r="AC378" s="361"/>
      <c r="AE378" s="359"/>
      <c r="AF378" s="362"/>
      <c r="AG378" s="362"/>
      <c r="AH378" s="362"/>
      <c r="AI378" s="363" t="s">
        <v>9762</v>
      </c>
      <c r="AJ378" s="362"/>
      <c r="AK378" s="362"/>
      <c r="AL378" s="364" t="s">
        <v>9763</v>
      </c>
      <c r="AM378" s="364"/>
      <c r="AN378" s="364"/>
      <c r="AO378" s="362"/>
      <c r="AP378" s="361"/>
    </row>
    <row r="379" spans="8:8" ht="51.65">
      <c r="AC379" s="361"/>
      <c r="AE379" s="359"/>
      <c r="AF379" s="362"/>
      <c r="AG379" s="362"/>
      <c r="AH379" s="362"/>
      <c r="AI379" s="363" t="s">
        <v>9764</v>
      </c>
      <c r="AJ379" s="362"/>
      <c r="AK379" s="362"/>
      <c r="AL379" s="364" t="s">
        <v>9765</v>
      </c>
      <c r="AM379" s="364"/>
      <c r="AN379" s="364"/>
      <c r="AO379" s="362"/>
      <c r="AP379" s="361"/>
    </row>
    <row r="380" spans="8:8" ht="51.65">
      <c r="AC380" s="361"/>
      <c r="AE380" s="359"/>
      <c r="AF380" s="362"/>
      <c r="AG380" s="362"/>
      <c r="AH380" s="362"/>
      <c r="AI380" s="363" t="s">
        <v>9766</v>
      </c>
      <c r="AJ380" s="362"/>
      <c r="AK380" s="362"/>
      <c r="AL380" s="364" t="s">
        <v>9767</v>
      </c>
      <c r="AM380" s="364"/>
      <c r="AN380" s="364"/>
      <c r="AO380" s="362"/>
      <c r="AP380" s="361"/>
    </row>
    <row r="381" spans="8:8" ht="51.65">
      <c r="AC381" s="361"/>
      <c r="AE381" s="359"/>
      <c r="AF381" s="362"/>
      <c r="AG381" s="362"/>
      <c r="AH381" s="362"/>
      <c r="AI381" s="363" t="s">
        <v>9768</v>
      </c>
      <c r="AJ381" s="362"/>
      <c r="AK381" s="362"/>
      <c r="AL381" s="364" t="s">
        <v>9769</v>
      </c>
      <c r="AM381" s="364"/>
      <c r="AN381" s="364"/>
      <c r="AO381" s="362"/>
      <c r="AP381" s="361"/>
    </row>
    <row r="382" spans="8:8" ht="51.65">
      <c r="AC382" s="361"/>
      <c r="AE382" s="359"/>
      <c r="AF382" s="362"/>
      <c r="AG382" s="362"/>
      <c r="AH382" s="362"/>
      <c r="AI382" s="363" t="s">
        <v>9770</v>
      </c>
      <c r="AJ382" s="362"/>
      <c r="AK382" s="362"/>
      <c r="AL382" s="364" t="s">
        <v>9771</v>
      </c>
      <c r="AM382" s="364"/>
      <c r="AN382" s="364"/>
      <c r="AO382" s="362"/>
      <c r="AP382" s="361"/>
    </row>
    <row r="383" spans="8:8" ht="51.65">
      <c r="AC383" s="361"/>
      <c r="AE383" s="359"/>
      <c r="AF383" s="362"/>
      <c r="AG383" s="362"/>
      <c r="AH383" s="362"/>
      <c r="AI383" s="362"/>
      <c r="AJ383" s="363"/>
      <c r="AK383" s="362"/>
      <c r="AL383" s="364" t="s">
        <v>9772</v>
      </c>
      <c r="AM383" s="364"/>
      <c r="AN383" s="364"/>
      <c r="AO383" s="362"/>
      <c r="AP383" s="361"/>
    </row>
    <row r="384" spans="8:8" ht="51.65">
      <c r="AC384" s="361"/>
      <c r="AE384" s="359"/>
      <c r="AF384" s="362"/>
      <c r="AG384" s="362"/>
      <c r="AH384" s="362"/>
      <c r="AI384" s="362"/>
      <c r="AJ384" s="363"/>
      <c r="AK384" s="362"/>
      <c r="AL384" s="364" t="s">
        <v>9773</v>
      </c>
      <c r="AM384" s="364"/>
      <c r="AN384" s="364"/>
      <c r="AO384" s="362"/>
      <c r="AP384" s="361"/>
    </row>
    <row r="385" spans="8:8" ht="51.65">
      <c r="AC385" s="361"/>
      <c r="AE385" s="359"/>
      <c r="AF385" s="362"/>
      <c r="AG385" s="362"/>
      <c r="AH385" s="362"/>
      <c r="AI385" s="362"/>
      <c r="AJ385" s="363"/>
      <c r="AK385" s="362"/>
      <c r="AL385" s="364" t="s">
        <v>9774</v>
      </c>
      <c r="AM385" s="364"/>
      <c r="AN385" s="364"/>
      <c r="AO385" s="362"/>
      <c r="AP385" s="361"/>
    </row>
    <row r="386" spans="8:8" ht="51.65">
      <c r="AC386" s="361"/>
      <c r="AE386" s="359"/>
      <c r="AF386" s="362"/>
      <c r="AG386" s="362"/>
      <c r="AH386" s="362"/>
      <c r="AI386" s="362"/>
      <c r="AJ386" s="363"/>
      <c r="AK386" s="362"/>
      <c r="AL386" s="364" t="s">
        <v>9775</v>
      </c>
      <c r="AM386" s="364"/>
      <c r="AN386" s="364"/>
      <c r="AO386" s="362"/>
      <c r="AP386" s="361"/>
    </row>
    <row r="387" spans="8:8" ht="51.65">
      <c r="AC387" s="361"/>
      <c r="AE387" s="359"/>
      <c r="AF387" s="362"/>
      <c r="AG387" s="362"/>
      <c r="AH387" s="362"/>
      <c r="AI387" s="362"/>
      <c r="AJ387" s="363"/>
      <c r="AK387" s="362"/>
      <c r="AL387" s="364" t="s">
        <v>9776</v>
      </c>
      <c r="AM387" s="364"/>
      <c r="AN387" s="364"/>
      <c r="AO387" s="362"/>
      <c r="AP387" s="361"/>
    </row>
    <row r="388" spans="8:8" ht="51.65">
      <c r="AC388" s="361"/>
      <c r="AE388" s="359"/>
      <c r="AF388" s="362"/>
      <c r="AG388" s="362"/>
      <c r="AH388" s="362"/>
      <c r="AI388" s="362"/>
      <c r="AJ388" s="363"/>
      <c r="AK388" s="362"/>
      <c r="AL388" s="364" t="s">
        <v>9777</v>
      </c>
      <c r="AM388" s="364"/>
      <c r="AN388" s="364"/>
      <c r="AO388" s="362"/>
      <c r="AP388" s="361"/>
    </row>
    <row r="389" spans="8:8" ht="51.65">
      <c r="AC389" s="361"/>
      <c r="AE389" s="359"/>
      <c r="AF389" s="362"/>
      <c r="AG389" s="362"/>
      <c r="AH389" s="362"/>
      <c r="AI389" s="362"/>
      <c r="AJ389" s="362"/>
      <c r="AK389" s="362"/>
      <c r="AL389" s="364" t="s">
        <v>9778</v>
      </c>
      <c r="AM389" s="364"/>
      <c r="AN389" s="364"/>
      <c r="AO389" s="362"/>
      <c r="AP389" s="361"/>
    </row>
    <row r="390" spans="8:8" ht="51.65">
      <c r="AC390" s="361"/>
      <c r="AE390" s="359"/>
      <c r="AF390" s="362"/>
      <c r="AG390" s="362"/>
      <c r="AH390" s="362"/>
      <c r="AI390" s="362"/>
      <c r="AJ390" s="362"/>
      <c r="AK390" s="362"/>
      <c r="AL390" s="364" t="s">
        <v>9779</v>
      </c>
      <c r="AM390" s="364"/>
      <c r="AN390" s="364"/>
      <c r="AO390" s="362"/>
      <c r="AP390" s="361"/>
    </row>
    <row r="391" spans="8:8" ht="51.65">
      <c r="AC391" s="361"/>
      <c r="AE391" s="359"/>
      <c r="AF391" s="362"/>
      <c r="AG391" s="362"/>
      <c r="AH391" s="362"/>
      <c r="AI391" s="362"/>
      <c r="AJ391" s="362"/>
      <c r="AK391" s="362"/>
      <c r="AL391" s="364" t="s">
        <v>9780</v>
      </c>
      <c r="AM391" s="364"/>
      <c r="AN391" s="364"/>
      <c r="AO391" s="362"/>
      <c r="AP391" s="361"/>
    </row>
    <row r="392" spans="8:8" ht="51.65">
      <c r="AC392" s="361"/>
      <c r="AE392" s="359"/>
      <c r="AF392" s="362"/>
      <c r="AG392" s="362"/>
      <c r="AH392" s="362"/>
      <c r="AI392" s="362"/>
      <c r="AJ392" s="362"/>
      <c r="AK392" s="362"/>
      <c r="AL392" s="364" t="s">
        <v>9781</v>
      </c>
      <c r="AM392" s="364"/>
      <c r="AN392" s="364"/>
      <c r="AO392" s="362"/>
      <c r="AP392" s="361"/>
    </row>
    <row r="393" spans="8:8" ht="51.65">
      <c r="AC393" s="361"/>
      <c r="AE393" s="359"/>
      <c r="AF393" s="362"/>
      <c r="AG393" s="362"/>
      <c r="AH393" s="362"/>
      <c r="AI393" s="362"/>
      <c r="AJ393" s="362"/>
      <c r="AK393" s="362"/>
      <c r="AL393" s="364" t="s">
        <v>9782</v>
      </c>
      <c r="AM393" s="364"/>
      <c r="AN393" s="364"/>
      <c r="AO393" s="362"/>
      <c r="AP393" s="361"/>
    </row>
    <row r="394" spans="8:8" ht="51.65">
      <c r="AC394" s="361"/>
      <c r="AE394" s="359"/>
      <c r="AF394" s="362"/>
      <c r="AG394" s="362"/>
      <c r="AH394" s="362"/>
      <c r="AI394" s="362"/>
      <c r="AJ394" s="362"/>
      <c r="AK394" s="362"/>
      <c r="AL394" s="364" t="s">
        <v>9783</v>
      </c>
      <c r="AM394" s="364"/>
      <c r="AN394" s="364"/>
      <c r="AO394" s="362"/>
      <c r="AP394" s="361"/>
    </row>
    <row r="395" spans="8:8" ht="51.65">
      <c r="AC395" s="361"/>
      <c r="AE395" s="359"/>
      <c r="AF395" s="362"/>
      <c r="AG395" s="362"/>
      <c r="AH395" s="362"/>
      <c r="AI395" s="362"/>
      <c r="AJ395" s="362"/>
      <c r="AK395" s="362"/>
      <c r="AL395" s="364" t="s">
        <v>9784</v>
      </c>
      <c r="AM395" s="364"/>
      <c r="AN395" s="364"/>
      <c r="AO395" s="362"/>
      <c r="AP395" s="361"/>
    </row>
    <row r="396" spans="8:8" ht="51.65">
      <c r="AC396" s="361"/>
      <c r="AE396" s="359"/>
      <c r="AF396" s="362"/>
      <c r="AG396" s="362"/>
      <c r="AH396" s="362"/>
      <c r="AI396" s="362"/>
      <c r="AJ396" s="362"/>
      <c r="AK396" s="362"/>
      <c r="AL396" s="364" t="s">
        <v>9785</v>
      </c>
      <c r="AM396" s="364"/>
      <c r="AN396" s="364"/>
      <c r="AO396" s="362"/>
      <c r="AP396" s="361"/>
    </row>
    <row r="397" spans="8:8" ht="51.65">
      <c r="AC397" s="361"/>
      <c r="AE397" s="359"/>
      <c r="AF397" s="362"/>
      <c r="AG397" s="362"/>
      <c r="AH397" s="362"/>
      <c r="AI397" s="362"/>
      <c r="AJ397" s="362"/>
      <c r="AK397" s="362"/>
      <c r="AL397" s="364" t="s">
        <v>9786</v>
      </c>
      <c r="AM397" s="364"/>
      <c r="AN397" s="364"/>
      <c r="AO397" s="362"/>
      <c r="AP397" s="361"/>
    </row>
    <row r="398" spans="8:8" ht="51.65">
      <c r="AC398" s="361"/>
      <c r="AE398" s="359"/>
      <c r="AF398" s="361"/>
      <c r="AG398" s="362"/>
      <c r="AH398" s="362"/>
      <c r="AI398" s="362"/>
      <c r="AJ398" s="362"/>
      <c r="AK398" s="362"/>
      <c r="AL398" s="364" t="s">
        <v>9786</v>
      </c>
      <c r="AM398" s="364"/>
      <c r="AN398" s="364"/>
      <c r="AO398" s="362"/>
      <c r="AP398" s="361"/>
    </row>
    <row r="399" spans="8:8" ht="51.65">
      <c r="AC399" s="361"/>
      <c r="AE399" s="359"/>
      <c r="AF399" s="361"/>
      <c r="AG399" s="362"/>
      <c r="AH399" s="362"/>
      <c r="AI399" s="362"/>
      <c r="AJ399" s="362"/>
      <c r="AK399" s="362"/>
      <c r="AL399" s="364" t="s">
        <v>9787</v>
      </c>
      <c r="AM399" s="364"/>
      <c r="AN399" s="364"/>
      <c r="AO399" s="362"/>
      <c r="AP399" s="361"/>
    </row>
    <row r="400" spans="8:8" ht="51.65">
      <c r="AC400" s="361"/>
      <c r="AE400" s="359"/>
      <c r="AF400" s="361"/>
      <c r="AG400" s="361"/>
      <c r="AH400" s="361"/>
      <c r="AI400" s="361"/>
      <c r="AJ400" s="361"/>
      <c r="AK400" s="361"/>
      <c r="AL400" s="361"/>
      <c r="AM400" s="361"/>
      <c r="AN400" s="361"/>
      <c r="AO400" s="361"/>
      <c r="AP400" s="361"/>
    </row>
    <row r="401" spans="8:8" ht="51.65">
      <c r="AC401" s="361"/>
      <c r="AE401" s="359"/>
      <c r="AF401" s="361"/>
      <c r="AG401" s="361"/>
      <c r="AH401" s="361"/>
      <c r="AI401" s="361"/>
      <c r="AJ401" s="361"/>
      <c r="AK401" s="361"/>
      <c r="AL401" s="361"/>
      <c r="AM401"/>
      <c r="AN401"/>
      <c r="AO401"/>
      <c r="AP401"/>
    </row>
    <row r="402" spans="8:8" ht="51.65">
      <c r="AC402" s="361"/>
      <c r="AE402" s="359"/>
      <c r="AF402" s="361"/>
      <c r="AG402" s="364" t="s">
        <v>9788</v>
      </c>
      <c r="AH402" s="364"/>
      <c r="AI402" s="365"/>
      <c r="AJ402" s="365"/>
      <c r="AK402" s="365"/>
      <c r="AL402" s="361"/>
      <c r="AM402"/>
      <c r="AN402"/>
      <c r="AO402"/>
      <c r="AP402"/>
    </row>
    <row r="403" spans="8:8" ht="51.65">
      <c r="AC403" s="361"/>
      <c r="AE403" s="359"/>
      <c r="AF403" s="361"/>
      <c r="AG403" s="364" t="s">
        <v>9789</v>
      </c>
      <c r="AH403" s="364"/>
      <c r="AI403" s="365"/>
      <c r="AJ403" s="365"/>
      <c r="AK403" s="365"/>
      <c r="AL403" s="361"/>
      <c r="AM403"/>
      <c r="AN403"/>
      <c r="AO403"/>
      <c r="AP403"/>
    </row>
    <row r="404" spans="8:8" ht="51.65">
      <c r="AC404" s="361"/>
      <c r="AE404" s="359"/>
      <c r="AF404" s="361"/>
      <c r="AG404" s="364" t="s">
        <v>9790</v>
      </c>
      <c r="AH404" s="364"/>
      <c r="AI404" s="365"/>
      <c r="AJ404" s="365"/>
      <c r="AK404" s="365"/>
      <c r="AL404" s="361"/>
      <c r="AM404"/>
      <c r="AN404"/>
      <c r="AO404"/>
      <c r="AP404"/>
    </row>
    <row r="405" spans="8:8" ht="51.65">
      <c r="AC405" s="361"/>
      <c r="AE405" s="359"/>
      <c r="AF405" s="361"/>
      <c r="AG405" s="364" t="s">
        <v>9791</v>
      </c>
      <c r="AH405" s="364"/>
      <c r="AI405" s="365"/>
      <c r="AJ405" s="365"/>
      <c r="AK405" s="365"/>
      <c r="AL405" s="361"/>
      <c r="AM405"/>
      <c r="AN405"/>
      <c r="AO405"/>
      <c r="AP405"/>
    </row>
    <row r="406" spans="8:8" ht="51.65">
      <c r="AC406" s="361"/>
      <c r="AE406" s="359"/>
      <c r="AF406" s="361"/>
      <c r="AG406" s="364" t="s">
        <v>9792</v>
      </c>
      <c r="AH406" s="364"/>
      <c r="AI406" s="365"/>
      <c r="AJ406" s="365"/>
      <c r="AK406" s="365"/>
      <c r="AL406" s="361"/>
      <c r="AM406"/>
      <c r="AN406"/>
      <c r="AO406"/>
      <c r="AP406"/>
    </row>
    <row r="407" spans="8:8" ht="51.65">
      <c r="AC407" s="361"/>
      <c r="AE407" s="359"/>
      <c r="AF407" s="361"/>
      <c r="AG407" s="364" t="s">
        <v>9763</v>
      </c>
      <c r="AH407" s="364"/>
      <c r="AI407" s="365"/>
      <c r="AJ407" s="365"/>
      <c r="AK407" s="365"/>
      <c r="AL407" s="361"/>
      <c r="AM407"/>
      <c r="AN407"/>
      <c r="AO407"/>
      <c r="AP407"/>
    </row>
    <row r="408" spans="8:8" ht="51.65">
      <c r="AC408" s="361"/>
      <c r="AE408" s="359"/>
      <c r="AF408" s="361"/>
      <c r="AG408" s="364" t="s">
        <v>9793</v>
      </c>
      <c r="AH408" s="364"/>
      <c r="AI408" s="365"/>
      <c r="AJ408" s="365"/>
      <c r="AK408" s="365"/>
      <c r="AL408" s="361"/>
      <c r="AM408"/>
      <c r="AN408"/>
      <c r="AO408"/>
      <c r="AP408"/>
    </row>
    <row r="409" spans="8:8" ht="51.65">
      <c r="AC409" s="361"/>
      <c r="AE409" s="359"/>
      <c r="AF409" s="361"/>
      <c r="AG409" s="364" t="s">
        <v>9794</v>
      </c>
      <c r="AH409" s="364"/>
      <c r="AI409" s="365"/>
      <c r="AJ409" s="365"/>
      <c r="AK409" s="365"/>
      <c r="AL409" s="361"/>
      <c r="AM409"/>
      <c r="AN409"/>
      <c r="AO409"/>
      <c r="AP409"/>
    </row>
    <row r="410" spans="8:8" ht="51.65">
      <c r="AC410" s="361"/>
      <c r="AE410" s="359"/>
      <c r="AF410" s="361"/>
      <c r="AG410" s="364" t="s">
        <v>9795</v>
      </c>
      <c r="AH410" s="364"/>
      <c r="AI410" s="365"/>
      <c r="AJ410" s="365"/>
      <c r="AK410" s="365"/>
      <c r="AL410" s="361"/>
      <c r="AM410"/>
      <c r="AN410"/>
      <c r="AO410"/>
      <c r="AP410"/>
    </row>
    <row r="411" spans="8:8" ht="51.65">
      <c r="AC411" s="361"/>
      <c r="AE411" s="359"/>
      <c r="AF411" s="361"/>
      <c r="AG411" s="364" t="s">
        <v>9796</v>
      </c>
      <c r="AH411" s="364"/>
      <c r="AI411" s="365"/>
      <c r="AJ411" s="365"/>
      <c r="AK411" s="365"/>
      <c r="AL411" s="361"/>
      <c r="AM411"/>
      <c r="AN411"/>
      <c r="AO411"/>
      <c r="AP411"/>
    </row>
    <row r="412" spans="8:8" ht="51.65">
      <c r="AC412" s="361"/>
      <c r="AE412" s="359"/>
      <c r="AF412" s="361"/>
      <c r="AG412" s="364" t="s">
        <v>9797</v>
      </c>
      <c r="AH412" s="364"/>
      <c r="AI412" s="365"/>
      <c r="AJ412" s="365"/>
      <c r="AK412" s="365"/>
      <c r="AL412" s="361"/>
      <c r="AM412"/>
      <c r="AN412"/>
      <c r="AO412"/>
      <c r="AP412"/>
    </row>
    <row r="413" spans="8:8" ht="51.65">
      <c r="AC413" s="361"/>
      <c r="AE413" s="359"/>
      <c r="AF413" s="361"/>
      <c r="AG413" s="364" t="s">
        <v>3711</v>
      </c>
      <c r="AH413" s="364"/>
      <c r="AI413" s="365"/>
      <c r="AJ413" s="365"/>
      <c r="AK413" s="365"/>
      <c r="AL413" s="361"/>
      <c r="AM413"/>
      <c r="AN413"/>
      <c r="AO413"/>
      <c r="AP413"/>
    </row>
    <row r="414" spans="8:8" ht="51.65">
      <c r="AC414" s="361"/>
      <c r="AE414" s="359"/>
      <c r="AF414" s="361"/>
      <c r="AG414" s="364" t="s">
        <v>3715</v>
      </c>
      <c r="AH414" s="364"/>
      <c r="AI414" s="365"/>
      <c r="AJ414" s="365"/>
      <c r="AK414" s="365"/>
      <c r="AL414" s="361"/>
      <c r="AM414"/>
      <c r="AN414"/>
      <c r="AO414"/>
      <c r="AP414"/>
    </row>
    <row r="415" spans="8:8" ht="51.65">
      <c r="AC415" s="361"/>
      <c r="AE415" s="359"/>
      <c r="AF415" s="361"/>
      <c r="AG415" s="364" t="s">
        <v>9798</v>
      </c>
      <c r="AH415" s="364"/>
      <c r="AI415" s="365"/>
      <c r="AJ415" s="365"/>
      <c r="AK415" s="365"/>
      <c r="AL415" s="361"/>
      <c r="AM415"/>
      <c r="AN415"/>
      <c r="AO415"/>
      <c r="AP415"/>
    </row>
    <row r="416" spans="8:8" ht="51.65">
      <c r="AC416" s="361"/>
      <c r="AE416" s="359"/>
      <c r="AF416" s="361"/>
      <c r="AG416" s="364" t="s">
        <v>2000</v>
      </c>
      <c r="AH416" s="364"/>
      <c r="AI416" s="365"/>
      <c r="AJ416" s="365"/>
      <c r="AK416" s="365"/>
      <c r="AL416" s="361"/>
      <c r="AM416"/>
      <c r="AN416"/>
      <c r="AO416"/>
      <c r="AP416"/>
    </row>
    <row r="417" spans="8:8" ht="51.65">
      <c r="AC417" s="361"/>
      <c r="AE417" s="359"/>
      <c r="AF417" s="361"/>
      <c r="AG417" s="364" t="s">
        <v>9799</v>
      </c>
      <c r="AH417" s="364"/>
      <c r="AI417" s="365"/>
      <c r="AJ417" s="365"/>
      <c r="AK417" s="365"/>
      <c r="AL417" s="361"/>
      <c r="AM417"/>
      <c r="AN417"/>
      <c r="AO417"/>
      <c r="AP417"/>
    </row>
    <row r="418" spans="8:8" ht="51.65">
      <c r="AC418" s="361"/>
      <c r="AE418" s="359"/>
      <c r="AF418" s="361"/>
      <c r="AG418" s="364" t="s">
        <v>9800</v>
      </c>
      <c r="AH418" s="364"/>
      <c r="AI418" s="365"/>
      <c r="AJ418" s="365"/>
      <c r="AK418" s="365"/>
      <c r="AL418" s="361"/>
      <c r="AM418"/>
      <c r="AN418"/>
      <c r="AO418"/>
      <c r="AP418"/>
    </row>
    <row r="419" spans="8:8" ht="51.65">
      <c r="AC419" s="361"/>
      <c r="AE419" s="359"/>
      <c r="AF419" s="361"/>
      <c r="AG419" s="364" t="s">
        <v>9801</v>
      </c>
      <c r="AH419" s="364"/>
      <c r="AI419" s="365"/>
      <c r="AJ419" s="365"/>
      <c r="AK419" s="365"/>
      <c r="AL419" s="361"/>
      <c r="AM419"/>
      <c r="AN419"/>
      <c r="AO419"/>
      <c r="AP419"/>
    </row>
    <row r="420" spans="8:8" ht="51.65">
      <c r="AC420" s="361"/>
      <c r="AE420" s="359"/>
      <c r="AF420" s="361"/>
      <c r="AG420" s="364" t="s">
        <v>9802</v>
      </c>
      <c r="AH420" s="364"/>
      <c r="AI420" s="365"/>
      <c r="AJ420" s="365"/>
      <c r="AK420" s="365"/>
      <c r="AL420" s="361"/>
      <c r="AM420"/>
      <c r="AN420"/>
      <c r="AO420"/>
      <c r="AP420"/>
    </row>
    <row r="421" spans="8:8" ht="51.65">
      <c r="AC421" s="361"/>
      <c r="AE421" s="359"/>
      <c r="AF421" s="361"/>
      <c r="AG421" s="364" t="s">
        <v>9803</v>
      </c>
      <c r="AH421" s="364"/>
      <c r="AI421" s="365"/>
      <c r="AJ421" s="365"/>
      <c r="AK421" s="365"/>
      <c r="AL421" s="361"/>
      <c r="AM421"/>
      <c r="AN421"/>
      <c r="AO421"/>
      <c r="AP421"/>
    </row>
    <row r="422" spans="8:8" ht="51.65">
      <c r="AC422" s="361"/>
      <c r="AE422" s="359"/>
      <c r="AF422" s="361"/>
      <c r="AG422" s="364" t="s">
        <v>9804</v>
      </c>
      <c r="AH422" s="364"/>
      <c r="AI422" s="365"/>
      <c r="AJ422" s="365"/>
      <c r="AK422" s="365"/>
      <c r="AL422" s="361"/>
      <c r="AM422"/>
      <c r="AN422"/>
      <c r="AO422"/>
      <c r="AP422"/>
    </row>
    <row r="423" spans="8:8" ht="51.65">
      <c r="AC423" s="361"/>
      <c r="AE423" s="359"/>
      <c r="AF423" s="361"/>
      <c r="AG423" s="364" t="s">
        <v>9680</v>
      </c>
      <c r="AH423" s="364"/>
      <c r="AI423" s="365"/>
      <c r="AJ423" s="365"/>
      <c r="AK423" s="365"/>
      <c r="AL423" s="361"/>
      <c r="AM423"/>
      <c r="AN423"/>
      <c r="AO423"/>
      <c r="AP423"/>
    </row>
    <row r="424" spans="8:8" ht="51.65">
      <c r="AC424" s="361"/>
      <c r="AF424" s="361"/>
      <c r="AG424" s="364" t="s">
        <v>9805</v>
      </c>
      <c r="AH424" s="364"/>
      <c r="AI424" s="365"/>
      <c r="AJ424" s="365"/>
      <c r="AK424" s="365"/>
      <c r="AL424" s="361"/>
      <c r="AM424"/>
      <c r="AN424"/>
      <c r="AO424"/>
      <c r="AP424"/>
    </row>
    <row r="425" spans="8:8" ht="51.65">
      <c r="AC425" s="361"/>
      <c r="AF425" s="361"/>
      <c r="AG425" s="364" t="s">
        <v>9806</v>
      </c>
      <c r="AH425" s="364"/>
      <c r="AI425" s="365"/>
      <c r="AJ425" s="365"/>
      <c r="AK425" s="365"/>
      <c r="AL425" s="361"/>
      <c r="AM425"/>
      <c r="AN425"/>
      <c r="AO425"/>
      <c r="AP425"/>
    </row>
    <row r="426" spans="8:8" ht="51.65">
      <c r="AC426" s="361"/>
      <c r="AF426" s="361"/>
      <c r="AG426" s="364" t="s">
        <v>9807</v>
      </c>
      <c r="AH426" s="364"/>
      <c r="AI426" s="365"/>
      <c r="AJ426" s="365"/>
      <c r="AK426" s="365"/>
      <c r="AL426" s="361"/>
      <c r="AM426"/>
      <c r="AN426"/>
      <c r="AO426"/>
      <c r="AP426"/>
    </row>
    <row r="427" spans="8:8" ht="51.65">
      <c r="AC427" s="361"/>
      <c r="AF427" s="361"/>
      <c r="AG427" s="364" t="s">
        <v>9701</v>
      </c>
      <c r="AH427" s="364"/>
      <c r="AI427" s="365"/>
      <c r="AJ427" s="365"/>
      <c r="AK427" s="365"/>
      <c r="AL427" s="361"/>
      <c r="AM427"/>
      <c r="AN427"/>
      <c r="AO427"/>
      <c r="AP427"/>
    </row>
    <row r="428" spans="8:8" ht="51.65">
      <c r="AC428" s="361"/>
      <c r="AF428" s="361"/>
      <c r="AG428" s="364" t="s">
        <v>9808</v>
      </c>
      <c r="AH428" s="364"/>
      <c r="AI428" s="365"/>
      <c r="AJ428" s="365"/>
      <c r="AK428" s="365"/>
      <c r="AL428" s="361"/>
      <c r="AM428"/>
      <c r="AN428"/>
      <c r="AO428"/>
      <c r="AP428"/>
    </row>
    <row r="429" spans="8:8" ht="51.65">
      <c r="AC429" s="361"/>
      <c r="AF429" s="361"/>
      <c r="AG429" s="364" t="s">
        <v>9809</v>
      </c>
      <c r="AH429" s="364"/>
      <c r="AI429" s="365"/>
      <c r="AJ429" s="365"/>
      <c r="AK429" s="365"/>
      <c r="AL429" s="361"/>
      <c r="AM429"/>
      <c r="AN429"/>
      <c r="AO429"/>
      <c r="AP429"/>
    </row>
    <row r="430" spans="8:8" ht="51.65">
      <c r="AC430" s="361"/>
      <c r="AF430" s="361"/>
      <c r="AG430" s="364" t="s">
        <v>9810</v>
      </c>
      <c r="AH430" s="364"/>
      <c r="AI430" s="365"/>
      <c r="AJ430" s="365"/>
      <c r="AK430" s="365"/>
      <c r="AL430" s="361"/>
      <c r="AM430"/>
      <c r="AN430"/>
      <c r="AO430"/>
      <c r="AP430"/>
    </row>
    <row r="431" spans="8:8" ht="51.65">
      <c r="AC431" s="361"/>
      <c r="AF431" s="361"/>
      <c r="AG431" s="364" t="s">
        <v>9811</v>
      </c>
      <c r="AH431" s="364" t="s">
        <v>9812</v>
      </c>
      <c r="AI431" s="365"/>
      <c r="AJ431" s="365"/>
      <c r="AK431" s="365"/>
      <c r="AL431" s="361"/>
      <c r="AM431"/>
      <c r="AN431"/>
      <c r="AO431"/>
      <c r="AP431"/>
    </row>
    <row r="432" spans="8:8" ht="51.65">
      <c r="AC432" s="361"/>
      <c r="AF432" s="361"/>
      <c r="AG432" s="364" t="s">
        <v>9813</v>
      </c>
      <c r="AH432" s="364"/>
      <c r="AI432" s="365"/>
      <c r="AJ432" s="365"/>
      <c r="AK432" s="365"/>
      <c r="AL432" s="361"/>
      <c r="AM432"/>
      <c r="AN432"/>
      <c r="AO432"/>
      <c r="AP432"/>
    </row>
    <row r="433" spans="8:8" ht="51.65">
      <c r="AC433" s="361"/>
      <c r="AF433" s="361"/>
      <c r="AG433" s="364" t="s">
        <v>9814</v>
      </c>
      <c r="AH433" s="364"/>
      <c r="AI433" s="365"/>
      <c r="AJ433" s="365"/>
      <c r="AK433" s="365"/>
      <c r="AL433" s="361"/>
      <c r="AM433"/>
      <c r="AN433"/>
      <c r="AO433"/>
      <c r="AP433"/>
    </row>
    <row r="434" spans="8:8" ht="51.65">
      <c r="AC434" s="361"/>
      <c r="AF434" s="361"/>
      <c r="AG434" s="364" t="s">
        <v>9815</v>
      </c>
      <c r="AH434" s="364" t="s">
        <v>9816</v>
      </c>
      <c r="AI434" s="365"/>
      <c r="AJ434" s="365"/>
      <c r="AK434" s="365"/>
      <c r="AL434" s="361"/>
      <c r="AM434"/>
      <c r="AN434"/>
      <c r="AO434"/>
      <c r="AP434"/>
    </row>
    <row r="435" spans="8:8" ht="51.65">
      <c r="AC435" s="361"/>
      <c r="AF435" s="361"/>
      <c r="AG435" s="364" t="s">
        <v>9817</v>
      </c>
      <c r="AH435" s="364"/>
      <c r="AI435" s="365"/>
      <c r="AJ435" s="365"/>
      <c r="AK435" s="365"/>
      <c r="AL435" s="361"/>
      <c r="AM435"/>
      <c r="AN435"/>
      <c r="AO435"/>
      <c r="AP435"/>
    </row>
    <row r="436" spans="8:8" ht="51.65">
      <c r="AC436" s="361"/>
      <c r="AE436" s="289" t="s">
        <v>9940</v>
      </c>
      <c r="AF436" s="361"/>
      <c r="AG436" s="364" t="s">
        <v>9818</v>
      </c>
      <c r="AH436" s="364"/>
      <c r="AI436" s="365"/>
      <c r="AJ436" s="365"/>
      <c r="AK436" s="365"/>
      <c r="AL436" s="361"/>
      <c r="AM436"/>
      <c r="AN436"/>
      <c r="AO436"/>
      <c r="AP436"/>
    </row>
    <row r="437" spans="8:8" ht="51.65">
      <c r="AC437" s="361"/>
      <c r="AE437" s="289" t="s">
        <v>9941</v>
      </c>
      <c r="AF437" s="361"/>
      <c r="AG437" s="364" t="s">
        <v>9819</v>
      </c>
      <c r="AH437" s="364"/>
      <c r="AI437" s="365"/>
      <c r="AJ437" s="365"/>
      <c r="AK437" s="365"/>
      <c r="AL437" s="361"/>
      <c r="AM437"/>
      <c r="AN437"/>
      <c r="AO437"/>
      <c r="AP437"/>
    </row>
    <row r="438" spans="8:8" ht="51.65">
      <c r="AC438" s="361"/>
      <c r="AE438" s="289" t="s">
        <v>9942</v>
      </c>
      <c r="AF438" s="361"/>
      <c r="AG438" s="364" t="s">
        <v>9820</v>
      </c>
      <c r="AH438" s="364"/>
      <c r="AI438" s="365"/>
      <c r="AJ438" s="365"/>
      <c r="AK438" s="365"/>
      <c r="AL438" s="361"/>
      <c r="AM438"/>
      <c r="AN438"/>
      <c r="AO438"/>
      <c r="AP438"/>
    </row>
    <row r="439" spans="8:8" ht="60.0">
      <c r="AC439" s="361"/>
      <c r="AE439" s="289" t="s">
        <v>9943</v>
      </c>
      <c r="AF439" s="361"/>
      <c r="AG439" s="364" t="s">
        <v>9821</v>
      </c>
      <c r="AH439" s="364"/>
      <c r="AI439" s="365"/>
      <c r="AJ439" s="365"/>
      <c r="AK439" s="365"/>
      <c r="AL439" s="361"/>
      <c r="AM439"/>
      <c r="AN439"/>
      <c r="AO439"/>
      <c r="AP439"/>
    </row>
    <row r="440" spans="8:8" ht="51.65">
      <c r="AC440" s="361"/>
      <c r="AE440" s="289" t="s">
        <v>9944</v>
      </c>
      <c r="AF440" s="361"/>
      <c r="AG440" s="364" t="s">
        <v>9822</v>
      </c>
      <c r="AH440" s="364"/>
      <c r="AI440" s="365"/>
      <c r="AJ440" s="365"/>
      <c r="AK440" s="365"/>
      <c r="AL440" s="361"/>
      <c r="AM440"/>
      <c r="AN440"/>
      <c r="AO440"/>
      <c r="AP440"/>
    </row>
    <row r="441" spans="8:8" ht="51.65">
      <c r="AC441" s="361"/>
      <c r="AE441" s="289" t="s">
        <v>9945</v>
      </c>
      <c r="AF441" s="361"/>
      <c r="AG441" s="364" t="s">
        <v>9823</v>
      </c>
      <c r="AH441" s="364"/>
      <c r="AI441" s="365"/>
      <c r="AJ441" s="365"/>
      <c r="AK441" s="365"/>
      <c r="AL441" s="361"/>
      <c r="AM441"/>
      <c r="AN441"/>
      <c r="AO441"/>
      <c r="AP441"/>
    </row>
    <row r="442" spans="8:8" ht="51.65">
      <c r="AC442" s="361"/>
      <c r="AE442" s="289" t="s">
        <v>9946</v>
      </c>
      <c r="AF442" s="361"/>
      <c r="AG442" s="364" t="s">
        <v>9824</v>
      </c>
      <c r="AH442" s="364"/>
      <c r="AI442" s="365"/>
      <c r="AJ442" s="365"/>
      <c r="AK442" s="365"/>
      <c r="AL442" s="361"/>
      <c r="AM442"/>
      <c r="AN442"/>
      <c r="AO442"/>
      <c r="AP442"/>
    </row>
    <row r="443" spans="8:8" ht="51.65">
      <c r="AC443" s="361"/>
      <c r="AE443" s="289" t="s">
        <v>9947</v>
      </c>
      <c r="AF443" s="361"/>
      <c r="AG443" s="364" t="s">
        <v>9825</v>
      </c>
      <c r="AH443" s="364"/>
      <c r="AI443" s="365"/>
      <c r="AJ443" s="365"/>
      <c r="AK443" s="365"/>
      <c r="AL443" s="361"/>
      <c r="AM443"/>
      <c r="AN443"/>
      <c r="AO443"/>
      <c r="AP443"/>
    </row>
    <row r="444" spans="8:8" ht="51.65">
      <c r="AC444" s="361"/>
      <c r="AE444" s="289" t="s">
        <v>9948</v>
      </c>
      <c r="AF444" s="361"/>
      <c r="AG444" s="364" t="s">
        <v>9826</v>
      </c>
      <c r="AH444" s="364"/>
      <c r="AI444" s="365"/>
      <c r="AJ444" s="365"/>
      <c r="AK444" s="365"/>
      <c r="AL444" s="361"/>
      <c r="AM444"/>
      <c r="AN444"/>
      <c r="AO444"/>
      <c r="AP444"/>
    </row>
    <row r="445" spans="8:8" ht="51.65">
      <c r="AC445" s="361"/>
      <c r="AE445" s="289" t="s">
        <v>9949</v>
      </c>
      <c r="AF445" s="361"/>
      <c r="AG445" s="364" t="s">
        <v>9827</v>
      </c>
      <c r="AH445" s="364"/>
      <c r="AI445" s="365"/>
      <c r="AJ445" s="365"/>
      <c r="AK445" s="365"/>
      <c r="AL445" s="361"/>
      <c r="AM445"/>
      <c r="AN445"/>
      <c r="AO445"/>
      <c r="AP445"/>
    </row>
    <row r="446" spans="8:8" ht="51.65">
      <c r="AC446" s="361"/>
      <c r="AE446" s="289" t="s">
        <v>9950</v>
      </c>
      <c r="AF446" s="361"/>
      <c r="AG446" s="364" t="s">
        <v>2752</v>
      </c>
      <c r="AH446" s="364"/>
      <c r="AI446" s="365"/>
      <c r="AJ446" s="365"/>
      <c r="AK446" s="365"/>
      <c r="AL446" s="361"/>
      <c r="AM446"/>
      <c r="AN446"/>
      <c r="AO446"/>
      <c r="AP446"/>
    </row>
    <row r="447" spans="8:8" ht="51.65">
      <c r="AC447" s="361"/>
      <c r="AE447" s="289" t="s">
        <v>9951</v>
      </c>
      <c r="AF447" s="361"/>
      <c r="AG447" s="364" t="s">
        <v>9828</v>
      </c>
      <c r="AH447" s="364"/>
      <c r="AI447" s="365"/>
      <c r="AJ447" s="365"/>
      <c r="AK447" s="365"/>
      <c r="AL447" s="361"/>
      <c r="AM447"/>
      <c r="AN447"/>
      <c r="AO447"/>
      <c r="AP447"/>
    </row>
    <row r="448" spans="8:8" ht="51.65">
      <c r="AC448" s="361"/>
      <c r="AE448" s="289" t="s">
        <v>9952</v>
      </c>
      <c r="AF448" s="361"/>
      <c r="AG448" s="364" t="s">
        <v>9829</v>
      </c>
      <c r="AH448" s="364"/>
      <c r="AI448" s="365"/>
      <c r="AJ448" s="365"/>
      <c r="AK448" s="365"/>
      <c r="AL448" s="361"/>
      <c r="AM448"/>
      <c r="AN448"/>
      <c r="AO448"/>
      <c r="AP448"/>
    </row>
    <row r="449" spans="8:8" ht="51.65">
      <c r="AC449" s="361"/>
      <c r="AE449" s="289" t="s">
        <v>9953</v>
      </c>
      <c r="AF449" s="361"/>
      <c r="AG449" s="364" t="s">
        <v>9830</v>
      </c>
      <c r="AH449" s="364"/>
      <c r="AI449" s="365"/>
      <c r="AJ449" s="365"/>
      <c r="AK449" s="365"/>
      <c r="AL449" s="361"/>
      <c r="AM449"/>
      <c r="AN449"/>
      <c r="AO449"/>
      <c r="AP449"/>
    </row>
    <row r="450" spans="8:8" ht="51.65">
      <c r="AC450" s="361"/>
      <c r="AE450" s="289" t="s">
        <v>9954</v>
      </c>
      <c r="AF450" s="361"/>
      <c r="AG450" s="364" t="s">
        <v>9831</v>
      </c>
      <c r="AH450" s="364"/>
      <c r="AI450" s="365"/>
      <c r="AJ450" s="365"/>
      <c r="AK450" s="365"/>
      <c r="AL450" s="361"/>
      <c r="AM450"/>
      <c r="AN450"/>
      <c r="AO450"/>
      <c r="AP450"/>
    </row>
    <row r="451" spans="8:8" ht="51.65">
      <c r="AC451" s="361"/>
      <c r="AE451" s="289" t="s">
        <v>9955</v>
      </c>
      <c r="AF451" s="361"/>
      <c r="AG451" s="364" t="s">
        <v>6952</v>
      </c>
      <c r="AH451" s="364"/>
      <c r="AI451" s="365"/>
      <c r="AJ451" s="365"/>
      <c r="AK451" s="365"/>
      <c r="AL451" s="361"/>
      <c r="AM451"/>
      <c r="AN451"/>
      <c r="AO451"/>
      <c r="AP451"/>
    </row>
    <row r="452" spans="8:8" ht="51.65">
      <c r="AC452" s="361"/>
      <c r="AE452" s="289" t="s">
        <v>9956</v>
      </c>
      <c r="AF452" s="361"/>
      <c r="AG452" s="364" t="s">
        <v>6957</v>
      </c>
      <c r="AH452" s="364"/>
      <c r="AI452" s="365"/>
      <c r="AJ452" s="365"/>
      <c r="AK452" s="365"/>
      <c r="AL452" s="361"/>
      <c r="AM452"/>
      <c r="AN452"/>
      <c r="AO452"/>
      <c r="AP452"/>
    </row>
    <row r="453" spans="8:8" ht="51.65">
      <c r="AC453" s="361"/>
      <c r="AE453" s="289" t="s">
        <v>9957</v>
      </c>
      <c r="AF453" s="361"/>
      <c r="AG453" s="364" t="s">
        <v>6962</v>
      </c>
      <c r="AH453" s="364"/>
      <c r="AI453" s="365"/>
      <c r="AJ453" s="365"/>
      <c r="AK453" s="365"/>
      <c r="AL453" s="361"/>
      <c r="AM453"/>
      <c r="AN453"/>
      <c r="AO453"/>
      <c r="AP453"/>
    </row>
    <row r="454" spans="8:8" ht="51.65">
      <c r="AC454" s="361"/>
      <c r="AE454" s="289" t="s">
        <v>9958</v>
      </c>
      <c r="AF454" s="361"/>
      <c r="AG454" s="364" t="s">
        <v>9832</v>
      </c>
      <c r="AH454" s="364"/>
      <c r="AI454" s="365"/>
      <c r="AJ454" s="365"/>
      <c r="AK454" s="365"/>
      <c r="AL454" s="361"/>
      <c r="AM454"/>
      <c r="AN454"/>
      <c r="AO454"/>
      <c r="AP454"/>
    </row>
    <row r="455" spans="8:8" ht="51.65">
      <c r="AC455" s="361"/>
      <c r="AE455" s="289" t="s">
        <v>9959</v>
      </c>
      <c r="AF455" s="361"/>
      <c r="AG455" s="364" t="s">
        <v>9833</v>
      </c>
      <c r="AH455" s="364"/>
      <c r="AI455" s="365"/>
      <c r="AJ455" s="365"/>
      <c r="AK455" s="365"/>
      <c r="AL455" s="361"/>
      <c r="AM455"/>
      <c r="AN455"/>
      <c r="AO455"/>
      <c r="AP455"/>
    </row>
    <row r="456" spans="8:8" ht="51.65">
      <c r="AC456" s="361"/>
      <c r="AE456" s="289" t="s">
        <v>9960</v>
      </c>
      <c r="AF456" s="361"/>
      <c r="AG456" s="364" t="s">
        <v>9834</v>
      </c>
      <c r="AH456" s="364"/>
      <c r="AI456" s="365"/>
      <c r="AJ456" s="365"/>
      <c r="AK456" s="365"/>
      <c r="AL456" s="361"/>
      <c r="AM456"/>
      <c r="AN456"/>
      <c r="AO456"/>
      <c r="AP456"/>
    </row>
    <row r="457" spans="8:8" ht="51.65">
      <c r="AC457" s="361"/>
      <c r="AE457" s="289" t="s">
        <v>9961</v>
      </c>
      <c r="AF457" s="361"/>
      <c r="AG457" s="364" t="s">
        <v>9835</v>
      </c>
      <c r="AH457" s="364"/>
      <c r="AI457" s="365"/>
      <c r="AJ457" s="365"/>
      <c r="AK457" s="365"/>
      <c r="AL457" s="361"/>
      <c r="AM457"/>
      <c r="AN457"/>
      <c r="AO457"/>
      <c r="AP457"/>
    </row>
    <row r="458" spans="8:8" ht="51.65">
      <c r="AC458" s="361"/>
      <c r="AE458" s="289" t="s">
        <v>9962</v>
      </c>
      <c r="AF458" s="361"/>
      <c r="AG458" s="364" t="s">
        <v>9836</v>
      </c>
      <c r="AH458" s="364"/>
      <c r="AI458" s="365"/>
      <c r="AJ458" s="365"/>
      <c r="AK458" s="365"/>
      <c r="AL458" s="361"/>
      <c r="AM458"/>
      <c r="AN458"/>
      <c r="AO458"/>
      <c r="AP458"/>
    </row>
    <row r="459" spans="8:8" ht="51.65">
      <c r="AC459" s="361"/>
      <c r="AE459" s="289" t="s">
        <v>9963</v>
      </c>
      <c r="AF459" s="361"/>
      <c r="AG459" s="364" t="s">
        <v>9837</v>
      </c>
      <c r="AH459" s="364"/>
      <c r="AI459" s="365"/>
      <c r="AJ459" s="365"/>
      <c r="AK459" s="365"/>
      <c r="AL459" s="361"/>
      <c r="AM459"/>
      <c r="AN459"/>
      <c r="AO459"/>
      <c r="AP459"/>
    </row>
    <row r="460" spans="8:8" ht="51.65">
      <c r="AC460" s="361"/>
      <c r="AE460" s="289" t="s">
        <v>9964</v>
      </c>
      <c r="AF460" s="361"/>
      <c r="AG460" s="364" t="s">
        <v>9838</v>
      </c>
      <c r="AH460" s="364"/>
      <c r="AI460" s="365"/>
      <c r="AJ460" s="365"/>
      <c r="AK460" s="365"/>
      <c r="AL460" s="361"/>
      <c r="AM460"/>
      <c r="AN460"/>
      <c r="AO460"/>
      <c r="AP460"/>
    </row>
    <row r="461" spans="8:8" ht="51.65">
      <c r="AC461" s="361"/>
      <c r="AE461" s="289" t="s">
        <v>9965</v>
      </c>
      <c r="AF461" s="361"/>
      <c r="AG461" s="361"/>
      <c r="AH461" s="361"/>
      <c r="AI461" s="361"/>
      <c r="AJ461" s="361"/>
      <c r="AK461" s="361"/>
      <c r="AL461" s="361"/>
      <c r="AM461"/>
      <c r="AN461"/>
      <c r="AO461"/>
      <c r="AP461"/>
    </row>
    <row r="462" spans="8:8" ht="51.65">
      <c r="AC462" s="361"/>
      <c r="AE462" s="289" t="s">
        <v>9966</v>
      </c>
      <c r="AF462" s="361"/>
      <c r="AG462" s="361"/>
      <c r="AH462" s="361"/>
      <c r="AI462" s="361"/>
      <c r="AJ462" s="361"/>
      <c r="AK462" s="361"/>
      <c r="AL462" s="361"/>
      <c r="AM462"/>
      <c r="AN462"/>
      <c r="AO462"/>
      <c r="AP462"/>
    </row>
    <row r="463" spans="8:8" ht="51.65">
      <c r="AC463" s="361"/>
      <c r="AE463" s="289" t="s">
        <v>9967</v>
      </c>
      <c r="AF463" s="361"/>
      <c r="AG463" s="361"/>
      <c r="AH463" s="361"/>
      <c r="AI463" s="361"/>
      <c r="AJ463" s="361"/>
      <c r="AK463" s="361"/>
      <c r="AL463" s="361"/>
      <c r="AM463"/>
      <c r="AN463"/>
      <c r="AO463"/>
      <c r="AP463"/>
    </row>
    <row r="464" spans="8:8" ht="51.65">
      <c r="AC464" s="361"/>
      <c r="AE464" s="289" t="s">
        <v>9968</v>
      </c>
      <c r="AF464" s="361"/>
      <c r="AG464" s="361"/>
      <c r="AH464" s="361"/>
      <c r="AI464" s="361"/>
      <c r="AJ464" s="361"/>
      <c r="AK464" s="361"/>
      <c r="AL464" s="361"/>
      <c r="AM464"/>
      <c r="AN464"/>
      <c r="AO464"/>
      <c r="AP464"/>
    </row>
    <row r="465" spans="8:8" ht="51.65">
      <c r="AC465" s="361"/>
      <c r="AE465" s="289" t="s">
        <v>9969</v>
      </c>
      <c r="AF465" s="361"/>
      <c r="AG465" s="361"/>
      <c r="AH465" s="361"/>
      <c r="AI465" s="361"/>
      <c r="AJ465" s="361"/>
      <c r="AK465" s="361"/>
      <c r="AL465" s="361"/>
      <c r="AM465"/>
      <c r="AN465"/>
      <c r="AO465"/>
      <c r="AP465"/>
    </row>
    <row r="466" spans="8:8" ht="51.65">
      <c r="AC466" s="361"/>
      <c r="AE466" s="289" t="s">
        <v>9970</v>
      </c>
      <c r="AF466" s="361"/>
      <c r="AG466" s="361"/>
      <c r="AH466" s="361"/>
      <c r="AI466" s="361"/>
      <c r="AJ466" s="361"/>
      <c r="AK466" s="361"/>
      <c r="AL466" s="361"/>
      <c r="AM466"/>
      <c r="AN466"/>
      <c r="AO466"/>
      <c r="AP466"/>
    </row>
    <row r="467" spans="8:8" ht="51.65">
      <c r="AC467" s="361"/>
      <c r="AE467" s="289" t="s">
        <v>9971</v>
      </c>
      <c r="AF467" s="361"/>
      <c r="AG467" s="361"/>
      <c r="AH467" s="361"/>
      <c r="AI467" s="361"/>
      <c r="AJ467" s="361"/>
      <c r="AK467" s="361"/>
      <c r="AL467" s="361"/>
      <c r="AM467"/>
      <c r="AN467"/>
      <c r="AO467"/>
      <c r="AP467"/>
    </row>
    <row r="468" spans="8:8" ht="51.65">
      <c r="AC468" s="361"/>
      <c r="AE468" s="289" t="s">
        <v>4821</v>
      </c>
      <c r="AF468" s="361"/>
      <c r="AG468" s="361"/>
      <c r="AH468" s="361"/>
      <c r="AI468" s="361"/>
      <c r="AJ468" s="361"/>
      <c r="AK468" s="361"/>
      <c r="AL468" s="361"/>
      <c r="AM468"/>
      <c r="AN468"/>
      <c r="AO468"/>
      <c r="AP468"/>
    </row>
    <row r="469" spans="8:8" ht="51.65">
      <c r="AC469" s="361"/>
      <c r="AE469" s="289" t="s">
        <v>9972</v>
      </c>
      <c r="AF469" s="361"/>
      <c r="AG469" s="361"/>
      <c r="AH469" s="361"/>
      <c r="AI469" s="361"/>
      <c r="AJ469" s="361"/>
      <c r="AK469" s="361"/>
      <c r="AL469" s="361"/>
      <c r="AM469"/>
      <c r="AN469"/>
      <c r="AO469"/>
      <c r="AP469"/>
    </row>
    <row r="470" spans="8:8" ht="51.65">
      <c r="AC470" s="361"/>
      <c r="AE470" s="289" t="s">
        <v>9973</v>
      </c>
      <c r="AF470" s="361"/>
      <c r="AG470" s="361"/>
      <c r="AH470" s="361"/>
      <c r="AI470" s="361"/>
      <c r="AJ470" s="361"/>
      <c r="AK470" s="361"/>
      <c r="AL470" s="361"/>
      <c r="AM470"/>
      <c r="AN470"/>
      <c r="AO470"/>
      <c r="AP470"/>
    </row>
    <row r="471" spans="8:8" ht="51.65">
      <c r="AC471" s="361"/>
      <c r="AE471" s="289" t="s">
        <v>9974</v>
      </c>
      <c r="AF471" s="361"/>
      <c r="AG471" s="361"/>
      <c r="AH471" s="361"/>
      <c r="AI471" s="361"/>
      <c r="AJ471" s="361"/>
      <c r="AK471" s="361"/>
      <c r="AL471" s="361"/>
      <c r="AM471"/>
      <c r="AN471"/>
      <c r="AO471"/>
      <c r="AP471"/>
    </row>
    <row r="472" spans="8:8" ht="51.65">
      <c r="AC472" s="361"/>
      <c r="AE472" s="289" t="s">
        <v>9975</v>
      </c>
      <c r="AF472" s="361"/>
      <c r="AG472" s="361"/>
      <c r="AH472" s="361"/>
      <c r="AI472" s="361"/>
      <c r="AJ472" s="361"/>
      <c r="AK472" s="361"/>
      <c r="AL472" s="361"/>
      <c r="AM472"/>
      <c r="AN472"/>
      <c r="AO472"/>
      <c r="AP472"/>
    </row>
    <row r="473" spans="8:8" ht="51.65">
      <c r="AC473" s="361"/>
      <c r="AE473" s="289" t="s">
        <v>9976</v>
      </c>
      <c r="AF473" s="361"/>
      <c r="AG473" s="361"/>
      <c r="AH473" s="361"/>
      <c r="AI473" s="361"/>
      <c r="AJ473" s="361"/>
      <c r="AK473" s="361"/>
      <c r="AL473" s="361"/>
      <c r="AM473"/>
      <c r="AN473"/>
      <c r="AO473"/>
      <c r="AP473"/>
    </row>
    <row r="474" spans="8:8">
      <c r="AC474" s="361"/>
      <c r="AE474" s="289" t="s">
        <v>9977</v>
      </c>
      <c r="AF474" s="361"/>
      <c r="AG474" s="361"/>
      <c r="AH474" s="361"/>
      <c r="AI474" s="361"/>
      <c r="AJ474" s="361"/>
      <c r="AK474" s="361"/>
      <c r="AL474" s="361"/>
      <c r="AM474"/>
      <c r="AN474"/>
      <c r="AO474"/>
      <c r="AP474"/>
    </row>
    <row r="475" spans="8:8">
      <c r="AC475" s="361"/>
      <c r="AE475" s="289" t="s">
        <v>9978</v>
      </c>
      <c r="AF475" s="361"/>
      <c r="AG475" s="361"/>
      <c r="AH475" s="361"/>
      <c r="AI475" s="361"/>
      <c r="AJ475" s="361"/>
      <c r="AK475" s="361"/>
      <c r="AL475" s="361"/>
      <c r="AM475"/>
      <c r="AN475"/>
      <c r="AO475"/>
      <c r="AP475"/>
    </row>
    <row r="476" spans="8:8">
      <c r="AC476" s="361"/>
      <c r="AE476" s="289" t="s">
        <v>9979</v>
      </c>
      <c r="AF476" s="361"/>
      <c r="AG476" s="361"/>
      <c r="AH476" s="361"/>
      <c r="AI476" s="361"/>
      <c r="AJ476" s="361"/>
      <c r="AK476" s="361"/>
      <c r="AL476" s="361"/>
      <c r="AM476"/>
      <c r="AN476"/>
      <c r="AO476"/>
      <c r="AP476"/>
    </row>
    <row r="477" spans="8:8">
      <c r="AC477" s="361"/>
      <c r="AE477" s="289" t="s">
        <v>9980</v>
      </c>
      <c r="AF477" s="361"/>
      <c r="AG477" s="361"/>
      <c r="AH477" s="361"/>
      <c r="AI477" s="361"/>
      <c r="AJ477" s="361"/>
      <c r="AK477" s="361"/>
      <c r="AL477" s="361"/>
      <c r="AM477"/>
      <c r="AN477"/>
      <c r="AO477"/>
      <c r="AP477"/>
    </row>
    <row r="478" spans="8:8">
      <c r="AC478" s="361"/>
      <c r="AE478" s="289" t="s">
        <v>9981</v>
      </c>
      <c r="AF478" s="361"/>
      <c r="AG478" s="361"/>
      <c r="AH478" s="361"/>
      <c r="AI478" s="361"/>
      <c r="AJ478" s="361"/>
      <c r="AK478" s="361"/>
      <c r="AL478" s="361"/>
      <c r="AM478"/>
      <c r="AN478"/>
      <c r="AO478"/>
      <c r="AP478"/>
    </row>
    <row r="479" spans="8:8">
      <c r="AC479" s="361"/>
      <c r="AE479" s="289" t="s">
        <v>9982</v>
      </c>
      <c r="AF479" s="361"/>
      <c r="AG479" s="361"/>
      <c r="AH479" s="361"/>
      <c r="AI479" s="361"/>
      <c r="AJ479" s="361"/>
      <c r="AK479" s="361"/>
      <c r="AL479" s="361"/>
      <c r="AM479"/>
      <c r="AN479"/>
      <c r="AO479"/>
      <c r="AP479"/>
    </row>
    <row r="480" spans="8:8">
      <c r="AC480" s="361"/>
      <c r="AE480" s="289" t="s">
        <v>9983</v>
      </c>
      <c r="AF480" s="361"/>
      <c r="AG480" s="361"/>
      <c r="AH480" s="361"/>
      <c r="AI480" s="361"/>
      <c r="AJ480" s="361"/>
      <c r="AK480" s="361"/>
      <c r="AL480" s="361"/>
      <c r="AM480"/>
      <c r="AN480"/>
      <c r="AO480"/>
      <c r="AP480"/>
    </row>
    <row r="481" spans="8:8">
      <c r="AC481" s="361"/>
      <c r="AE481" s="289" t="s">
        <v>9984</v>
      </c>
      <c r="AF481" s="361"/>
      <c r="AG481" s="361"/>
      <c r="AH481" s="361"/>
      <c r="AI481" s="361"/>
      <c r="AJ481" s="361"/>
      <c r="AK481" s="361"/>
      <c r="AL481" s="361"/>
      <c r="AM481"/>
      <c r="AN481"/>
      <c r="AO481"/>
      <c r="AP481"/>
    </row>
    <row r="482" spans="8:8">
      <c r="AC482" s="361"/>
      <c r="AE482" s="289" t="s">
        <v>9985</v>
      </c>
      <c r="AF482" s="361"/>
      <c r="AG482" s="361"/>
      <c r="AH482" s="361"/>
      <c r="AI482" s="361"/>
      <c r="AJ482" s="361"/>
      <c r="AK482" s="361"/>
      <c r="AL482" s="361"/>
      <c r="AM482"/>
      <c r="AN482"/>
      <c r="AO482"/>
      <c r="AP482"/>
    </row>
    <row r="483" spans="8:8">
      <c r="AC483" s="361"/>
      <c r="AE483" s="289" t="s">
        <v>9986</v>
      </c>
      <c r="AF483" s="361"/>
      <c r="AG483" s="361"/>
      <c r="AH483" s="361"/>
      <c r="AI483" s="361"/>
      <c r="AJ483" s="361"/>
      <c r="AK483" s="361"/>
      <c r="AL483" s="361"/>
      <c r="AM483"/>
      <c r="AN483"/>
      <c r="AO483"/>
      <c r="AP483"/>
    </row>
    <row r="484" spans="8:8">
      <c r="AC484" s="361"/>
      <c r="AE484" s="289" t="s">
        <v>9987</v>
      </c>
      <c r="AF484" s="361"/>
      <c r="AG484" s="361"/>
      <c r="AH484" s="361"/>
      <c r="AI484" s="361"/>
      <c r="AJ484" s="361"/>
      <c r="AK484" s="361"/>
      <c r="AL484" s="361"/>
      <c r="AM484"/>
      <c r="AN484"/>
      <c r="AO484"/>
      <c r="AP484"/>
    </row>
    <row r="485" spans="8:8">
      <c r="AC485" s="361"/>
      <c r="AE485" s="289" t="s">
        <v>9988</v>
      </c>
      <c r="AF485" s="361"/>
      <c r="AG485" s="361"/>
      <c r="AH485" s="361"/>
      <c r="AI485" s="361"/>
      <c r="AJ485" s="361"/>
      <c r="AK485" s="361"/>
      <c r="AL485" s="361"/>
      <c r="AM485"/>
      <c r="AN485"/>
      <c r="AO485"/>
      <c r="AP485"/>
    </row>
    <row r="486" spans="8:8">
      <c r="AC486" s="361"/>
      <c r="AE486" s="289" t="s">
        <v>9989</v>
      </c>
      <c r="AF486" s="361"/>
      <c r="AG486" s="361"/>
      <c r="AH486" s="361"/>
      <c r="AI486" s="361"/>
      <c r="AJ486" s="361"/>
      <c r="AK486" s="361"/>
      <c r="AL486" s="361"/>
      <c r="AM486"/>
      <c r="AN486"/>
      <c r="AO486"/>
      <c r="AP486"/>
    </row>
    <row r="487" spans="8:8">
      <c r="AC487" s="361"/>
      <c r="AE487" s="289" t="s">
        <v>9990</v>
      </c>
      <c r="AF487" s="361"/>
      <c r="AG487" s="361"/>
      <c r="AH487" s="361"/>
      <c r="AI487" s="361"/>
      <c r="AJ487" s="361"/>
      <c r="AK487" s="361"/>
      <c r="AL487" s="361"/>
      <c r="AM487"/>
      <c r="AN487"/>
      <c r="AO487"/>
      <c r="AP487"/>
    </row>
    <row r="488" spans="8:8">
      <c r="AC488" s="361"/>
      <c r="AE488" s="289" t="s">
        <v>9991</v>
      </c>
      <c r="AF488" s="361"/>
      <c r="AG488" s="361"/>
      <c r="AH488" s="361"/>
      <c r="AI488" s="361"/>
      <c r="AJ488" s="361"/>
      <c r="AK488" s="361"/>
      <c r="AL488" s="361"/>
      <c r="AM488"/>
      <c r="AN488"/>
      <c r="AO488"/>
      <c r="AP488"/>
    </row>
    <row r="489" spans="8:8">
      <c r="AC489" s="361"/>
      <c r="AE489" s="289" t="s">
        <v>9992</v>
      </c>
      <c r="AF489" s="361"/>
      <c r="AG489" s="361"/>
      <c r="AH489" s="361"/>
      <c r="AI489" s="361"/>
      <c r="AJ489" s="361"/>
      <c r="AK489" s="361"/>
      <c r="AL489" s="361"/>
      <c r="AM489"/>
      <c r="AN489"/>
      <c r="AO489"/>
      <c r="AP489"/>
    </row>
    <row r="490" spans="8:8">
      <c r="AC490" s="361"/>
      <c r="AE490" s="289" t="s">
        <v>9993</v>
      </c>
      <c r="AF490" s="361"/>
      <c r="AG490" s="361"/>
      <c r="AH490" s="361"/>
      <c r="AI490" s="361"/>
      <c r="AJ490" s="361"/>
      <c r="AK490" s="361"/>
      <c r="AL490" s="361"/>
      <c r="AM490"/>
      <c r="AN490"/>
      <c r="AO490"/>
      <c r="AP490"/>
    </row>
    <row r="491" spans="8:8">
      <c r="AC491" s="361"/>
      <c r="AE491" s="289" t="s">
        <v>9994</v>
      </c>
      <c r="AF491" s="361"/>
      <c r="AG491" s="361"/>
      <c r="AH491" s="361"/>
      <c r="AI491" s="361"/>
      <c r="AJ491" s="361"/>
      <c r="AK491" s="361"/>
      <c r="AL491" s="361"/>
      <c r="AM491"/>
      <c r="AN491"/>
      <c r="AO491"/>
      <c r="AP491"/>
    </row>
    <row r="492" spans="8:8">
      <c r="AC492" s="361"/>
      <c r="AE492" s="289" t="s">
        <v>9995</v>
      </c>
      <c r="AF492" s="361"/>
      <c r="AG492" s="361"/>
      <c r="AH492" s="361"/>
      <c r="AI492" s="361"/>
      <c r="AJ492" s="361"/>
      <c r="AK492" s="361"/>
      <c r="AL492" s="361"/>
      <c r="AM492"/>
      <c r="AN492"/>
      <c r="AO492"/>
      <c r="AP492"/>
    </row>
    <row r="493" spans="8:8">
      <c r="AC493" s="361"/>
      <c r="AE493" s="289" t="s">
        <v>9996</v>
      </c>
      <c r="AF493" s="361"/>
      <c r="AG493" s="361"/>
      <c r="AH493" s="361"/>
      <c r="AI493" s="361"/>
      <c r="AJ493" s="361"/>
      <c r="AK493" s="361"/>
      <c r="AL493" s="361"/>
      <c r="AM493"/>
      <c r="AN493"/>
      <c r="AO493"/>
      <c r="AP493"/>
    </row>
    <row r="494" spans="8:8">
      <c r="AC494" s="361"/>
      <c r="AE494" s="289" t="s">
        <v>9997</v>
      </c>
      <c r="AF494" s="361"/>
      <c r="AG494" s="361"/>
      <c r="AH494" s="361"/>
      <c r="AI494" s="361"/>
      <c r="AJ494" s="361"/>
      <c r="AK494" s="361"/>
      <c r="AL494" s="361"/>
      <c r="AM494"/>
      <c r="AN494"/>
      <c r="AO494"/>
      <c r="AP494"/>
    </row>
    <row r="495" spans="8:8">
      <c r="AC495" s="361"/>
      <c r="AE495" s="289" t="s">
        <v>9998</v>
      </c>
      <c r="AF495" s="361"/>
      <c r="AG495" s="361"/>
      <c r="AH495" s="361"/>
      <c r="AI495" s="361"/>
      <c r="AJ495" s="361"/>
      <c r="AK495" s="361"/>
      <c r="AL495" s="361"/>
      <c r="AM495"/>
      <c r="AN495"/>
      <c r="AO495"/>
      <c r="AP495"/>
    </row>
    <row r="496" spans="8:8">
      <c r="AC496" s="361"/>
      <c r="AE496" s="289" t="s">
        <v>9999</v>
      </c>
      <c r="AF496" s="361"/>
      <c r="AG496" s="361"/>
      <c r="AH496" s="361"/>
      <c r="AI496" s="361"/>
      <c r="AJ496" s="361"/>
      <c r="AK496" s="361"/>
      <c r="AL496" s="361"/>
      <c r="AM496"/>
      <c r="AN496"/>
      <c r="AO496"/>
      <c r="AP496"/>
    </row>
    <row r="497" spans="8:8">
      <c r="AC497" s="361"/>
      <c r="AE497" s="289" t="s">
        <v>10000</v>
      </c>
      <c r="AF497" s="361"/>
      <c r="AG497" s="361"/>
      <c r="AH497" s="361"/>
      <c r="AI497" s="361"/>
      <c r="AJ497" s="361"/>
      <c r="AK497" s="361"/>
      <c r="AL497" s="361"/>
      <c r="AM497"/>
      <c r="AN497"/>
      <c r="AO497"/>
      <c r="AP497"/>
    </row>
    <row r="498" spans="8:8">
      <c r="AC498" s="361"/>
      <c r="AE498" s="289" t="s">
        <v>10001</v>
      </c>
      <c r="AF498" s="361"/>
      <c r="AG498" s="361"/>
      <c r="AH498" s="361"/>
      <c r="AI498" s="361"/>
      <c r="AJ498" s="361"/>
      <c r="AK498" s="361"/>
      <c r="AL498" s="361"/>
      <c r="AM498"/>
      <c r="AN498"/>
      <c r="AO498"/>
      <c r="AP498"/>
    </row>
    <row r="499" spans="8:8">
      <c r="AC499" s="361"/>
      <c r="AE499" s="289" t="s">
        <v>10002</v>
      </c>
      <c r="AG499" s="361"/>
      <c r="AH499" s="361"/>
      <c r="AI499" s="361"/>
      <c r="AJ499" s="361"/>
      <c r="AK499" s="361"/>
      <c r="AL499" s="361"/>
      <c r="AM499"/>
      <c r="AN499"/>
      <c r="AO499"/>
      <c r="AP499"/>
    </row>
    <row r="500" spans="8:8">
      <c r="AC500" s="361"/>
      <c r="AE500" s="289" t="s">
        <v>10003</v>
      </c>
      <c r="AG500" s="361"/>
      <c r="AH500" s="361"/>
      <c r="AI500" s="361"/>
      <c r="AJ500" s="361"/>
      <c r="AK500" s="361"/>
      <c r="AL500" s="361"/>
      <c r="AM500"/>
      <c r="AN500"/>
      <c r="AO500"/>
      <c r="AP500"/>
    </row>
    <row r="502" spans="8:8">
      <c r="AE502" s="289" t="s">
        <v>10004</v>
      </c>
    </row>
    <row r="503" spans="8:8">
      <c r="AE503" s="289" t="s">
        <v>10005</v>
      </c>
    </row>
    <row r="504" spans="8:8">
      <c r="AE504" s="289" t="s">
        <v>10006</v>
      </c>
    </row>
    <row r="505" spans="8:8">
      <c r="AE505" s="289" t="s">
        <v>10007</v>
      </c>
    </row>
    <row r="506" spans="8:8">
      <c r="AE506" s="289" t="s">
        <v>10008</v>
      </c>
    </row>
    <row r="507" spans="8:8">
      <c r="AE507" s="289" t="s">
        <v>10009</v>
      </c>
    </row>
    <row r="508" spans="8:8">
      <c r="AE508" s="289" t="s">
        <v>10010</v>
      </c>
    </row>
    <row r="510" spans="8:8">
      <c r="AE510" s="289" t="s">
        <v>10011</v>
      </c>
    </row>
    <row r="512" spans="8:8">
      <c r="AE512" s="289" t="s">
        <v>10012</v>
      </c>
    </row>
    <row r="514" spans="8:8">
      <c r="AE514" s="289" t="s">
        <v>10013</v>
      </c>
    </row>
    <row r="515" spans="8:8">
      <c r="AE515" s="289" t="s">
        <v>10014</v>
      </c>
    </row>
    <row r="516" spans="8:8">
      <c r="AE516" s="289" t="s">
        <v>10015</v>
      </c>
    </row>
    <row r="517" spans="8:8">
      <c r="AE517" s="289">
        <v>6.0</v>
      </c>
    </row>
    <row r="518" spans="8:8">
      <c r="AE518" s="289">
        <v>4.0</v>
      </c>
    </row>
    <row r="519" spans="8:8">
      <c r="AE519" s="289" t="s">
        <v>10016</v>
      </c>
    </row>
    <row r="520" spans="8:8">
      <c r="AE520" s="289" t="s">
        <v>10017</v>
      </c>
    </row>
    <row r="521" spans="8:8">
      <c r="AE521" s="289" t="s">
        <v>10018</v>
      </c>
    </row>
    <row r="522" spans="8:8">
      <c r="AE522" s="289" t="s">
        <v>10019</v>
      </c>
    </row>
    <row r="523" spans="8:8">
      <c r="AE523" s="289" t="s">
        <v>10020</v>
      </c>
    </row>
    <row r="524" spans="8:8">
      <c r="AE524" s="289">
        <v>4.0</v>
      </c>
    </row>
    <row r="525" spans="8:8">
      <c r="AE525" s="289" t="s">
        <v>9934</v>
      </c>
    </row>
    <row r="526" spans="8:8">
      <c r="AE526" s="289" t="s">
        <v>10021</v>
      </c>
    </row>
    <row r="527" spans="8:8">
      <c r="AE527" s="289" t="s">
        <v>9935</v>
      </c>
    </row>
    <row r="528" spans="8:8">
      <c r="AE528" s="289" t="s">
        <v>9936</v>
      </c>
    </row>
    <row r="529" spans="8:8">
      <c r="AE529" s="289" t="s">
        <v>9937</v>
      </c>
    </row>
    <row r="530" spans="8:8">
      <c r="AE530" s="289" t="s">
        <v>9938</v>
      </c>
    </row>
    <row r="531" spans="8:8">
      <c r="AE531" s="289" t="s">
        <v>9939</v>
      </c>
    </row>
    <row r="533" spans="8:8">
      <c r="AE533" s="289" t="s">
        <v>9940</v>
      </c>
    </row>
    <row r="534" spans="8:8">
      <c r="AE534" s="289" t="s">
        <v>9941</v>
      </c>
    </row>
    <row r="535" spans="8:8">
      <c r="AE535" s="289" t="s">
        <v>9942</v>
      </c>
    </row>
    <row r="536" spans="8:8">
      <c r="AE536" s="289" t="s">
        <v>9943</v>
      </c>
    </row>
    <row r="537" spans="8:8">
      <c r="AE537" s="289" t="s">
        <v>9944</v>
      </c>
    </row>
    <row r="538" spans="8:8">
      <c r="AE538" s="289" t="s">
        <v>9945</v>
      </c>
    </row>
    <row r="539" spans="8:8">
      <c r="AE539" s="289" t="s">
        <v>9946</v>
      </c>
    </row>
    <row r="540" spans="8:8">
      <c r="AE540" s="289" t="s">
        <v>9947</v>
      </c>
    </row>
    <row r="541" spans="8:8">
      <c r="AE541" s="289" t="s">
        <v>9948</v>
      </c>
    </row>
    <row r="542" spans="8:8">
      <c r="AE542" s="289" t="s">
        <v>9949</v>
      </c>
    </row>
    <row r="543" spans="8:8">
      <c r="AE543" s="289" t="s">
        <v>9950</v>
      </c>
    </row>
    <row r="544" spans="8:8">
      <c r="AE544" s="289" t="s">
        <v>9951</v>
      </c>
    </row>
    <row r="545" spans="8:8">
      <c r="AE545" s="289" t="s">
        <v>9952</v>
      </c>
    </row>
    <row r="546" spans="8:8">
      <c r="AE546" s="289" t="s">
        <v>9953</v>
      </c>
    </row>
    <row r="547" spans="8:8">
      <c r="AE547" s="289" t="s">
        <v>9954</v>
      </c>
    </row>
    <row r="548" spans="8:8">
      <c r="AE548" s="289" t="s">
        <v>9955</v>
      </c>
    </row>
    <row r="549" spans="8:8">
      <c r="AE549" s="289" t="s">
        <v>9956</v>
      </c>
    </row>
    <row r="550" spans="8:8">
      <c r="AE550" s="289" t="s">
        <v>9957</v>
      </c>
    </row>
    <row r="551" spans="8:8">
      <c r="AE551" s="289" t="s">
        <v>9958</v>
      </c>
    </row>
    <row r="552" spans="8:8">
      <c r="AE552" s="289" t="s">
        <v>9959</v>
      </c>
    </row>
    <row r="553" spans="8:8">
      <c r="AE553" s="289" t="s">
        <v>9960</v>
      </c>
    </row>
    <row r="554" spans="8:8">
      <c r="AE554" s="289" t="s">
        <v>9961</v>
      </c>
    </row>
    <row r="555" spans="8:8">
      <c r="AE555" s="289" t="s">
        <v>9962</v>
      </c>
    </row>
    <row r="556" spans="8:8">
      <c r="AE556" s="289" t="s">
        <v>9963</v>
      </c>
    </row>
    <row r="557" spans="8:8">
      <c r="AE557" s="289" t="s">
        <v>9964</v>
      </c>
    </row>
    <row r="558" spans="8:8">
      <c r="AE558" s="289" t="s">
        <v>9965</v>
      </c>
    </row>
    <row r="559" spans="8:8">
      <c r="AE559" s="289" t="s">
        <v>9966</v>
      </c>
    </row>
    <row r="560" spans="8:8">
      <c r="AE560" s="289" t="s">
        <v>9967</v>
      </c>
    </row>
    <row r="561" spans="8:8">
      <c r="AE561" s="289" t="s">
        <v>9968</v>
      </c>
    </row>
    <row r="562" spans="8:8">
      <c r="AE562" s="289" t="s">
        <v>9969</v>
      </c>
    </row>
    <row r="563" spans="8:8">
      <c r="AE563" s="289" t="s">
        <v>9970</v>
      </c>
    </row>
    <row r="564" spans="8:8">
      <c r="AE564" s="289" t="s">
        <v>9971</v>
      </c>
    </row>
    <row r="565" spans="8:8">
      <c r="AE565" s="289" t="s">
        <v>4821</v>
      </c>
    </row>
    <row r="566" spans="8:8">
      <c r="AE566" s="289" t="s">
        <v>9972</v>
      </c>
    </row>
    <row r="567" spans="8:8">
      <c r="AE567" s="289" t="s">
        <v>9973</v>
      </c>
    </row>
    <row r="568" spans="8:8">
      <c r="AE568" s="289" t="s">
        <v>9974</v>
      </c>
    </row>
    <row r="569" spans="8:8">
      <c r="AE569" s="289" t="s">
        <v>9975</v>
      </c>
    </row>
    <row r="570" spans="8:8">
      <c r="AE570" s="289" t="s">
        <v>9976</v>
      </c>
    </row>
    <row r="571" spans="8:8">
      <c r="AE571" s="289" t="s">
        <v>9977</v>
      </c>
    </row>
    <row r="572" spans="8:8">
      <c r="AE572" s="289" t="s">
        <v>9978</v>
      </c>
    </row>
    <row r="573" spans="8:8">
      <c r="AE573" s="289" t="s">
        <v>9979</v>
      </c>
    </row>
    <row r="574" spans="8:8">
      <c r="AE574" s="289" t="s">
        <v>9980</v>
      </c>
    </row>
    <row r="575" spans="8:8">
      <c r="AE575" s="289" t="s">
        <v>9981</v>
      </c>
    </row>
    <row r="576" spans="8:8">
      <c r="AE576" s="289" t="s">
        <v>9982</v>
      </c>
    </row>
    <row r="577" spans="8:8">
      <c r="AE577" s="289" t="s">
        <v>9983</v>
      </c>
    </row>
    <row r="578" spans="8:8" ht="51.65">
      <c r="AE578" s="289" t="s">
        <v>9984</v>
      </c>
    </row>
    <row r="579" spans="8:8">
      <c r="AE579" s="289" t="s">
        <v>9985</v>
      </c>
    </row>
    <row r="580" spans="8:8">
      <c r="AE580" s="289" t="s">
        <v>9986</v>
      </c>
    </row>
    <row r="581" spans="8:8">
      <c r="AE581" s="289" t="s">
        <v>9987</v>
      </c>
    </row>
    <row r="582" spans="8:8">
      <c r="AE582" s="289" t="s">
        <v>9988</v>
      </c>
    </row>
    <row r="583" spans="8:8">
      <c r="AE583" s="289" t="s">
        <v>9989</v>
      </c>
    </row>
    <row r="584" spans="8:8">
      <c r="AE584" s="289" t="s">
        <v>9990</v>
      </c>
    </row>
    <row r="585" spans="8:8">
      <c r="AE585" s="289" t="s">
        <v>9991</v>
      </c>
    </row>
    <row r="586" spans="8:8" ht="51.65">
      <c r="AE586" s="289" t="s">
        <v>9992</v>
      </c>
    </row>
    <row r="587" spans="8:8">
      <c r="AE587" s="289" t="s">
        <v>9993</v>
      </c>
    </row>
    <row r="588" spans="8:8" ht="51.65">
      <c r="AE588" s="289" t="s">
        <v>9994</v>
      </c>
    </row>
    <row r="589" spans="8:8">
      <c r="AE589" s="289" t="s">
        <v>9995</v>
      </c>
    </row>
    <row r="590" spans="8:8" ht="51.65">
      <c r="AE590" s="289" t="s">
        <v>9996</v>
      </c>
    </row>
    <row r="591" spans="8:8">
      <c r="AE591" s="289" t="s">
        <v>9997</v>
      </c>
    </row>
    <row r="592" spans="8:8">
      <c r="AE592" s="289" t="s">
        <v>9998</v>
      </c>
    </row>
    <row r="593" spans="8:8">
      <c r="AE593" s="289" t="s">
        <v>9999</v>
      </c>
    </row>
    <row r="594" spans="8:8">
      <c r="AE594" s="289" t="s">
        <v>10000</v>
      </c>
    </row>
    <row r="595" spans="8:8">
      <c r="AE595" s="289" t="s">
        <v>10001</v>
      </c>
    </row>
    <row r="596" spans="8:8">
      <c r="AE596" s="289" t="s">
        <v>10002</v>
      </c>
    </row>
    <row r="597" spans="8:8">
      <c r="AE597" s="289" t="s">
        <v>10003</v>
      </c>
    </row>
    <row r="609" spans="8:8" ht="51.65"/>
  </sheetData>
  <sheetProtection sheet="0" formatCells="0" insertHyperlinks="0" autoFilter="0"/>
  <mergeCells count="12">
    <mergeCell ref="Y25:AA25"/>
    <mergeCell ref="Y47:AA47"/>
    <mergeCell ref="AE101:AE110"/>
    <mergeCell ref="Y1:AA1"/>
    <mergeCell ref="P1:V2"/>
    <mergeCell ref="Y28:AA28"/>
    <mergeCell ref="B150:M150"/>
    <mergeCell ref="A150:N150"/>
    <mergeCell ref="A1:N2"/>
    <mergeCell ref="A1:N1"/>
    <mergeCell ref="B3:M3"/>
    <mergeCell ref="B4:M4"/>
  </mergeCells>
  <pageMargins left="0.7" right="0.7" top="0.75" bottom="0.75" header="0.3" footer="0.3"/>
</worksheet>
</file>

<file path=xl/worksheets/sheet5.xml><?xml version="1.0" encoding="utf-8"?>
<worksheet xmlns:r="http://schemas.openxmlformats.org/officeDocument/2006/relationships" xmlns="http://schemas.openxmlformats.org/spreadsheetml/2006/main">
  <dimension ref="A1:JG21"/>
  <sheetViews>
    <sheetView workbookViewId="0" zoomScale="82">
      <selection activeCell="A1" sqref="A1"/>
    </sheetView>
  </sheetViews>
  <sheetFormatPr defaultRowHeight="18.0" defaultColWidth="9"/>
  <cols>
    <col min="1" max="1" customWidth="0" width="10.25" style="366"/>
    <col min="2" max="16384" customWidth="0" width="9.0" style="366"/>
  </cols>
  <sheetData>
    <row r="1" spans="8:8">
      <c r="A1" s="367" t="s">
        <v>10225</v>
      </c>
    </row>
    <row r="2" spans="8:8">
      <c r="A2" s="367" t="s">
        <v>9840</v>
      </c>
    </row>
    <row r="3" spans="8:8">
      <c r="A3" s="368" t="s">
        <v>10131</v>
      </c>
    </row>
    <row r="4" spans="8:8">
      <c r="A4" s="367" t="s">
        <v>9841</v>
      </c>
    </row>
    <row r="5" spans="8:8">
      <c r="A5" s="367" t="s">
        <v>10132</v>
      </c>
    </row>
    <row r="6" spans="8:8">
      <c r="A6" s="367" t="s">
        <v>9844</v>
      </c>
    </row>
    <row r="7" spans="8:8">
      <c r="A7" s="367" t="s">
        <v>9845</v>
      </c>
    </row>
    <row r="8" spans="8:8">
      <c r="A8" s="367" t="s">
        <v>9846</v>
      </c>
    </row>
    <row r="9" spans="8:8">
      <c r="A9" s="367" t="s">
        <v>10168</v>
      </c>
    </row>
    <row r="10" spans="8:8">
      <c r="A10" s="367" t="s">
        <v>10134</v>
      </c>
    </row>
    <row r="11" spans="8:8">
      <c r="A11" s="367" t="s">
        <v>10135</v>
      </c>
    </row>
    <row r="12" spans="8:8">
      <c r="A12" s="367" t="s">
        <v>9850</v>
      </c>
    </row>
    <row r="13" spans="8:8">
      <c r="A13" s="367" t="s">
        <v>9851</v>
      </c>
    </row>
    <row r="14" spans="8:8">
      <c r="A14" s="367" t="s">
        <v>9852</v>
      </c>
    </row>
    <row r="16" spans="8:8">
      <c r="A16" s="366" t="s">
        <v>10136</v>
      </c>
    </row>
    <row r="17" spans="8:8">
      <c r="A17" s="369" t="s">
        <v>9854</v>
      </c>
      <c r="B17" s="369"/>
      <c r="C17" s="369"/>
      <c r="D17" s="369"/>
      <c r="E17" s="369"/>
    </row>
  </sheetData>
  <sheetProtection sheet="0" formatCells="0" insertHyperlinks="0" autoFilter="0"/>
  <mergeCells count="1">
    <mergeCell ref="A17:E17"/>
  </mergeCells>
  <hyperlinks>
    <hyperlink ref="A17" r:id="rId1"/>
    <hyperlink ref="A17:E17" r:id="rId2"/>
  </hyperlinks>
  <pageMargins left="0.75" right="0.75" top="1.0" bottom="1.0"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s>
</file>

<file path=customXml/item2.xml><?xml version="1.0" encoding="utf-8"?>
<woProps xmlns="https://web.wps.cn/et/2018/main" xmlns:s="http://schemas.openxmlformats.org/spreadsheetml/2006/main">
  <woSheetsProps>
    <woSheetProps sheetStid="1" interlineOnOff="0" interlineColor="0" isDbSheet="0"/>
    <woSheetProps sheetStid="2" interlineOnOff="0" interlineColor="0" isDbSheet="0"/>
    <woSheetProps sheetStid="3" interlineOnOff="0" interlineColor="0" isDbSheet="0"/>
    <woSheetProps sheetStid="4" interlineOnOff="0" interlineColor="0" isDbSheet="0"/>
    <woSheetProps sheetStid="5" interlineOnOff="0" interlineColor="0" isDbSheet="0"/>
  </woSheetsProps>
  <woBookProps>
    <bookSettings isFilterShared="1" isAutoUpdatePaused="0" filterType="conn" isMergeTasksAutoUpdate="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ANN-AN00</dc:creator>
  <cp:lastModifiedBy>T—罗伯特</cp:lastModifiedBy>
  <dcterms:created xsi:type="dcterms:W3CDTF">2022-07-18T01:41:00Z</dcterms:created>
  <dcterms:modified xsi:type="dcterms:W3CDTF">2025-08-05T05:58:11Z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KSOProductBuildVer">
    <vt:lpwstr>2052-0.0.0.0</vt:lpwstr>
  </property>
  <property fmtid="{D5CDD505-2E9C-101B-9397-08002B2CF9AE}" pid="4" name="ICV">
    <vt:lpwstr>d24aa9e7d8ea452fb4ecc704930cdf9f_23</vt:lpwstr>
  </property>
</Properties>
</file>